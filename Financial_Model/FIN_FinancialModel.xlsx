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tobe/Dropbox/Tobe.Energy/Shared Data Rooms/Staging_TEC_DATA_ROOM/FIN-Financial Info/"/>
    </mc:Choice>
  </mc:AlternateContent>
  <xr:revisionPtr revIDLastSave="0" documentId="8_{5A29AEC0-443F-564F-8A60-3C19D1A0FCFA}" xr6:coauthVersionLast="47" xr6:coauthVersionMax="47" xr10:uidLastSave="{00000000-0000-0000-0000-000000000000}"/>
  <bookViews>
    <workbookView xWindow="17280" yWindow="1420" windowWidth="21120" windowHeight="18380" activeTab="3" xr2:uid="{00000000-000D-0000-FFFF-FFFF00000000}"/>
  </bookViews>
  <sheets>
    <sheet name="Overview" sheetId="1" r:id="rId1"/>
    <sheet name="Model Assumptions" sheetId="2" r:id="rId2"/>
    <sheet name="Overall" sheetId="3" state="hidden" r:id="rId3"/>
    <sheet name="Financials" sheetId="4" r:id="rId4"/>
    <sheet name="Project Overview" sheetId="5" r:id="rId5"/>
    <sheet name="H2 Cost Assumptions" sheetId="6" r:id="rId6"/>
    <sheet name="H2 Production Costs" sheetId="7" r:id="rId7"/>
    <sheet name="Personnel" sheetId="8" r:id="rId8"/>
    <sheet name="Volumes at Electric Loads" sheetId="9" r:id="rId9"/>
    <sheet name="Facility AFE" sheetId="10" r:id="rId10"/>
    <sheet name="Valuation" sheetId="11" state="hidden" r:id="rId11"/>
    <sheet name="Addtl Detail" sheetId="12" r:id="rId12"/>
    <sheet name="Funding" sheetId="13" state="hidden" r:id="rId13"/>
    <sheet name="Gantt Chart" sheetId="14" state="hidden" r:id="rId14"/>
    <sheet name="OLD" sheetId="15" state="hidden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8" i="4" l="1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Q42" i="4"/>
  <c r="P30" i="4"/>
  <c r="Q57" i="4"/>
  <c r="C14" i="13"/>
  <c r="C13" i="13"/>
  <c r="C12" i="13"/>
  <c r="C10" i="13"/>
  <c r="C8" i="13"/>
  <c r="C5" i="13"/>
  <c r="B20" i="12"/>
  <c r="B12" i="12"/>
  <c r="C53" i="10"/>
  <c r="C29" i="10"/>
  <c r="G8" i="9"/>
  <c r="D8" i="9"/>
  <c r="E8" i="9" s="1"/>
  <c r="G7" i="9"/>
  <c r="I7" i="9" s="1"/>
  <c r="J7" i="9" s="1"/>
  <c r="L7" i="9" s="1"/>
  <c r="D7" i="9"/>
  <c r="E7" i="9" s="1"/>
  <c r="F7" i="9" s="1"/>
  <c r="G6" i="9"/>
  <c r="D6" i="9"/>
  <c r="E6" i="9" s="1"/>
  <c r="F6" i="9" s="1"/>
  <c r="I5" i="9"/>
  <c r="J5" i="9" s="1"/>
  <c r="L5" i="9" s="1"/>
  <c r="G5" i="9"/>
  <c r="E5" i="9"/>
  <c r="F5" i="9" s="1"/>
  <c r="D5" i="9"/>
  <c r="I4" i="9"/>
  <c r="J4" i="9" s="1"/>
  <c r="L4" i="9" s="1"/>
  <c r="G4" i="9"/>
  <c r="D4" i="9"/>
  <c r="E4" i="9" s="1"/>
  <c r="F4" i="9" s="1"/>
  <c r="G3" i="9"/>
  <c r="F3" i="9"/>
  <c r="D3" i="9"/>
  <c r="E3" i="9" s="1"/>
  <c r="E127" i="8"/>
  <c r="E126" i="8"/>
  <c r="E125" i="8"/>
  <c r="E124" i="8"/>
  <c r="E123" i="8"/>
  <c r="E122" i="8"/>
  <c r="E115" i="8"/>
  <c r="E114" i="8"/>
  <c r="E113" i="8"/>
  <c r="E112" i="8"/>
  <c r="E111" i="8"/>
  <c r="E110" i="8"/>
  <c r="E109" i="8"/>
  <c r="E102" i="8"/>
  <c r="E101" i="8"/>
  <c r="E100" i="8"/>
  <c r="E99" i="8"/>
  <c r="E98" i="8"/>
  <c r="E97" i="8"/>
  <c r="E96" i="8"/>
  <c r="E90" i="8"/>
  <c r="E89" i="8"/>
  <c r="E88" i="8"/>
  <c r="E87" i="8"/>
  <c r="E86" i="8"/>
  <c r="E85" i="8"/>
  <c r="E84" i="8"/>
  <c r="E83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4" i="8"/>
  <c r="E55" i="8" s="1"/>
  <c r="E5" i="5" s="1"/>
  <c r="E53" i="8"/>
  <c r="E31" i="8"/>
  <c r="E30" i="8"/>
  <c r="E29" i="8"/>
  <c r="E28" i="8"/>
  <c r="E27" i="8"/>
  <c r="E26" i="8"/>
  <c r="E25" i="8"/>
  <c r="E24" i="8"/>
  <c r="E23" i="8"/>
  <c r="E22" i="8"/>
  <c r="E21" i="8"/>
  <c r="E20" i="8"/>
  <c r="E12" i="8"/>
  <c r="E11" i="8"/>
  <c r="E10" i="8"/>
  <c r="E9" i="8"/>
  <c r="E8" i="8"/>
  <c r="E7" i="8"/>
  <c r="E6" i="8"/>
  <c r="E5" i="8"/>
  <c r="E13" i="8" s="1"/>
  <c r="E4" i="8"/>
  <c r="C70" i="7"/>
  <c r="C59" i="7"/>
  <c r="C50" i="7"/>
  <c r="C48" i="7"/>
  <c r="C45" i="7"/>
  <c r="C43" i="7"/>
  <c r="C41" i="7"/>
  <c r="D33" i="7"/>
  <c r="D31" i="7"/>
  <c r="D32" i="7" s="1"/>
  <c r="D34" i="7" s="1"/>
  <c r="D30" i="7"/>
  <c r="C26" i="7"/>
  <c r="C22" i="7"/>
  <c r="D20" i="7"/>
  <c r="D24" i="7" s="1"/>
  <c r="C18" i="7"/>
  <c r="D15" i="7"/>
  <c r="D9" i="7"/>
  <c r="D8" i="7"/>
  <c r="D6" i="7"/>
  <c r="D5" i="7"/>
  <c r="D292" i="5"/>
  <c r="D293" i="5" s="1"/>
  <c r="D294" i="5" s="1"/>
  <c r="F286" i="5"/>
  <c r="F285" i="5"/>
  <c r="F284" i="5"/>
  <c r="F283" i="5"/>
  <c r="F282" i="5"/>
  <c r="F281" i="5"/>
  <c r="F280" i="5"/>
  <c r="F279" i="5"/>
  <c r="F287" i="5" s="1"/>
  <c r="F278" i="5"/>
  <c r="D271" i="5"/>
  <c r="D270" i="5"/>
  <c r="D269" i="5"/>
  <c r="D268" i="5"/>
  <c r="D258" i="5"/>
  <c r="D257" i="5"/>
  <c r="D235" i="5"/>
  <c r="D232" i="5"/>
  <c r="D231" i="5"/>
  <c r="D223" i="5"/>
  <c r="D222" i="5"/>
  <c r="D213" i="5"/>
  <c r="D210" i="5"/>
  <c r="D209" i="5"/>
  <c r="D208" i="5"/>
  <c r="D207" i="5"/>
  <c r="D206" i="5"/>
  <c r="D205" i="5"/>
  <c r="D204" i="5"/>
  <c r="D194" i="5"/>
  <c r="D240" i="5" s="1"/>
  <c r="D192" i="5"/>
  <c r="D229" i="5" s="1"/>
  <c r="D190" i="5"/>
  <c r="D220" i="5" s="1"/>
  <c r="D188" i="5"/>
  <c r="D187" i="5"/>
  <c r="D186" i="5"/>
  <c r="D170" i="5"/>
  <c r="D176" i="5" s="1"/>
  <c r="D169" i="5"/>
  <c r="D175" i="5" s="1"/>
  <c r="D165" i="5"/>
  <c r="D221" i="5" s="1"/>
  <c r="D164" i="5"/>
  <c r="D163" i="5"/>
  <c r="D157" i="5"/>
  <c r="D146" i="5"/>
  <c r="D147" i="5" s="1"/>
  <c r="D141" i="5"/>
  <c r="D159" i="5" s="1"/>
  <c r="D124" i="5"/>
  <c r="D12" i="5"/>
  <c r="C12" i="5"/>
  <c r="D5" i="5"/>
  <c r="E4" i="5"/>
  <c r="D4" i="5"/>
  <c r="C4" i="5"/>
  <c r="E80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CJ2" i="4"/>
  <c r="CI2" i="4"/>
  <c r="CH2" i="4"/>
  <c r="CG2" i="4"/>
  <c r="CF2" i="4"/>
  <c r="CE2" i="4"/>
  <c r="CD2" i="4"/>
  <c r="CC2" i="4"/>
  <c r="CB2" i="4"/>
  <c r="CA2" i="4"/>
  <c r="BZ2" i="4"/>
  <c r="BY2" i="4"/>
  <c r="BX2" i="4"/>
  <c r="BW2" i="4"/>
  <c r="BV2" i="4"/>
  <c r="BU2" i="4"/>
  <c r="BT2" i="4"/>
  <c r="BS2" i="4"/>
  <c r="BR2" i="4"/>
  <c r="BQ2" i="4"/>
  <c r="BP2" i="4"/>
  <c r="BO2" i="4"/>
  <c r="BN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AA94" i="3"/>
  <c r="W94" i="3"/>
  <c r="S94" i="3"/>
  <c r="O94" i="3"/>
  <c r="K94" i="3"/>
  <c r="G94" i="3"/>
  <c r="AE93" i="3"/>
  <c r="AC93" i="3"/>
  <c r="Y93" i="3"/>
  <c r="U93" i="3"/>
  <c r="Q93" i="3"/>
  <c r="M93" i="3"/>
  <c r="L93" i="3"/>
  <c r="I93" i="3"/>
  <c r="E93" i="3"/>
  <c r="C93" i="3"/>
  <c r="AE92" i="3"/>
  <c r="AC92" i="3"/>
  <c r="Y92" i="3"/>
  <c r="U92" i="3"/>
  <c r="Q92" i="3"/>
  <c r="P92" i="3"/>
  <c r="M92" i="3"/>
  <c r="I92" i="3"/>
  <c r="E92" i="3"/>
  <c r="C92" i="3"/>
  <c r="AE91" i="3"/>
  <c r="AC91" i="3"/>
  <c r="Y91" i="3"/>
  <c r="U91" i="3"/>
  <c r="Q91" i="3"/>
  <c r="M91" i="3"/>
  <c r="I91" i="3"/>
  <c r="E91" i="3"/>
  <c r="C91" i="3"/>
  <c r="AE90" i="3"/>
  <c r="AC90" i="3"/>
  <c r="Y90" i="3"/>
  <c r="U90" i="3"/>
  <c r="Q90" i="3"/>
  <c r="M90" i="3"/>
  <c r="I90" i="3"/>
  <c r="H90" i="3"/>
  <c r="E90" i="3"/>
  <c r="C90" i="3"/>
  <c r="AE89" i="3"/>
  <c r="C89" i="3" s="1"/>
  <c r="AC89" i="3"/>
  <c r="Y89" i="3"/>
  <c r="U89" i="3"/>
  <c r="Q89" i="3"/>
  <c r="M89" i="3"/>
  <c r="I89" i="3"/>
  <c r="H89" i="3"/>
  <c r="E89" i="3"/>
  <c r="AE88" i="3"/>
  <c r="AC88" i="3"/>
  <c r="Y88" i="3"/>
  <c r="U88" i="3"/>
  <c r="T88" i="3"/>
  <c r="Q88" i="3"/>
  <c r="M88" i="3"/>
  <c r="I88" i="3"/>
  <c r="H88" i="3"/>
  <c r="E88" i="3"/>
  <c r="AE87" i="3"/>
  <c r="C87" i="3" s="1"/>
  <c r="AC87" i="3"/>
  <c r="Y87" i="3"/>
  <c r="U87" i="3"/>
  <c r="T87" i="3"/>
  <c r="Q87" i="3"/>
  <c r="M87" i="3"/>
  <c r="I87" i="3"/>
  <c r="H87" i="3"/>
  <c r="E87" i="3"/>
  <c r="AE86" i="3"/>
  <c r="AC86" i="3"/>
  <c r="Y86" i="3"/>
  <c r="U86" i="3"/>
  <c r="Q86" i="3"/>
  <c r="M86" i="3"/>
  <c r="L86" i="3"/>
  <c r="I86" i="3"/>
  <c r="I94" i="3" s="1"/>
  <c r="E86" i="3"/>
  <c r="C86" i="3"/>
  <c r="AE85" i="3"/>
  <c r="C85" i="3" s="1"/>
  <c r="AC85" i="3"/>
  <c r="Y85" i="3"/>
  <c r="U85" i="3"/>
  <c r="Q85" i="3"/>
  <c r="M85" i="3"/>
  <c r="L85" i="3"/>
  <c r="I85" i="3"/>
  <c r="E85" i="3"/>
  <c r="AE84" i="3"/>
  <c r="AC84" i="3"/>
  <c r="Y84" i="3"/>
  <c r="Y94" i="3" s="1"/>
  <c r="U84" i="3"/>
  <c r="Q84" i="3"/>
  <c r="P84" i="3"/>
  <c r="M84" i="3"/>
  <c r="L84" i="3"/>
  <c r="I84" i="3"/>
  <c r="E84" i="3"/>
  <c r="C84" i="3"/>
  <c r="AE83" i="3"/>
  <c r="AC83" i="3"/>
  <c r="Y83" i="3"/>
  <c r="U83" i="3"/>
  <c r="Q83" i="3"/>
  <c r="P83" i="3"/>
  <c r="M83" i="3"/>
  <c r="I83" i="3"/>
  <c r="E83" i="3"/>
  <c r="C83" i="3"/>
  <c r="AE82" i="3"/>
  <c r="AC82" i="3"/>
  <c r="AC94" i="3" s="1"/>
  <c r="AB82" i="3"/>
  <c r="Y82" i="3"/>
  <c r="U82" i="3"/>
  <c r="Q82" i="3"/>
  <c r="P82" i="3"/>
  <c r="M82" i="3"/>
  <c r="I82" i="3"/>
  <c r="E82" i="3"/>
  <c r="C82" i="3"/>
  <c r="AA81" i="3"/>
  <c r="W81" i="3"/>
  <c r="S81" i="3"/>
  <c r="O81" i="3"/>
  <c r="K81" i="3"/>
  <c r="G81" i="3"/>
  <c r="AE80" i="3"/>
  <c r="AC80" i="3"/>
  <c r="Y80" i="3"/>
  <c r="U80" i="3"/>
  <c r="Q80" i="3"/>
  <c r="M80" i="3"/>
  <c r="I80" i="3"/>
  <c r="H80" i="3"/>
  <c r="E80" i="3"/>
  <c r="C80" i="3"/>
  <c r="AE79" i="3"/>
  <c r="C79" i="3" s="1"/>
  <c r="AC79" i="3"/>
  <c r="Y79" i="3"/>
  <c r="U79" i="3"/>
  <c r="Q79" i="3"/>
  <c r="P79" i="3"/>
  <c r="M79" i="3"/>
  <c r="I79" i="3"/>
  <c r="H79" i="3"/>
  <c r="E79" i="3"/>
  <c r="AE78" i="3"/>
  <c r="AC78" i="3"/>
  <c r="Y78" i="3"/>
  <c r="U78" i="3"/>
  <c r="Q78" i="3"/>
  <c r="M78" i="3"/>
  <c r="I78" i="3"/>
  <c r="H78" i="3"/>
  <c r="E78" i="3"/>
  <c r="AE77" i="3"/>
  <c r="C77" i="3" s="1"/>
  <c r="AC77" i="3"/>
  <c r="Y77" i="3"/>
  <c r="U77" i="3"/>
  <c r="Q77" i="3"/>
  <c r="M77" i="3"/>
  <c r="L77" i="3"/>
  <c r="I77" i="3"/>
  <c r="H77" i="3"/>
  <c r="E77" i="3"/>
  <c r="AE76" i="3"/>
  <c r="AC76" i="3"/>
  <c r="Y76" i="3"/>
  <c r="U76" i="3"/>
  <c r="Q76" i="3"/>
  <c r="M76" i="3"/>
  <c r="L76" i="3"/>
  <c r="I76" i="3"/>
  <c r="E76" i="3"/>
  <c r="C76" i="3"/>
  <c r="AE75" i="3"/>
  <c r="AC75" i="3"/>
  <c r="Y75" i="3"/>
  <c r="U75" i="3"/>
  <c r="T75" i="3"/>
  <c r="Q75" i="3"/>
  <c r="M75" i="3"/>
  <c r="I75" i="3"/>
  <c r="E75" i="3"/>
  <c r="AE74" i="3"/>
  <c r="AC74" i="3"/>
  <c r="Y74" i="3"/>
  <c r="U74" i="3"/>
  <c r="Q74" i="3"/>
  <c r="M74" i="3"/>
  <c r="L74" i="3"/>
  <c r="I74" i="3"/>
  <c r="E74" i="3"/>
  <c r="C74" i="3"/>
  <c r="AE73" i="3"/>
  <c r="AC73" i="3"/>
  <c r="Y73" i="3"/>
  <c r="U73" i="3"/>
  <c r="Q73" i="3"/>
  <c r="P73" i="3"/>
  <c r="M73" i="3"/>
  <c r="I73" i="3"/>
  <c r="E73" i="3"/>
  <c r="C73" i="3"/>
  <c r="AE72" i="3"/>
  <c r="AC72" i="3"/>
  <c r="Y72" i="3"/>
  <c r="U72" i="3"/>
  <c r="Q72" i="3"/>
  <c r="M72" i="3"/>
  <c r="I72" i="3"/>
  <c r="H72" i="3"/>
  <c r="E72" i="3"/>
  <c r="C72" i="3"/>
  <c r="AE71" i="3"/>
  <c r="C71" i="3" s="1"/>
  <c r="AC71" i="3"/>
  <c r="Y71" i="3"/>
  <c r="U71" i="3"/>
  <c r="Q71" i="3"/>
  <c r="P71" i="3"/>
  <c r="M71" i="3"/>
  <c r="I71" i="3"/>
  <c r="E71" i="3"/>
  <c r="AE70" i="3"/>
  <c r="AC70" i="3"/>
  <c r="AB70" i="3"/>
  <c r="Y70" i="3"/>
  <c r="U70" i="3"/>
  <c r="Q70" i="3"/>
  <c r="P70" i="3"/>
  <c r="M70" i="3"/>
  <c r="I70" i="3"/>
  <c r="E70" i="3"/>
  <c r="AE69" i="3"/>
  <c r="AC69" i="3"/>
  <c r="Y69" i="3"/>
  <c r="U69" i="3"/>
  <c r="T69" i="3"/>
  <c r="Q69" i="3"/>
  <c r="Q81" i="3" s="1"/>
  <c r="M69" i="3"/>
  <c r="I69" i="3"/>
  <c r="H69" i="3"/>
  <c r="E69" i="3"/>
  <c r="AA68" i="3"/>
  <c r="W68" i="3"/>
  <c r="S68" i="3"/>
  <c r="O68" i="3"/>
  <c r="K68" i="3"/>
  <c r="G68" i="3"/>
  <c r="AE67" i="3"/>
  <c r="AC67" i="3"/>
  <c r="Y67" i="3"/>
  <c r="U67" i="3"/>
  <c r="T67" i="3"/>
  <c r="Q67" i="3"/>
  <c r="M67" i="3"/>
  <c r="I67" i="3"/>
  <c r="H67" i="3"/>
  <c r="E67" i="3"/>
  <c r="AE66" i="3"/>
  <c r="AC66" i="3"/>
  <c r="Y66" i="3"/>
  <c r="U66" i="3"/>
  <c r="Q66" i="3"/>
  <c r="M66" i="3"/>
  <c r="L66" i="3"/>
  <c r="I66" i="3"/>
  <c r="E66" i="3"/>
  <c r="C66" i="3"/>
  <c r="AE65" i="3"/>
  <c r="C65" i="3" s="1"/>
  <c r="AC65" i="3"/>
  <c r="Y65" i="3"/>
  <c r="U65" i="3"/>
  <c r="T65" i="3"/>
  <c r="Q65" i="3"/>
  <c r="M65" i="3"/>
  <c r="I65" i="3"/>
  <c r="E65" i="3"/>
  <c r="AE64" i="3"/>
  <c r="C64" i="3" s="1"/>
  <c r="AC64" i="3"/>
  <c r="Y64" i="3"/>
  <c r="Y68" i="3" s="1"/>
  <c r="U64" i="3"/>
  <c r="Q64" i="3"/>
  <c r="M64" i="3"/>
  <c r="L64" i="3"/>
  <c r="I64" i="3"/>
  <c r="E64" i="3"/>
  <c r="AE63" i="3"/>
  <c r="AC63" i="3"/>
  <c r="Y63" i="3"/>
  <c r="U63" i="3"/>
  <c r="T63" i="3"/>
  <c r="Q63" i="3"/>
  <c r="M63" i="3"/>
  <c r="I63" i="3"/>
  <c r="H63" i="3"/>
  <c r="E63" i="3"/>
  <c r="C63" i="3"/>
  <c r="AE62" i="3"/>
  <c r="AC62" i="3"/>
  <c r="Y62" i="3"/>
  <c r="U62" i="3"/>
  <c r="Q62" i="3"/>
  <c r="P62" i="3"/>
  <c r="M62" i="3"/>
  <c r="I62" i="3"/>
  <c r="E62" i="3"/>
  <c r="C62" i="3"/>
  <c r="AE61" i="3"/>
  <c r="C61" i="3" s="1"/>
  <c r="AC61" i="3"/>
  <c r="AB61" i="3"/>
  <c r="Y61" i="3"/>
  <c r="U61" i="3"/>
  <c r="Q61" i="3"/>
  <c r="P61" i="3"/>
  <c r="M61" i="3"/>
  <c r="L61" i="3"/>
  <c r="I61" i="3"/>
  <c r="E61" i="3"/>
  <c r="AE60" i="3"/>
  <c r="AC60" i="3"/>
  <c r="Y60" i="3"/>
  <c r="U60" i="3"/>
  <c r="Q60" i="3"/>
  <c r="P60" i="3"/>
  <c r="M60" i="3"/>
  <c r="M68" i="3" s="1"/>
  <c r="L60" i="3"/>
  <c r="I60" i="3"/>
  <c r="E60" i="3"/>
  <c r="C60" i="3"/>
  <c r="AE59" i="3"/>
  <c r="AC59" i="3"/>
  <c r="Y59" i="3"/>
  <c r="U59" i="3"/>
  <c r="T59" i="3"/>
  <c r="Q59" i="3"/>
  <c r="M59" i="3"/>
  <c r="L59" i="3"/>
  <c r="I59" i="3"/>
  <c r="H59" i="3"/>
  <c r="E59" i="3"/>
  <c r="AE58" i="3"/>
  <c r="C58" i="3" s="1"/>
  <c r="AC58" i="3"/>
  <c r="Y58" i="3"/>
  <c r="U58" i="3"/>
  <c r="T58" i="3"/>
  <c r="Q58" i="3"/>
  <c r="M58" i="3"/>
  <c r="L58" i="3"/>
  <c r="I58" i="3"/>
  <c r="H58" i="3"/>
  <c r="E58" i="3"/>
  <c r="AE57" i="3"/>
  <c r="C57" i="3" s="1"/>
  <c r="AC57" i="3"/>
  <c r="Y57" i="3"/>
  <c r="U57" i="3"/>
  <c r="T57" i="3"/>
  <c r="Q57" i="3"/>
  <c r="M57" i="3"/>
  <c r="I57" i="3"/>
  <c r="E57" i="3"/>
  <c r="AE56" i="3"/>
  <c r="AC56" i="3"/>
  <c r="Y56" i="3"/>
  <c r="U56" i="3"/>
  <c r="Q56" i="3"/>
  <c r="P56" i="3"/>
  <c r="M56" i="3"/>
  <c r="I56" i="3"/>
  <c r="H56" i="3"/>
  <c r="E56" i="3"/>
  <c r="AA55" i="3"/>
  <c r="Y55" i="3"/>
  <c r="W55" i="3"/>
  <c r="S55" i="3"/>
  <c r="O55" i="3"/>
  <c r="K55" i="3"/>
  <c r="G55" i="3"/>
  <c r="AB54" i="3"/>
  <c r="Y54" i="3"/>
  <c r="U54" i="3"/>
  <c r="Q54" i="3"/>
  <c r="P54" i="3"/>
  <c r="M54" i="3"/>
  <c r="L54" i="3"/>
  <c r="I54" i="3"/>
  <c r="E54" i="3"/>
  <c r="C54" i="3"/>
  <c r="Y53" i="3"/>
  <c r="U53" i="3"/>
  <c r="T53" i="3"/>
  <c r="Q53" i="3"/>
  <c r="M53" i="3"/>
  <c r="I53" i="3"/>
  <c r="H53" i="3"/>
  <c r="E53" i="3"/>
  <c r="C53" i="3"/>
  <c r="Y52" i="3"/>
  <c r="U52" i="3"/>
  <c r="Q52" i="3"/>
  <c r="M52" i="3"/>
  <c r="I52" i="3"/>
  <c r="E52" i="3"/>
  <c r="C52" i="3"/>
  <c r="Y51" i="3"/>
  <c r="U51" i="3"/>
  <c r="Q51" i="3"/>
  <c r="P51" i="3"/>
  <c r="M51" i="3"/>
  <c r="I51" i="3"/>
  <c r="E51" i="3"/>
  <c r="C51" i="3"/>
  <c r="Y50" i="3"/>
  <c r="U50" i="3"/>
  <c r="T50" i="3"/>
  <c r="Q50" i="3"/>
  <c r="M50" i="3"/>
  <c r="I50" i="3"/>
  <c r="H50" i="3"/>
  <c r="E50" i="3"/>
  <c r="C50" i="3"/>
  <c r="Y49" i="3"/>
  <c r="U49" i="3"/>
  <c r="Q49" i="3"/>
  <c r="P49" i="3"/>
  <c r="M49" i="3"/>
  <c r="L49" i="3"/>
  <c r="I49" i="3"/>
  <c r="E49" i="3"/>
  <c r="C49" i="3"/>
  <c r="Y48" i="3"/>
  <c r="U48" i="3"/>
  <c r="T48" i="3"/>
  <c r="Q48" i="3"/>
  <c r="P48" i="3"/>
  <c r="M48" i="3"/>
  <c r="I48" i="3"/>
  <c r="H48" i="3"/>
  <c r="E48" i="3"/>
  <c r="C48" i="3"/>
  <c r="Y47" i="3"/>
  <c r="U47" i="3"/>
  <c r="T47" i="3"/>
  <c r="Q47" i="3"/>
  <c r="M47" i="3"/>
  <c r="L47" i="3"/>
  <c r="I47" i="3"/>
  <c r="E47" i="3"/>
  <c r="C47" i="3"/>
  <c r="Y46" i="3"/>
  <c r="U46" i="3"/>
  <c r="Q46" i="3"/>
  <c r="Q55" i="3" s="1"/>
  <c r="P46" i="3"/>
  <c r="M46" i="3"/>
  <c r="I46" i="3"/>
  <c r="H46" i="3"/>
  <c r="E46" i="3"/>
  <c r="C46" i="3"/>
  <c r="Y45" i="3"/>
  <c r="U45" i="3"/>
  <c r="T45" i="3"/>
  <c r="Q45" i="3"/>
  <c r="M45" i="3"/>
  <c r="L45" i="3"/>
  <c r="I45" i="3"/>
  <c r="E45" i="3"/>
  <c r="C45" i="3"/>
  <c r="Y44" i="3"/>
  <c r="U44" i="3"/>
  <c r="T44" i="3"/>
  <c r="Q44" i="3"/>
  <c r="P44" i="3"/>
  <c r="M44" i="3"/>
  <c r="I44" i="3"/>
  <c r="I55" i="3" s="1"/>
  <c r="H44" i="3"/>
  <c r="E44" i="3"/>
  <c r="C44" i="3"/>
  <c r="Y43" i="3"/>
  <c r="U43" i="3"/>
  <c r="Q43" i="3"/>
  <c r="P43" i="3"/>
  <c r="M43" i="3"/>
  <c r="L43" i="3"/>
  <c r="I43" i="3"/>
  <c r="E43" i="3"/>
  <c r="C43" i="3"/>
  <c r="S42" i="3"/>
  <c r="O42" i="3"/>
  <c r="M42" i="3"/>
  <c r="K42" i="3"/>
  <c r="G42" i="3"/>
  <c r="Q41" i="3"/>
  <c r="P41" i="3"/>
  <c r="M41" i="3"/>
  <c r="I41" i="3"/>
  <c r="H41" i="3"/>
  <c r="F41" i="3"/>
  <c r="E41" i="3"/>
  <c r="C41" i="3"/>
  <c r="Q40" i="3"/>
  <c r="P40" i="3"/>
  <c r="M40" i="3"/>
  <c r="I40" i="3"/>
  <c r="F40" i="3"/>
  <c r="E40" i="3"/>
  <c r="C40" i="3"/>
  <c r="Q39" i="3"/>
  <c r="P39" i="3"/>
  <c r="M39" i="3"/>
  <c r="L39" i="3"/>
  <c r="I39" i="3"/>
  <c r="F39" i="3"/>
  <c r="E39" i="3"/>
  <c r="C39" i="3"/>
  <c r="Q38" i="3"/>
  <c r="M38" i="3"/>
  <c r="L38" i="3"/>
  <c r="I38" i="3"/>
  <c r="F38" i="3"/>
  <c r="E38" i="3"/>
  <c r="C38" i="3"/>
  <c r="T37" i="3"/>
  <c r="Q37" i="3"/>
  <c r="M37" i="3"/>
  <c r="L37" i="3"/>
  <c r="I37" i="3"/>
  <c r="F37" i="3"/>
  <c r="E37" i="3"/>
  <c r="C37" i="3"/>
  <c r="T36" i="3"/>
  <c r="Q36" i="3"/>
  <c r="M36" i="3"/>
  <c r="L36" i="3"/>
  <c r="I36" i="3"/>
  <c r="H36" i="3"/>
  <c r="F36" i="3"/>
  <c r="E36" i="3"/>
  <c r="C36" i="3"/>
  <c r="T35" i="3"/>
  <c r="Q35" i="3"/>
  <c r="P35" i="3"/>
  <c r="M35" i="3"/>
  <c r="I35" i="3"/>
  <c r="H35" i="3"/>
  <c r="F35" i="3"/>
  <c r="E35" i="3"/>
  <c r="C35" i="3"/>
  <c r="T34" i="3"/>
  <c r="Q34" i="3"/>
  <c r="P34" i="3"/>
  <c r="M34" i="3"/>
  <c r="I34" i="3"/>
  <c r="H34" i="3"/>
  <c r="F34" i="3"/>
  <c r="E34" i="3"/>
  <c r="C34" i="3"/>
  <c r="Q33" i="3"/>
  <c r="P33" i="3"/>
  <c r="M33" i="3"/>
  <c r="I33" i="3"/>
  <c r="H33" i="3"/>
  <c r="F33" i="3"/>
  <c r="E33" i="3"/>
  <c r="C33" i="3"/>
  <c r="Q32" i="3"/>
  <c r="P32" i="3"/>
  <c r="M32" i="3"/>
  <c r="I32" i="3"/>
  <c r="F32" i="3"/>
  <c r="E32" i="3"/>
  <c r="C32" i="3"/>
  <c r="Q31" i="3"/>
  <c r="P31" i="3"/>
  <c r="M31" i="3"/>
  <c r="L31" i="3"/>
  <c r="I31" i="3"/>
  <c r="F31" i="3"/>
  <c r="E31" i="3"/>
  <c r="E42" i="3" s="1"/>
  <c r="C31" i="3"/>
  <c r="Q30" i="3"/>
  <c r="P30" i="3"/>
  <c r="M30" i="3"/>
  <c r="L30" i="3"/>
  <c r="I30" i="3"/>
  <c r="I42" i="3" s="1"/>
  <c r="F30" i="3"/>
  <c r="E30" i="3"/>
  <c r="C30" i="3"/>
  <c r="K29" i="3"/>
  <c r="G29" i="3"/>
  <c r="I28" i="3"/>
  <c r="H28" i="3"/>
  <c r="F28" i="3"/>
  <c r="E28" i="3"/>
  <c r="C28" i="3"/>
  <c r="I27" i="3"/>
  <c r="H27" i="3"/>
  <c r="F27" i="3"/>
  <c r="E27" i="3"/>
  <c r="C27" i="3"/>
  <c r="L26" i="3"/>
  <c r="I26" i="3"/>
  <c r="H26" i="3"/>
  <c r="F26" i="3"/>
  <c r="E26" i="3"/>
  <c r="C26" i="3"/>
  <c r="L25" i="3"/>
  <c r="I25" i="3"/>
  <c r="F25" i="3"/>
  <c r="E25" i="3"/>
  <c r="C25" i="3"/>
  <c r="L24" i="3"/>
  <c r="I24" i="3"/>
  <c r="F24" i="3"/>
  <c r="E24" i="3"/>
  <c r="C24" i="3"/>
  <c r="L23" i="3"/>
  <c r="I23" i="3"/>
  <c r="F23" i="3"/>
  <c r="E23" i="3"/>
  <c r="C23" i="3"/>
  <c r="I22" i="3"/>
  <c r="F22" i="3"/>
  <c r="E22" i="3"/>
  <c r="C22" i="3"/>
  <c r="I21" i="3"/>
  <c r="H21" i="3"/>
  <c r="F21" i="3"/>
  <c r="F29" i="3" s="1"/>
  <c r="E21" i="3"/>
  <c r="C21" i="3"/>
  <c r="I20" i="3"/>
  <c r="H20" i="3"/>
  <c r="F20" i="3"/>
  <c r="E20" i="3"/>
  <c r="C20" i="3"/>
  <c r="I19" i="3"/>
  <c r="H19" i="3"/>
  <c r="F19" i="3"/>
  <c r="E19" i="3"/>
  <c r="C19" i="3"/>
  <c r="L18" i="3"/>
  <c r="I18" i="3"/>
  <c r="H18" i="3"/>
  <c r="F18" i="3"/>
  <c r="E18" i="3"/>
  <c r="C18" i="3"/>
  <c r="L17" i="3"/>
  <c r="I17" i="3"/>
  <c r="F17" i="3"/>
  <c r="E17" i="3"/>
  <c r="C17" i="3"/>
  <c r="G16" i="3"/>
  <c r="H15" i="3"/>
  <c r="E15" i="3"/>
  <c r="C15" i="3"/>
  <c r="E14" i="3"/>
  <c r="C14" i="3"/>
  <c r="E13" i="3"/>
  <c r="C13" i="3"/>
  <c r="H12" i="3"/>
  <c r="E12" i="3"/>
  <c r="C12" i="3"/>
  <c r="H11" i="3"/>
  <c r="E11" i="3"/>
  <c r="C11" i="3"/>
  <c r="E10" i="3"/>
  <c r="C10" i="3"/>
  <c r="E9" i="3"/>
  <c r="C9" i="3"/>
  <c r="H8" i="3"/>
  <c r="E8" i="3"/>
  <c r="C8" i="3"/>
  <c r="H7" i="3"/>
  <c r="E7" i="3"/>
  <c r="C7" i="3"/>
  <c r="E6" i="3"/>
  <c r="C6" i="3"/>
  <c r="E5" i="3"/>
  <c r="C5" i="3"/>
  <c r="H4" i="3"/>
  <c r="E4" i="3"/>
  <c r="C4" i="3"/>
  <c r="AD2" i="3"/>
  <c r="AF69" i="3" s="1"/>
  <c r="Z2" i="3"/>
  <c r="V2" i="3"/>
  <c r="X72" i="3" s="1"/>
  <c r="R2" i="3"/>
  <c r="N2" i="3"/>
  <c r="P74" i="3" s="1"/>
  <c r="J2" i="3"/>
  <c r="L87" i="3" s="1"/>
  <c r="F2" i="3"/>
  <c r="H71" i="3" s="1"/>
  <c r="CL127" i="2"/>
  <c r="CK127" i="2"/>
  <c r="CJ127" i="2"/>
  <c r="CI127" i="2"/>
  <c r="CH127" i="2"/>
  <c r="CG127" i="2"/>
  <c r="CF127" i="2"/>
  <c r="CE127" i="2"/>
  <c r="CD127" i="2"/>
  <c r="CC127" i="2"/>
  <c r="CB127" i="2"/>
  <c r="CA127" i="2"/>
  <c r="BZ127" i="2"/>
  <c r="BY127" i="2"/>
  <c r="BX127" i="2"/>
  <c r="BW127" i="2"/>
  <c r="BV127" i="2"/>
  <c r="BU127" i="2"/>
  <c r="BT127" i="2"/>
  <c r="BS127" i="2"/>
  <c r="BR127" i="2"/>
  <c r="BQ127" i="2"/>
  <c r="BP127" i="2"/>
  <c r="BO127" i="2"/>
  <c r="BN127" i="2"/>
  <c r="BM127" i="2"/>
  <c r="BL127" i="2"/>
  <c r="BK127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CL126" i="2"/>
  <c r="CK126" i="2"/>
  <c r="CJ126" i="2"/>
  <c r="CI126" i="2"/>
  <c r="CH126" i="2"/>
  <c r="CG126" i="2"/>
  <c r="CF126" i="2"/>
  <c r="CE126" i="2"/>
  <c r="CD126" i="2"/>
  <c r="CC126" i="2"/>
  <c r="CB126" i="2"/>
  <c r="CA126" i="2"/>
  <c r="BZ126" i="2"/>
  <c r="BY126" i="2"/>
  <c r="BX126" i="2"/>
  <c r="BW126" i="2"/>
  <c r="BV126" i="2"/>
  <c r="BU126" i="2"/>
  <c r="BT126" i="2"/>
  <c r="BS126" i="2"/>
  <c r="BR126" i="2"/>
  <c r="BQ126" i="2"/>
  <c r="BP126" i="2"/>
  <c r="BO126" i="2"/>
  <c r="BN126" i="2"/>
  <c r="BM126" i="2"/>
  <c r="BL126" i="2"/>
  <c r="BK126" i="2"/>
  <c r="BJ126" i="2"/>
  <c r="BI126" i="2"/>
  <c r="BH126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CL125" i="2"/>
  <c r="CK125" i="2"/>
  <c r="CJ125" i="2"/>
  <c r="CI125" i="2"/>
  <c r="CH125" i="2"/>
  <c r="CG125" i="2"/>
  <c r="CF125" i="2"/>
  <c r="CE125" i="2"/>
  <c r="CD125" i="2"/>
  <c r="CC125" i="2"/>
  <c r="CB125" i="2"/>
  <c r="CA125" i="2"/>
  <c r="BZ125" i="2"/>
  <c r="BY125" i="2"/>
  <c r="BX125" i="2"/>
  <c r="BW125" i="2"/>
  <c r="BV125" i="2"/>
  <c r="BU125" i="2"/>
  <c r="BT125" i="2"/>
  <c r="BS125" i="2"/>
  <c r="BR125" i="2"/>
  <c r="BQ125" i="2"/>
  <c r="BP125" i="2"/>
  <c r="BO125" i="2"/>
  <c r="BN125" i="2"/>
  <c r="BM125" i="2"/>
  <c r="BL125" i="2"/>
  <c r="BK125" i="2"/>
  <c r="BJ125" i="2"/>
  <c r="BI125" i="2"/>
  <c r="BH125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CL124" i="2"/>
  <c r="CK124" i="2"/>
  <c r="CJ124" i="2"/>
  <c r="CI124" i="2"/>
  <c r="CH124" i="2"/>
  <c r="CG124" i="2"/>
  <c r="CF124" i="2"/>
  <c r="CE124" i="2"/>
  <c r="CD124" i="2"/>
  <c r="CC124" i="2"/>
  <c r="CB124" i="2"/>
  <c r="CA124" i="2"/>
  <c r="BZ124" i="2"/>
  <c r="BY124" i="2"/>
  <c r="BX124" i="2"/>
  <c r="BW124" i="2"/>
  <c r="BV124" i="2"/>
  <c r="BU124" i="2"/>
  <c r="BT124" i="2"/>
  <c r="BS124" i="2"/>
  <c r="BR124" i="2"/>
  <c r="BQ124" i="2"/>
  <c r="BP124" i="2"/>
  <c r="BO124" i="2"/>
  <c r="BN124" i="2"/>
  <c r="BM124" i="2"/>
  <c r="BL124" i="2"/>
  <c r="BK124" i="2"/>
  <c r="BJ124" i="2"/>
  <c r="BI124" i="2"/>
  <c r="BH124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G128" i="2" s="1"/>
  <c r="CL123" i="2"/>
  <c r="CK123" i="2"/>
  <c r="CJ123" i="2"/>
  <c r="CI123" i="2"/>
  <c r="CH123" i="2"/>
  <c r="CG123" i="2"/>
  <c r="CF123" i="2"/>
  <c r="CE123" i="2"/>
  <c r="CD123" i="2"/>
  <c r="CC123" i="2"/>
  <c r="CB123" i="2"/>
  <c r="CA123" i="2"/>
  <c r="BZ123" i="2"/>
  <c r="BY123" i="2"/>
  <c r="BX123" i="2"/>
  <c r="BW123" i="2"/>
  <c r="BV123" i="2"/>
  <c r="BU123" i="2"/>
  <c r="BT123" i="2"/>
  <c r="BS123" i="2"/>
  <c r="BR123" i="2"/>
  <c r="BQ123" i="2"/>
  <c r="BP123" i="2"/>
  <c r="BO123" i="2"/>
  <c r="BN123" i="2"/>
  <c r="BM123" i="2"/>
  <c r="BL123" i="2"/>
  <c r="BK123" i="2"/>
  <c r="BJ123" i="2"/>
  <c r="BI123" i="2"/>
  <c r="BH123" i="2"/>
  <c r="BG123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B109" i="2"/>
  <c r="J108" i="2"/>
  <c r="K108" i="2" s="1"/>
  <c r="L108" i="2" s="1"/>
  <c r="M108" i="2" s="1"/>
  <c r="N108" i="2" s="1"/>
  <c r="O108" i="2" s="1"/>
  <c r="P108" i="2" s="1"/>
  <c r="Q108" i="2" s="1"/>
  <c r="R108" i="2" s="1"/>
  <c r="S108" i="2" s="1"/>
  <c r="T108" i="2" s="1"/>
  <c r="U108" i="2" s="1"/>
  <c r="V108" i="2" s="1"/>
  <c r="W108" i="2" s="1"/>
  <c r="X108" i="2" s="1"/>
  <c r="Y108" i="2" s="1"/>
  <c r="Z108" i="2" s="1"/>
  <c r="AA108" i="2" s="1"/>
  <c r="AB108" i="2" s="1"/>
  <c r="AC108" i="2" s="1"/>
  <c r="AD108" i="2" s="1"/>
  <c r="AE108" i="2" s="1"/>
  <c r="AF108" i="2" s="1"/>
  <c r="AG108" i="2" s="1"/>
  <c r="AH108" i="2" s="1"/>
  <c r="AI108" i="2" s="1"/>
  <c r="AJ108" i="2" s="1"/>
  <c r="AK108" i="2" s="1"/>
  <c r="AL108" i="2" s="1"/>
  <c r="AM108" i="2" s="1"/>
  <c r="AN108" i="2" s="1"/>
  <c r="AO108" i="2" s="1"/>
  <c r="AP108" i="2" s="1"/>
  <c r="AQ108" i="2" s="1"/>
  <c r="AR108" i="2" s="1"/>
  <c r="AS108" i="2" s="1"/>
  <c r="AT108" i="2" s="1"/>
  <c r="AU108" i="2" s="1"/>
  <c r="AV108" i="2" s="1"/>
  <c r="AW108" i="2" s="1"/>
  <c r="AX108" i="2" s="1"/>
  <c r="AY108" i="2" s="1"/>
  <c r="AZ108" i="2" s="1"/>
  <c r="BA108" i="2" s="1"/>
  <c r="BB108" i="2" s="1"/>
  <c r="BC108" i="2" s="1"/>
  <c r="BD108" i="2" s="1"/>
  <c r="BE108" i="2" s="1"/>
  <c r="BF108" i="2" s="1"/>
  <c r="BG108" i="2" s="1"/>
  <c r="BH108" i="2" s="1"/>
  <c r="BI108" i="2" s="1"/>
  <c r="BJ108" i="2" s="1"/>
  <c r="BK108" i="2" s="1"/>
  <c r="BL108" i="2" s="1"/>
  <c r="BM108" i="2" s="1"/>
  <c r="BN108" i="2" s="1"/>
  <c r="BO108" i="2" s="1"/>
  <c r="BP108" i="2" s="1"/>
  <c r="BQ108" i="2" s="1"/>
  <c r="BR108" i="2" s="1"/>
  <c r="BS108" i="2" s="1"/>
  <c r="BT108" i="2" s="1"/>
  <c r="BU108" i="2" s="1"/>
  <c r="BV108" i="2" s="1"/>
  <c r="BW108" i="2" s="1"/>
  <c r="BX108" i="2" s="1"/>
  <c r="BY108" i="2" s="1"/>
  <c r="BZ108" i="2" s="1"/>
  <c r="CA108" i="2" s="1"/>
  <c r="CB108" i="2" s="1"/>
  <c r="CC108" i="2" s="1"/>
  <c r="CD108" i="2" s="1"/>
  <c r="CE108" i="2" s="1"/>
  <c r="CF108" i="2" s="1"/>
  <c r="CG108" i="2" s="1"/>
  <c r="CH108" i="2" s="1"/>
  <c r="CI108" i="2" s="1"/>
  <c r="CJ108" i="2" s="1"/>
  <c r="CK108" i="2" s="1"/>
  <c r="CL108" i="2" s="1"/>
  <c r="G108" i="2"/>
  <c r="H108" i="2" s="1"/>
  <c r="I108" i="2" s="1"/>
  <c r="B108" i="2"/>
  <c r="G107" i="2"/>
  <c r="H107" i="2" s="1"/>
  <c r="I107" i="2" s="1"/>
  <c r="J107" i="2" s="1"/>
  <c r="K107" i="2" s="1"/>
  <c r="L107" i="2" s="1"/>
  <c r="M107" i="2" s="1"/>
  <c r="N107" i="2" s="1"/>
  <c r="O107" i="2" s="1"/>
  <c r="P107" i="2" s="1"/>
  <c r="Q107" i="2" s="1"/>
  <c r="R107" i="2" s="1"/>
  <c r="S107" i="2" s="1"/>
  <c r="T107" i="2" s="1"/>
  <c r="U107" i="2" s="1"/>
  <c r="V107" i="2" s="1"/>
  <c r="W107" i="2" s="1"/>
  <c r="X107" i="2" s="1"/>
  <c r="Y107" i="2" s="1"/>
  <c r="Z107" i="2" s="1"/>
  <c r="AA107" i="2" s="1"/>
  <c r="AB107" i="2" s="1"/>
  <c r="AC107" i="2" s="1"/>
  <c r="AD107" i="2" s="1"/>
  <c r="AE107" i="2" s="1"/>
  <c r="AF107" i="2" s="1"/>
  <c r="AG107" i="2" s="1"/>
  <c r="AH107" i="2" s="1"/>
  <c r="AI107" i="2" s="1"/>
  <c r="AJ107" i="2" s="1"/>
  <c r="AK107" i="2" s="1"/>
  <c r="AL107" i="2" s="1"/>
  <c r="AM107" i="2" s="1"/>
  <c r="AN107" i="2" s="1"/>
  <c r="AO107" i="2" s="1"/>
  <c r="AP107" i="2" s="1"/>
  <c r="AQ107" i="2" s="1"/>
  <c r="AR107" i="2" s="1"/>
  <c r="AS107" i="2" s="1"/>
  <c r="AT107" i="2" s="1"/>
  <c r="AU107" i="2" s="1"/>
  <c r="AV107" i="2" s="1"/>
  <c r="AW107" i="2" s="1"/>
  <c r="AX107" i="2" s="1"/>
  <c r="AY107" i="2" s="1"/>
  <c r="AZ107" i="2" s="1"/>
  <c r="BA107" i="2" s="1"/>
  <c r="BB107" i="2" s="1"/>
  <c r="BC107" i="2" s="1"/>
  <c r="BD107" i="2" s="1"/>
  <c r="BE107" i="2" s="1"/>
  <c r="BF107" i="2" s="1"/>
  <c r="BG107" i="2" s="1"/>
  <c r="BH107" i="2" s="1"/>
  <c r="BI107" i="2" s="1"/>
  <c r="BJ107" i="2" s="1"/>
  <c r="BK107" i="2" s="1"/>
  <c r="BL107" i="2" s="1"/>
  <c r="BM107" i="2" s="1"/>
  <c r="BN107" i="2" s="1"/>
  <c r="BO107" i="2" s="1"/>
  <c r="BP107" i="2" s="1"/>
  <c r="BQ107" i="2" s="1"/>
  <c r="BR107" i="2" s="1"/>
  <c r="BS107" i="2" s="1"/>
  <c r="BT107" i="2" s="1"/>
  <c r="BU107" i="2" s="1"/>
  <c r="BV107" i="2" s="1"/>
  <c r="BW107" i="2" s="1"/>
  <c r="BX107" i="2" s="1"/>
  <c r="BY107" i="2" s="1"/>
  <c r="BZ107" i="2" s="1"/>
  <c r="CA107" i="2" s="1"/>
  <c r="CB107" i="2" s="1"/>
  <c r="CC107" i="2" s="1"/>
  <c r="CD107" i="2" s="1"/>
  <c r="CE107" i="2" s="1"/>
  <c r="CF107" i="2" s="1"/>
  <c r="CG107" i="2" s="1"/>
  <c r="CH107" i="2" s="1"/>
  <c r="CI107" i="2" s="1"/>
  <c r="CJ107" i="2" s="1"/>
  <c r="CK107" i="2" s="1"/>
  <c r="CL107" i="2" s="1"/>
  <c r="B107" i="2"/>
  <c r="G106" i="2"/>
  <c r="H106" i="2" s="1"/>
  <c r="I106" i="2" s="1"/>
  <c r="J106" i="2" s="1"/>
  <c r="K106" i="2" s="1"/>
  <c r="L106" i="2" s="1"/>
  <c r="M106" i="2" s="1"/>
  <c r="N106" i="2" s="1"/>
  <c r="O106" i="2" s="1"/>
  <c r="P106" i="2" s="1"/>
  <c r="Q106" i="2" s="1"/>
  <c r="R106" i="2" s="1"/>
  <c r="S106" i="2" s="1"/>
  <c r="T106" i="2" s="1"/>
  <c r="U106" i="2" s="1"/>
  <c r="V106" i="2" s="1"/>
  <c r="W106" i="2" s="1"/>
  <c r="X106" i="2" s="1"/>
  <c r="Y106" i="2" s="1"/>
  <c r="Z106" i="2" s="1"/>
  <c r="AA106" i="2" s="1"/>
  <c r="AB106" i="2" s="1"/>
  <c r="AC106" i="2" s="1"/>
  <c r="AD106" i="2" s="1"/>
  <c r="AE106" i="2" s="1"/>
  <c r="AF106" i="2" s="1"/>
  <c r="AG106" i="2" s="1"/>
  <c r="AH106" i="2" s="1"/>
  <c r="AI106" i="2" s="1"/>
  <c r="AJ106" i="2" s="1"/>
  <c r="AK106" i="2" s="1"/>
  <c r="AL106" i="2" s="1"/>
  <c r="AM106" i="2" s="1"/>
  <c r="AN106" i="2" s="1"/>
  <c r="AO106" i="2" s="1"/>
  <c r="AP106" i="2" s="1"/>
  <c r="AQ106" i="2" s="1"/>
  <c r="AR106" i="2" s="1"/>
  <c r="AS106" i="2" s="1"/>
  <c r="AT106" i="2" s="1"/>
  <c r="AU106" i="2" s="1"/>
  <c r="AV106" i="2" s="1"/>
  <c r="AW106" i="2" s="1"/>
  <c r="AX106" i="2" s="1"/>
  <c r="AY106" i="2" s="1"/>
  <c r="AZ106" i="2" s="1"/>
  <c r="BA106" i="2" s="1"/>
  <c r="BB106" i="2" s="1"/>
  <c r="BC106" i="2" s="1"/>
  <c r="BD106" i="2" s="1"/>
  <c r="BE106" i="2" s="1"/>
  <c r="BF106" i="2" s="1"/>
  <c r="BG106" i="2" s="1"/>
  <c r="BH106" i="2" s="1"/>
  <c r="BI106" i="2" s="1"/>
  <c r="BJ106" i="2" s="1"/>
  <c r="BK106" i="2" s="1"/>
  <c r="BL106" i="2" s="1"/>
  <c r="BM106" i="2" s="1"/>
  <c r="BN106" i="2" s="1"/>
  <c r="BO106" i="2" s="1"/>
  <c r="BP106" i="2" s="1"/>
  <c r="BQ106" i="2" s="1"/>
  <c r="BR106" i="2" s="1"/>
  <c r="BS106" i="2" s="1"/>
  <c r="BT106" i="2" s="1"/>
  <c r="BU106" i="2" s="1"/>
  <c r="BV106" i="2" s="1"/>
  <c r="BW106" i="2" s="1"/>
  <c r="BX106" i="2" s="1"/>
  <c r="BY106" i="2" s="1"/>
  <c r="BZ106" i="2" s="1"/>
  <c r="CA106" i="2" s="1"/>
  <c r="CB106" i="2" s="1"/>
  <c r="CC106" i="2" s="1"/>
  <c r="CD106" i="2" s="1"/>
  <c r="CE106" i="2" s="1"/>
  <c r="CF106" i="2" s="1"/>
  <c r="CG106" i="2" s="1"/>
  <c r="CH106" i="2" s="1"/>
  <c r="CI106" i="2" s="1"/>
  <c r="CJ106" i="2" s="1"/>
  <c r="CK106" i="2" s="1"/>
  <c r="CL106" i="2" s="1"/>
  <c r="B106" i="2"/>
  <c r="J105" i="2"/>
  <c r="K105" i="2" s="1"/>
  <c r="L105" i="2" s="1"/>
  <c r="M105" i="2" s="1"/>
  <c r="N105" i="2" s="1"/>
  <c r="O105" i="2" s="1"/>
  <c r="P105" i="2" s="1"/>
  <c r="Q105" i="2" s="1"/>
  <c r="R105" i="2" s="1"/>
  <c r="S105" i="2" s="1"/>
  <c r="T105" i="2" s="1"/>
  <c r="U105" i="2" s="1"/>
  <c r="V105" i="2" s="1"/>
  <c r="W105" i="2" s="1"/>
  <c r="X105" i="2" s="1"/>
  <c r="Y105" i="2" s="1"/>
  <c r="Z105" i="2" s="1"/>
  <c r="AA105" i="2" s="1"/>
  <c r="AB105" i="2" s="1"/>
  <c r="AC105" i="2" s="1"/>
  <c r="AD105" i="2" s="1"/>
  <c r="AE105" i="2" s="1"/>
  <c r="AF105" i="2" s="1"/>
  <c r="AG105" i="2" s="1"/>
  <c r="AH105" i="2" s="1"/>
  <c r="AI105" i="2" s="1"/>
  <c r="AJ105" i="2" s="1"/>
  <c r="AK105" i="2" s="1"/>
  <c r="AL105" i="2" s="1"/>
  <c r="AM105" i="2" s="1"/>
  <c r="AN105" i="2" s="1"/>
  <c r="AO105" i="2" s="1"/>
  <c r="AP105" i="2" s="1"/>
  <c r="AQ105" i="2" s="1"/>
  <c r="AR105" i="2" s="1"/>
  <c r="AS105" i="2" s="1"/>
  <c r="AT105" i="2" s="1"/>
  <c r="AU105" i="2" s="1"/>
  <c r="AV105" i="2" s="1"/>
  <c r="AW105" i="2" s="1"/>
  <c r="AX105" i="2" s="1"/>
  <c r="AY105" i="2" s="1"/>
  <c r="AZ105" i="2" s="1"/>
  <c r="BA105" i="2" s="1"/>
  <c r="BB105" i="2" s="1"/>
  <c r="BC105" i="2" s="1"/>
  <c r="BD105" i="2" s="1"/>
  <c r="BE105" i="2" s="1"/>
  <c r="BF105" i="2" s="1"/>
  <c r="BG105" i="2" s="1"/>
  <c r="BH105" i="2" s="1"/>
  <c r="BI105" i="2" s="1"/>
  <c r="BJ105" i="2" s="1"/>
  <c r="BK105" i="2" s="1"/>
  <c r="BL105" i="2" s="1"/>
  <c r="BM105" i="2" s="1"/>
  <c r="BN105" i="2" s="1"/>
  <c r="BO105" i="2" s="1"/>
  <c r="BP105" i="2" s="1"/>
  <c r="BQ105" i="2" s="1"/>
  <c r="BR105" i="2" s="1"/>
  <c r="BS105" i="2" s="1"/>
  <c r="BT105" i="2" s="1"/>
  <c r="BU105" i="2" s="1"/>
  <c r="BV105" i="2" s="1"/>
  <c r="BW105" i="2" s="1"/>
  <c r="BX105" i="2" s="1"/>
  <c r="BY105" i="2" s="1"/>
  <c r="BZ105" i="2" s="1"/>
  <c r="CA105" i="2" s="1"/>
  <c r="CB105" i="2" s="1"/>
  <c r="CC105" i="2" s="1"/>
  <c r="CD105" i="2" s="1"/>
  <c r="CE105" i="2" s="1"/>
  <c r="CF105" i="2" s="1"/>
  <c r="CG105" i="2" s="1"/>
  <c r="CH105" i="2" s="1"/>
  <c r="CI105" i="2" s="1"/>
  <c r="CJ105" i="2" s="1"/>
  <c r="CK105" i="2" s="1"/>
  <c r="CL105" i="2" s="1"/>
  <c r="I105" i="2"/>
  <c r="H105" i="2"/>
  <c r="G105" i="2"/>
  <c r="B105" i="2"/>
  <c r="Q104" i="2"/>
  <c r="R104" i="2" s="1"/>
  <c r="S104" i="2" s="1"/>
  <c r="T104" i="2" s="1"/>
  <c r="U104" i="2" s="1"/>
  <c r="V104" i="2" s="1"/>
  <c r="W104" i="2" s="1"/>
  <c r="X104" i="2" s="1"/>
  <c r="Y104" i="2" s="1"/>
  <c r="Z104" i="2" s="1"/>
  <c r="AA104" i="2" s="1"/>
  <c r="AB104" i="2" s="1"/>
  <c r="AC104" i="2" s="1"/>
  <c r="AD104" i="2" s="1"/>
  <c r="AE104" i="2" s="1"/>
  <c r="AF104" i="2" s="1"/>
  <c r="AG104" i="2" s="1"/>
  <c r="AH104" i="2" s="1"/>
  <c r="AI104" i="2" s="1"/>
  <c r="AJ104" i="2" s="1"/>
  <c r="AK104" i="2" s="1"/>
  <c r="AL104" i="2" s="1"/>
  <c r="AM104" i="2" s="1"/>
  <c r="AN104" i="2" s="1"/>
  <c r="AO104" i="2" s="1"/>
  <c r="AP104" i="2" s="1"/>
  <c r="AQ104" i="2" s="1"/>
  <c r="AR104" i="2" s="1"/>
  <c r="AS104" i="2" s="1"/>
  <c r="AT104" i="2" s="1"/>
  <c r="AU104" i="2" s="1"/>
  <c r="AV104" i="2" s="1"/>
  <c r="AW104" i="2" s="1"/>
  <c r="AX104" i="2" s="1"/>
  <c r="AY104" i="2" s="1"/>
  <c r="AZ104" i="2" s="1"/>
  <c r="BA104" i="2" s="1"/>
  <c r="BB104" i="2" s="1"/>
  <c r="BC104" i="2" s="1"/>
  <c r="BD104" i="2" s="1"/>
  <c r="BE104" i="2" s="1"/>
  <c r="BF104" i="2" s="1"/>
  <c r="BG104" i="2" s="1"/>
  <c r="BH104" i="2" s="1"/>
  <c r="BI104" i="2" s="1"/>
  <c r="BJ104" i="2" s="1"/>
  <c r="BK104" i="2" s="1"/>
  <c r="BL104" i="2" s="1"/>
  <c r="BM104" i="2" s="1"/>
  <c r="BN104" i="2" s="1"/>
  <c r="BO104" i="2" s="1"/>
  <c r="BP104" i="2" s="1"/>
  <c r="BQ104" i="2" s="1"/>
  <c r="BR104" i="2" s="1"/>
  <c r="BS104" i="2" s="1"/>
  <c r="BT104" i="2" s="1"/>
  <c r="BU104" i="2" s="1"/>
  <c r="BV104" i="2" s="1"/>
  <c r="BW104" i="2" s="1"/>
  <c r="BX104" i="2" s="1"/>
  <c r="BY104" i="2" s="1"/>
  <c r="BZ104" i="2" s="1"/>
  <c r="CA104" i="2" s="1"/>
  <c r="CB104" i="2" s="1"/>
  <c r="CC104" i="2" s="1"/>
  <c r="CD104" i="2" s="1"/>
  <c r="CE104" i="2" s="1"/>
  <c r="CF104" i="2" s="1"/>
  <c r="CG104" i="2" s="1"/>
  <c r="CH104" i="2" s="1"/>
  <c r="CI104" i="2" s="1"/>
  <c r="CJ104" i="2" s="1"/>
  <c r="CK104" i="2" s="1"/>
  <c r="CL104" i="2" s="1"/>
  <c r="P104" i="2"/>
  <c r="I104" i="2"/>
  <c r="J104" i="2" s="1"/>
  <c r="K104" i="2" s="1"/>
  <c r="L104" i="2" s="1"/>
  <c r="M104" i="2" s="1"/>
  <c r="N104" i="2" s="1"/>
  <c r="O104" i="2" s="1"/>
  <c r="G104" i="2"/>
  <c r="H104" i="2" s="1"/>
  <c r="B104" i="2"/>
  <c r="P103" i="2"/>
  <c r="Q103" i="2" s="1"/>
  <c r="R103" i="2" s="1"/>
  <c r="S103" i="2" s="1"/>
  <c r="T103" i="2" s="1"/>
  <c r="U103" i="2" s="1"/>
  <c r="V103" i="2" s="1"/>
  <c r="W103" i="2" s="1"/>
  <c r="X103" i="2" s="1"/>
  <c r="Y103" i="2" s="1"/>
  <c r="Z103" i="2" s="1"/>
  <c r="AA103" i="2" s="1"/>
  <c r="AB103" i="2" s="1"/>
  <c r="AC103" i="2" s="1"/>
  <c r="AD103" i="2" s="1"/>
  <c r="AE103" i="2" s="1"/>
  <c r="AF103" i="2" s="1"/>
  <c r="AG103" i="2" s="1"/>
  <c r="AH103" i="2" s="1"/>
  <c r="AI103" i="2" s="1"/>
  <c r="AJ103" i="2" s="1"/>
  <c r="AK103" i="2" s="1"/>
  <c r="AL103" i="2" s="1"/>
  <c r="AM103" i="2" s="1"/>
  <c r="AN103" i="2" s="1"/>
  <c r="AO103" i="2" s="1"/>
  <c r="AP103" i="2" s="1"/>
  <c r="AQ103" i="2" s="1"/>
  <c r="AR103" i="2" s="1"/>
  <c r="AS103" i="2" s="1"/>
  <c r="AT103" i="2" s="1"/>
  <c r="AU103" i="2" s="1"/>
  <c r="AV103" i="2" s="1"/>
  <c r="AW103" i="2" s="1"/>
  <c r="AX103" i="2" s="1"/>
  <c r="AY103" i="2" s="1"/>
  <c r="AZ103" i="2" s="1"/>
  <c r="BA103" i="2" s="1"/>
  <c r="BB103" i="2" s="1"/>
  <c r="BC103" i="2" s="1"/>
  <c r="BD103" i="2" s="1"/>
  <c r="BE103" i="2" s="1"/>
  <c r="BF103" i="2" s="1"/>
  <c r="BG103" i="2" s="1"/>
  <c r="BH103" i="2" s="1"/>
  <c r="BI103" i="2" s="1"/>
  <c r="BJ103" i="2" s="1"/>
  <c r="BK103" i="2" s="1"/>
  <c r="BL103" i="2" s="1"/>
  <c r="BM103" i="2" s="1"/>
  <c r="BN103" i="2" s="1"/>
  <c r="BO103" i="2" s="1"/>
  <c r="BP103" i="2" s="1"/>
  <c r="BQ103" i="2" s="1"/>
  <c r="BR103" i="2" s="1"/>
  <c r="BS103" i="2" s="1"/>
  <c r="BT103" i="2" s="1"/>
  <c r="BU103" i="2" s="1"/>
  <c r="BV103" i="2" s="1"/>
  <c r="BW103" i="2" s="1"/>
  <c r="BX103" i="2" s="1"/>
  <c r="BY103" i="2" s="1"/>
  <c r="BZ103" i="2" s="1"/>
  <c r="CA103" i="2" s="1"/>
  <c r="CB103" i="2" s="1"/>
  <c r="CC103" i="2" s="1"/>
  <c r="CD103" i="2" s="1"/>
  <c r="CE103" i="2" s="1"/>
  <c r="CF103" i="2" s="1"/>
  <c r="CG103" i="2" s="1"/>
  <c r="CH103" i="2" s="1"/>
  <c r="CI103" i="2" s="1"/>
  <c r="CJ103" i="2" s="1"/>
  <c r="CK103" i="2" s="1"/>
  <c r="CL103" i="2" s="1"/>
  <c r="O103" i="2"/>
  <c r="H103" i="2"/>
  <c r="I103" i="2" s="1"/>
  <c r="J103" i="2" s="1"/>
  <c r="K103" i="2" s="1"/>
  <c r="L103" i="2" s="1"/>
  <c r="M103" i="2" s="1"/>
  <c r="N103" i="2" s="1"/>
  <c r="G103" i="2"/>
  <c r="B103" i="2"/>
  <c r="S102" i="2"/>
  <c r="T102" i="2" s="1"/>
  <c r="U102" i="2" s="1"/>
  <c r="V102" i="2" s="1"/>
  <c r="W102" i="2" s="1"/>
  <c r="X102" i="2" s="1"/>
  <c r="Y102" i="2" s="1"/>
  <c r="Z102" i="2" s="1"/>
  <c r="AA102" i="2" s="1"/>
  <c r="AB102" i="2" s="1"/>
  <c r="AC102" i="2" s="1"/>
  <c r="AD102" i="2" s="1"/>
  <c r="AE102" i="2" s="1"/>
  <c r="AF102" i="2" s="1"/>
  <c r="AG102" i="2" s="1"/>
  <c r="AH102" i="2" s="1"/>
  <c r="AI102" i="2" s="1"/>
  <c r="AJ102" i="2" s="1"/>
  <c r="AK102" i="2" s="1"/>
  <c r="AL102" i="2" s="1"/>
  <c r="AM102" i="2" s="1"/>
  <c r="AN102" i="2" s="1"/>
  <c r="AO102" i="2" s="1"/>
  <c r="AP102" i="2" s="1"/>
  <c r="AQ102" i="2" s="1"/>
  <c r="AR102" i="2" s="1"/>
  <c r="AS102" i="2" s="1"/>
  <c r="AT102" i="2" s="1"/>
  <c r="AU102" i="2" s="1"/>
  <c r="AV102" i="2" s="1"/>
  <c r="AW102" i="2" s="1"/>
  <c r="AX102" i="2" s="1"/>
  <c r="AY102" i="2" s="1"/>
  <c r="AZ102" i="2" s="1"/>
  <c r="BA102" i="2" s="1"/>
  <c r="BB102" i="2" s="1"/>
  <c r="BC102" i="2" s="1"/>
  <c r="BD102" i="2" s="1"/>
  <c r="BE102" i="2" s="1"/>
  <c r="BF102" i="2" s="1"/>
  <c r="BG102" i="2" s="1"/>
  <c r="BH102" i="2" s="1"/>
  <c r="BI102" i="2" s="1"/>
  <c r="BJ102" i="2" s="1"/>
  <c r="BK102" i="2" s="1"/>
  <c r="BL102" i="2" s="1"/>
  <c r="BM102" i="2" s="1"/>
  <c r="BN102" i="2" s="1"/>
  <c r="BO102" i="2" s="1"/>
  <c r="BP102" i="2" s="1"/>
  <c r="BQ102" i="2" s="1"/>
  <c r="BR102" i="2" s="1"/>
  <c r="BS102" i="2" s="1"/>
  <c r="BT102" i="2" s="1"/>
  <c r="BU102" i="2" s="1"/>
  <c r="BV102" i="2" s="1"/>
  <c r="BW102" i="2" s="1"/>
  <c r="BX102" i="2" s="1"/>
  <c r="BY102" i="2" s="1"/>
  <c r="BZ102" i="2" s="1"/>
  <c r="CA102" i="2" s="1"/>
  <c r="CB102" i="2" s="1"/>
  <c r="CC102" i="2" s="1"/>
  <c r="CD102" i="2" s="1"/>
  <c r="CE102" i="2" s="1"/>
  <c r="CF102" i="2" s="1"/>
  <c r="CG102" i="2" s="1"/>
  <c r="CH102" i="2" s="1"/>
  <c r="CI102" i="2" s="1"/>
  <c r="CJ102" i="2" s="1"/>
  <c r="CK102" i="2" s="1"/>
  <c r="CL102" i="2" s="1"/>
  <c r="Q102" i="2"/>
  <c r="R102" i="2" s="1"/>
  <c r="P102" i="2"/>
  <c r="I102" i="2"/>
  <c r="J102" i="2" s="1"/>
  <c r="K102" i="2" s="1"/>
  <c r="L102" i="2" s="1"/>
  <c r="M102" i="2" s="1"/>
  <c r="N102" i="2" s="1"/>
  <c r="O102" i="2" s="1"/>
  <c r="H102" i="2"/>
  <c r="G102" i="2"/>
  <c r="B102" i="2"/>
  <c r="G101" i="2"/>
  <c r="H101" i="2" s="1"/>
  <c r="I101" i="2" s="1"/>
  <c r="J101" i="2" s="1"/>
  <c r="K101" i="2" s="1"/>
  <c r="L101" i="2" s="1"/>
  <c r="M101" i="2" s="1"/>
  <c r="N101" i="2" s="1"/>
  <c r="O101" i="2" s="1"/>
  <c r="P101" i="2" s="1"/>
  <c r="Q101" i="2" s="1"/>
  <c r="R101" i="2" s="1"/>
  <c r="S101" i="2" s="1"/>
  <c r="T101" i="2" s="1"/>
  <c r="U101" i="2" s="1"/>
  <c r="V101" i="2" s="1"/>
  <c r="W101" i="2" s="1"/>
  <c r="X101" i="2" s="1"/>
  <c r="Y101" i="2" s="1"/>
  <c r="Z101" i="2" s="1"/>
  <c r="AA101" i="2" s="1"/>
  <c r="AB101" i="2" s="1"/>
  <c r="AC101" i="2" s="1"/>
  <c r="AD101" i="2" s="1"/>
  <c r="AE101" i="2" s="1"/>
  <c r="AF101" i="2" s="1"/>
  <c r="AG101" i="2" s="1"/>
  <c r="AH101" i="2" s="1"/>
  <c r="AI101" i="2" s="1"/>
  <c r="AJ101" i="2" s="1"/>
  <c r="AK101" i="2" s="1"/>
  <c r="AL101" i="2" s="1"/>
  <c r="AM101" i="2" s="1"/>
  <c r="AN101" i="2" s="1"/>
  <c r="AO101" i="2" s="1"/>
  <c r="AP101" i="2" s="1"/>
  <c r="AQ101" i="2" s="1"/>
  <c r="AR101" i="2" s="1"/>
  <c r="AS101" i="2" s="1"/>
  <c r="AT101" i="2" s="1"/>
  <c r="AU101" i="2" s="1"/>
  <c r="AV101" i="2" s="1"/>
  <c r="AW101" i="2" s="1"/>
  <c r="AX101" i="2" s="1"/>
  <c r="AY101" i="2" s="1"/>
  <c r="AZ101" i="2" s="1"/>
  <c r="BA101" i="2" s="1"/>
  <c r="BB101" i="2" s="1"/>
  <c r="BC101" i="2" s="1"/>
  <c r="BD101" i="2" s="1"/>
  <c r="BE101" i="2" s="1"/>
  <c r="BF101" i="2" s="1"/>
  <c r="BG101" i="2" s="1"/>
  <c r="BH101" i="2" s="1"/>
  <c r="BI101" i="2" s="1"/>
  <c r="BJ101" i="2" s="1"/>
  <c r="BK101" i="2" s="1"/>
  <c r="BL101" i="2" s="1"/>
  <c r="BM101" i="2" s="1"/>
  <c r="BN101" i="2" s="1"/>
  <c r="BO101" i="2" s="1"/>
  <c r="BP101" i="2" s="1"/>
  <c r="BQ101" i="2" s="1"/>
  <c r="BR101" i="2" s="1"/>
  <c r="BS101" i="2" s="1"/>
  <c r="BT101" i="2" s="1"/>
  <c r="BU101" i="2" s="1"/>
  <c r="BV101" i="2" s="1"/>
  <c r="BW101" i="2" s="1"/>
  <c r="BX101" i="2" s="1"/>
  <c r="BY101" i="2" s="1"/>
  <c r="BZ101" i="2" s="1"/>
  <c r="CA101" i="2" s="1"/>
  <c r="CB101" i="2" s="1"/>
  <c r="CC101" i="2" s="1"/>
  <c r="CD101" i="2" s="1"/>
  <c r="CE101" i="2" s="1"/>
  <c r="CF101" i="2" s="1"/>
  <c r="CG101" i="2" s="1"/>
  <c r="CH101" i="2" s="1"/>
  <c r="CI101" i="2" s="1"/>
  <c r="CJ101" i="2" s="1"/>
  <c r="CK101" i="2" s="1"/>
  <c r="CL101" i="2" s="1"/>
  <c r="B101" i="2"/>
  <c r="G100" i="2"/>
  <c r="H100" i="2" s="1"/>
  <c r="I100" i="2" s="1"/>
  <c r="J100" i="2" s="1"/>
  <c r="K100" i="2" s="1"/>
  <c r="L100" i="2" s="1"/>
  <c r="M100" i="2" s="1"/>
  <c r="N100" i="2" s="1"/>
  <c r="O100" i="2" s="1"/>
  <c r="P100" i="2" s="1"/>
  <c r="Q100" i="2" s="1"/>
  <c r="R100" i="2" s="1"/>
  <c r="S100" i="2" s="1"/>
  <c r="T100" i="2" s="1"/>
  <c r="U100" i="2" s="1"/>
  <c r="V100" i="2" s="1"/>
  <c r="W100" i="2" s="1"/>
  <c r="X100" i="2" s="1"/>
  <c r="Y100" i="2" s="1"/>
  <c r="Z100" i="2" s="1"/>
  <c r="AA100" i="2" s="1"/>
  <c r="AB100" i="2" s="1"/>
  <c r="AC100" i="2" s="1"/>
  <c r="AD100" i="2" s="1"/>
  <c r="AE100" i="2" s="1"/>
  <c r="AF100" i="2" s="1"/>
  <c r="AG100" i="2" s="1"/>
  <c r="AH100" i="2" s="1"/>
  <c r="AI100" i="2" s="1"/>
  <c r="AJ100" i="2" s="1"/>
  <c r="AK100" i="2" s="1"/>
  <c r="AL100" i="2" s="1"/>
  <c r="AM100" i="2" s="1"/>
  <c r="AN100" i="2" s="1"/>
  <c r="AO100" i="2" s="1"/>
  <c r="AP100" i="2" s="1"/>
  <c r="AQ100" i="2" s="1"/>
  <c r="AR100" i="2" s="1"/>
  <c r="AS100" i="2" s="1"/>
  <c r="AT100" i="2" s="1"/>
  <c r="AU100" i="2" s="1"/>
  <c r="AV100" i="2" s="1"/>
  <c r="AW100" i="2" s="1"/>
  <c r="AX100" i="2" s="1"/>
  <c r="AY100" i="2" s="1"/>
  <c r="AZ100" i="2" s="1"/>
  <c r="BA100" i="2" s="1"/>
  <c r="BB100" i="2" s="1"/>
  <c r="BC100" i="2" s="1"/>
  <c r="BD100" i="2" s="1"/>
  <c r="BE100" i="2" s="1"/>
  <c r="BF100" i="2" s="1"/>
  <c r="BG100" i="2" s="1"/>
  <c r="BH100" i="2" s="1"/>
  <c r="BI100" i="2" s="1"/>
  <c r="BJ100" i="2" s="1"/>
  <c r="BK100" i="2" s="1"/>
  <c r="BL100" i="2" s="1"/>
  <c r="BM100" i="2" s="1"/>
  <c r="BN100" i="2" s="1"/>
  <c r="BO100" i="2" s="1"/>
  <c r="BP100" i="2" s="1"/>
  <c r="BQ100" i="2" s="1"/>
  <c r="BR100" i="2" s="1"/>
  <c r="BS100" i="2" s="1"/>
  <c r="BT100" i="2" s="1"/>
  <c r="BU100" i="2" s="1"/>
  <c r="BV100" i="2" s="1"/>
  <c r="BW100" i="2" s="1"/>
  <c r="BX100" i="2" s="1"/>
  <c r="BY100" i="2" s="1"/>
  <c r="BZ100" i="2" s="1"/>
  <c r="CA100" i="2" s="1"/>
  <c r="CB100" i="2" s="1"/>
  <c r="CC100" i="2" s="1"/>
  <c r="CD100" i="2" s="1"/>
  <c r="CE100" i="2" s="1"/>
  <c r="CF100" i="2" s="1"/>
  <c r="CG100" i="2" s="1"/>
  <c r="CH100" i="2" s="1"/>
  <c r="CI100" i="2" s="1"/>
  <c r="CJ100" i="2" s="1"/>
  <c r="CK100" i="2" s="1"/>
  <c r="CL100" i="2" s="1"/>
  <c r="B100" i="2"/>
  <c r="G99" i="2"/>
  <c r="H99" i="2" s="1"/>
  <c r="I99" i="2" s="1"/>
  <c r="J99" i="2" s="1"/>
  <c r="K99" i="2" s="1"/>
  <c r="L99" i="2" s="1"/>
  <c r="M99" i="2" s="1"/>
  <c r="N99" i="2" s="1"/>
  <c r="O99" i="2" s="1"/>
  <c r="P99" i="2" s="1"/>
  <c r="Q99" i="2" s="1"/>
  <c r="R99" i="2" s="1"/>
  <c r="S99" i="2" s="1"/>
  <c r="T99" i="2" s="1"/>
  <c r="U99" i="2" s="1"/>
  <c r="V99" i="2" s="1"/>
  <c r="W99" i="2" s="1"/>
  <c r="X99" i="2" s="1"/>
  <c r="Y99" i="2" s="1"/>
  <c r="Z99" i="2" s="1"/>
  <c r="AA99" i="2" s="1"/>
  <c r="AB99" i="2" s="1"/>
  <c r="AC99" i="2" s="1"/>
  <c r="AD99" i="2" s="1"/>
  <c r="AE99" i="2" s="1"/>
  <c r="AF99" i="2" s="1"/>
  <c r="AG99" i="2" s="1"/>
  <c r="AH99" i="2" s="1"/>
  <c r="AI99" i="2" s="1"/>
  <c r="AJ99" i="2" s="1"/>
  <c r="AK99" i="2" s="1"/>
  <c r="AL99" i="2" s="1"/>
  <c r="AM99" i="2" s="1"/>
  <c r="AN99" i="2" s="1"/>
  <c r="AO99" i="2" s="1"/>
  <c r="AP99" i="2" s="1"/>
  <c r="AQ99" i="2" s="1"/>
  <c r="AR99" i="2" s="1"/>
  <c r="AS99" i="2" s="1"/>
  <c r="AT99" i="2" s="1"/>
  <c r="AU99" i="2" s="1"/>
  <c r="AV99" i="2" s="1"/>
  <c r="AW99" i="2" s="1"/>
  <c r="AX99" i="2" s="1"/>
  <c r="AY99" i="2" s="1"/>
  <c r="AZ99" i="2" s="1"/>
  <c r="BA99" i="2" s="1"/>
  <c r="BB99" i="2" s="1"/>
  <c r="BC99" i="2" s="1"/>
  <c r="BD99" i="2" s="1"/>
  <c r="BE99" i="2" s="1"/>
  <c r="BF99" i="2" s="1"/>
  <c r="BG99" i="2" s="1"/>
  <c r="BH99" i="2" s="1"/>
  <c r="BI99" i="2" s="1"/>
  <c r="BJ99" i="2" s="1"/>
  <c r="BK99" i="2" s="1"/>
  <c r="BL99" i="2" s="1"/>
  <c r="BM99" i="2" s="1"/>
  <c r="BN99" i="2" s="1"/>
  <c r="BO99" i="2" s="1"/>
  <c r="BP99" i="2" s="1"/>
  <c r="BQ99" i="2" s="1"/>
  <c r="BR99" i="2" s="1"/>
  <c r="BS99" i="2" s="1"/>
  <c r="BT99" i="2" s="1"/>
  <c r="BU99" i="2" s="1"/>
  <c r="BV99" i="2" s="1"/>
  <c r="BW99" i="2" s="1"/>
  <c r="BX99" i="2" s="1"/>
  <c r="BY99" i="2" s="1"/>
  <c r="BZ99" i="2" s="1"/>
  <c r="CA99" i="2" s="1"/>
  <c r="CB99" i="2" s="1"/>
  <c r="CC99" i="2" s="1"/>
  <c r="CD99" i="2" s="1"/>
  <c r="CE99" i="2" s="1"/>
  <c r="CF99" i="2" s="1"/>
  <c r="CG99" i="2" s="1"/>
  <c r="CH99" i="2" s="1"/>
  <c r="CI99" i="2" s="1"/>
  <c r="CJ99" i="2" s="1"/>
  <c r="CK99" i="2" s="1"/>
  <c r="CL99" i="2" s="1"/>
  <c r="B99" i="2"/>
  <c r="G98" i="2"/>
  <c r="H98" i="2" s="1"/>
  <c r="I98" i="2" s="1"/>
  <c r="J98" i="2" s="1"/>
  <c r="K98" i="2" s="1"/>
  <c r="L98" i="2" s="1"/>
  <c r="M98" i="2" s="1"/>
  <c r="N98" i="2" s="1"/>
  <c r="O98" i="2" s="1"/>
  <c r="P98" i="2" s="1"/>
  <c r="Q98" i="2" s="1"/>
  <c r="R98" i="2" s="1"/>
  <c r="S98" i="2" s="1"/>
  <c r="T98" i="2" s="1"/>
  <c r="U98" i="2" s="1"/>
  <c r="V98" i="2" s="1"/>
  <c r="W98" i="2" s="1"/>
  <c r="X98" i="2" s="1"/>
  <c r="Y98" i="2" s="1"/>
  <c r="Z98" i="2" s="1"/>
  <c r="AA98" i="2" s="1"/>
  <c r="AB98" i="2" s="1"/>
  <c r="AC98" i="2" s="1"/>
  <c r="AD98" i="2" s="1"/>
  <c r="AE98" i="2" s="1"/>
  <c r="AF98" i="2" s="1"/>
  <c r="AG98" i="2" s="1"/>
  <c r="AH98" i="2" s="1"/>
  <c r="AI98" i="2" s="1"/>
  <c r="AJ98" i="2" s="1"/>
  <c r="AK98" i="2" s="1"/>
  <c r="AL98" i="2" s="1"/>
  <c r="AM98" i="2" s="1"/>
  <c r="AN98" i="2" s="1"/>
  <c r="AO98" i="2" s="1"/>
  <c r="AP98" i="2" s="1"/>
  <c r="AQ98" i="2" s="1"/>
  <c r="AR98" i="2" s="1"/>
  <c r="AS98" i="2" s="1"/>
  <c r="AT98" i="2" s="1"/>
  <c r="AU98" i="2" s="1"/>
  <c r="AV98" i="2" s="1"/>
  <c r="AW98" i="2" s="1"/>
  <c r="AX98" i="2" s="1"/>
  <c r="AY98" i="2" s="1"/>
  <c r="AZ98" i="2" s="1"/>
  <c r="BA98" i="2" s="1"/>
  <c r="BB98" i="2" s="1"/>
  <c r="BC98" i="2" s="1"/>
  <c r="BD98" i="2" s="1"/>
  <c r="BE98" i="2" s="1"/>
  <c r="BF98" i="2" s="1"/>
  <c r="BG98" i="2" s="1"/>
  <c r="BH98" i="2" s="1"/>
  <c r="BI98" i="2" s="1"/>
  <c r="BJ98" i="2" s="1"/>
  <c r="BK98" i="2" s="1"/>
  <c r="BL98" i="2" s="1"/>
  <c r="BM98" i="2" s="1"/>
  <c r="BN98" i="2" s="1"/>
  <c r="BO98" i="2" s="1"/>
  <c r="BP98" i="2" s="1"/>
  <c r="BQ98" i="2" s="1"/>
  <c r="BR98" i="2" s="1"/>
  <c r="BS98" i="2" s="1"/>
  <c r="BT98" i="2" s="1"/>
  <c r="BU98" i="2" s="1"/>
  <c r="BV98" i="2" s="1"/>
  <c r="BW98" i="2" s="1"/>
  <c r="BX98" i="2" s="1"/>
  <c r="BY98" i="2" s="1"/>
  <c r="BZ98" i="2" s="1"/>
  <c r="CA98" i="2" s="1"/>
  <c r="CB98" i="2" s="1"/>
  <c r="CC98" i="2" s="1"/>
  <c r="CD98" i="2" s="1"/>
  <c r="CE98" i="2" s="1"/>
  <c r="CF98" i="2" s="1"/>
  <c r="CG98" i="2" s="1"/>
  <c r="CH98" i="2" s="1"/>
  <c r="CI98" i="2" s="1"/>
  <c r="CJ98" i="2" s="1"/>
  <c r="CK98" i="2" s="1"/>
  <c r="CL98" i="2" s="1"/>
  <c r="B98" i="2"/>
  <c r="I97" i="2"/>
  <c r="J97" i="2" s="1"/>
  <c r="K97" i="2" s="1"/>
  <c r="L97" i="2" s="1"/>
  <c r="M97" i="2" s="1"/>
  <c r="N97" i="2" s="1"/>
  <c r="O97" i="2" s="1"/>
  <c r="P97" i="2" s="1"/>
  <c r="Q97" i="2" s="1"/>
  <c r="R97" i="2" s="1"/>
  <c r="S97" i="2" s="1"/>
  <c r="T97" i="2" s="1"/>
  <c r="U97" i="2" s="1"/>
  <c r="V97" i="2" s="1"/>
  <c r="W97" i="2" s="1"/>
  <c r="X97" i="2" s="1"/>
  <c r="Y97" i="2" s="1"/>
  <c r="Z97" i="2" s="1"/>
  <c r="AA97" i="2" s="1"/>
  <c r="AB97" i="2" s="1"/>
  <c r="AC97" i="2" s="1"/>
  <c r="AD97" i="2" s="1"/>
  <c r="AE97" i="2" s="1"/>
  <c r="AF97" i="2" s="1"/>
  <c r="AG97" i="2" s="1"/>
  <c r="AH97" i="2" s="1"/>
  <c r="AI97" i="2" s="1"/>
  <c r="AJ97" i="2" s="1"/>
  <c r="AK97" i="2" s="1"/>
  <c r="AL97" i="2" s="1"/>
  <c r="AM97" i="2" s="1"/>
  <c r="AN97" i="2" s="1"/>
  <c r="AO97" i="2" s="1"/>
  <c r="AP97" i="2" s="1"/>
  <c r="AQ97" i="2" s="1"/>
  <c r="AR97" i="2" s="1"/>
  <c r="AS97" i="2" s="1"/>
  <c r="AT97" i="2" s="1"/>
  <c r="AU97" i="2" s="1"/>
  <c r="AV97" i="2" s="1"/>
  <c r="AW97" i="2" s="1"/>
  <c r="AX97" i="2" s="1"/>
  <c r="AY97" i="2" s="1"/>
  <c r="AZ97" i="2" s="1"/>
  <c r="BA97" i="2" s="1"/>
  <c r="BB97" i="2" s="1"/>
  <c r="BC97" i="2" s="1"/>
  <c r="BD97" i="2" s="1"/>
  <c r="BE97" i="2" s="1"/>
  <c r="BF97" i="2" s="1"/>
  <c r="BG97" i="2" s="1"/>
  <c r="BH97" i="2" s="1"/>
  <c r="BI97" i="2" s="1"/>
  <c r="BJ97" i="2" s="1"/>
  <c r="BK97" i="2" s="1"/>
  <c r="BL97" i="2" s="1"/>
  <c r="BM97" i="2" s="1"/>
  <c r="BN97" i="2" s="1"/>
  <c r="BO97" i="2" s="1"/>
  <c r="BP97" i="2" s="1"/>
  <c r="BQ97" i="2" s="1"/>
  <c r="BR97" i="2" s="1"/>
  <c r="BS97" i="2" s="1"/>
  <c r="BT97" i="2" s="1"/>
  <c r="BU97" i="2" s="1"/>
  <c r="BV97" i="2" s="1"/>
  <c r="BW97" i="2" s="1"/>
  <c r="BX97" i="2" s="1"/>
  <c r="BY97" i="2" s="1"/>
  <c r="BZ97" i="2" s="1"/>
  <c r="CA97" i="2" s="1"/>
  <c r="CB97" i="2" s="1"/>
  <c r="CC97" i="2" s="1"/>
  <c r="CD97" i="2" s="1"/>
  <c r="CE97" i="2" s="1"/>
  <c r="CF97" i="2" s="1"/>
  <c r="CG97" i="2" s="1"/>
  <c r="CH97" i="2" s="1"/>
  <c r="CI97" i="2" s="1"/>
  <c r="CJ97" i="2" s="1"/>
  <c r="CK97" i="2" s="1"/>
  <c r="CL97" i="2" s="1"/>
  <c r="H97" i="2"/>
  <c r="G97" i="2"/>
  <c r="B97" i="2"/>
  <c r="S96" i="2"/>
  <c r="T96" i="2" s="1"/>
  <c r="U96" i="2" s="1"/>
  <c r="V96" i="2" s="1"/>
  <c r="W96" i="2" s="1"/>
  <c r="X96" i="2" s="1"/>
  <c r="Y96" i="2" s="1"/>
  <c r="Z96" i="2" s="1"/>
  <c r="AA96" i="2" s="1"/>
  <c r="AB96" i="2" s="1"/>
  <c r="AC96" i="2" s="1"/>
  <c r="AD96" i="2" s="1"/>
  <c r="AE96" i="2" s="1"/>
  <c r="AF96" i="2" s="1"/>
  <c r="AG96" i="2" s="1"/>
  <c r="AH96" i="2" s="1"/>
  <c r="AI96" i="2" s="1"/>
  <c r="AJ96" i="2" s="1"/>
  <c r="AK96" i="2" s="1"/>
  <c r="AL96" i="2" s="1"/>
  <c r="AM96" i="2" s="1"/>
  <c r="AN96" i="2" s="1"/>
  <c r="AO96" i="2" s="1"/>
  <c r="AP96" i="2" s="1"/>
  <c r="AQ96" i="2" s="1"/>
  <c r="AR96" i="2" s="1"/>
  <c r="AS96" i="2" s="1"/>
  <c r="AT96" i="2" s="1"/>
  <c r="AU96" i="2" s="1"/>
  <c r="AV96" i="2" s="1"/>
  <c r="AW96" i="2" s="1"/>
  <c r="AX96" i="2" s="1"/>
  <c r="AY96" i="2" s="1"/>
  <c r="AZ96" i="2" s="1"/>
  <c r="BA96" i="2" s="1"/>
  <c r="BB96" i="2" s="1"/>
  <c r="BC96" i="2" s="1"/>
  <c r="BD96" i="2" s="1"/>
  <c r="BE96" i="2" s="1"/>
  <c r="BF96" i="2" s="1"/>
  <c r="BG96" i="2" s="1"/>
  <c r="BH96" i="2" s="1"/>
  <c r="BI96" i="2" s="1"/>
  <c r="BJ96" i="2" s="1"/>
  <c r="BK96" i="2" s="1"/>
  <c r="BL96" i="2" s="1"/>
  <c r="BM96" i="2" s="1"/>
  <c r="BN96" i="2" s="1"/>
  <c r="BO96" i="2" s="1"/>
  <c r="BP96" i="2" s="1"/>
  <c r="BQ96" i="2" s="1"/>
  <c r="BR96" i="2" s="1"/>
  <c r="BS96" i="2" s="1"/>
  <c r="BT96" i="2" s="1"/>
  <c r="BU96" i="2" s="1"/>
  <c r="BV96" i="2" s="1"/>
  <c r="BW96" i="2" s="1"/>
  <c r="BX96" i="2" s="1"/>
  <c r="BY96" i="2" s="1"/>
  <c r="BZ96" i="2" s="1"/>
  <c r="CA96" i="2" s="1"/>
  <c r="CB96" i="2" s="1"/>
  <c r="CC96" i="2" s="1"/>
  <c r="CD96" i="2" s="1"/>
  <c r="CE96" i="2" s="1"/>
  <c r="CF96" i="2" s="1"/>
  <c r="CG96" i="2" s="1"/>
  <c r="CH96" i="2" s="1"/>
  <c r="CI96" i="2" s="1"/>
  <c r="CJ96" i="2" s="1"/>
  <c r="CK96" i="2" s="1"/>
  <c r="CL96" i="2" s="1"/>
  <c r="N96" i="2"/>
  <c r="O96" i="2" s="1"/>
  <c r="P96" i="2" s="1"/>
  <c r="Q96" i="2" s="1"/>
  <c r="R96" i="2" s="1"/>
  <c r="J96" i="2"/>
  <c r="K96" i="2" s="1"/>
  <c r="L96" i="2" s="1"/>
  <c r="M96" i="2" s="1"/>
  <c r="I96" i="2"/>
  <c r="H96" i="2"/>
  <c r="G96" i="2"/>
  <c r="B96" i="2"/>
  <c r="H95" i="2"/>
  <c r="G95" i="2"/>
  <c r="B95" i="2"/>
  <c r="C92" i="2"/>
  <c r="G109" i="2" s="1"/>
  <c r="H109" i="2" s="1"/>
  <c r="I109" i="2" s="1"/>
  <c r="J109" i="2" s="1"/>
  <c r="K109" i="2" s="1"/>
  <c r="L109" i="2" s="1"/>
  <c r="M109" i="2" s="1"/>
  <c r="N109" i="2" s="1"/>
  <c r="O109" i="2" s="1"/>
  <c r="P109" i="2" s="1"/>
  <c r="Q109" i="2" s="1"/>
  <c r="R109" i="2" s="1"/>
  <c r="S109" i="2" s="1"/>
  <c r="T109" i="2" s="1"/>
  <c r="U109" i="2" s="1"/>
  <c r="V109" i="2" s="1"/>
  <c r="W109" i="2" s="1"/>
  <c r="X109" i="2" s="1"/>
  <c r="Y109" i="2" s="1"/>
  <c r="Z109" i="2" s="1"/>
  <c r="AA109" i="2" s="1"/>
  <c r="AB109" i="2" s="1"/>
  <c r="AC109" i="2" s="1"/>
  <c r="AD109" i="2" s="1"/>
  <c r="AE109" i="2" s="1"/>
  <c r="AF109" i="2" s="1"/>
  <c r="AG109" i="2" s="1"/>
  <c r="AH109" i="2" s="1"/>
  <c r="AI109" i="2" s="1"/>
  <c r="AJ109" i="2" s="1"/>
  <c r="AK109" i="2" s="1"/>
  <c r="AL109" i="2" s="1"/>
  <c r="AM109" i="2" s="1"/>
  <c r="AN109" i="2" s="1"/>
  <c r="AO109" i="2" s="1"/>
  <c r="AP109" i="2" s="1"/>
  <c r="AQ109" i="2" s="1"/>
  <c r="AR109" i="2" s="1"/>
  <c r="AS109" i="2" s="1"/>
  <c r="AT109" i="2" s="1"/>
  <c r="AU109" i="2" s="1"/>
  <c r="AV109" i="2" s="1"/>
  <c r="AW109" i="2" s="1"/>
  <c r="AX109" i="2" s="1"/>
  <c r="AY109" i="2" s="1"/>
  <c r="AZ109" i="2" s="1"/>
  <c r="BA109" i="2" s="1"/>
  <c r="BB109" i="2" s="1"/>
  <c r="BC109" i="2" s="1"/>
  <c r="BD109" i="2" s="1"/>
  <c r="BE109" i="2" s="1"/>
  <c r="BF109" i="2" s="1"/>
  <c r="BG109" i="2" s="1"/>
  <c r="BH109" i="2" s="1"/>
  <c r="BI109" i="2" s="1"/>
  <c r="BJ109" i="2" s="1"/>
  <c r="BK109" i="2" s="1"/>
  <c r="BL109" i="2" s="1"/>
  <c r="BM109" i="2" s="1"/>
  <c r="BN109" i="2" s="1"/>
  <c r="BO109" i="2" s="1"/>
  <c r="BP109" i="2" s="1"/>
  <c r="BQ109" i="2" s="1"/>
  <c r="BR109" i="2" s="1"/>
  <c r="BS109" i="2" s="1"/>
  <c r="BT109" i="2" s="1"/>
  <c r="BU109" i="2" s="1"/>
  <c r="BV109" i="2" s="1"/>
  <c r="BW109" i="2" s="1"/>
  <c r="BX109" i="2" s="1"/>
  <c r="BY109" i="2" s="1"/>
  <c r="BZ109" i="2" s="1"/>
  <c r="CA109" i="2" s="1"/>
  <c r="CB109" i="2" s="1"/>
  <c r="CC109" i="2" s="1"/>
  <c r="CD109" i="2" s="1"/>
  <c r="CE109" i="2" s="1"/>
  <c r="CF109" i="2" s="1"/>
  <c r="CG109" i="2" s="1"/>
  <c r="CH109" i="2" s="1"/>
  <c r="CI109" i="2" s="1"/>
  <c r="CJ109" i="2" s="1"/>
  <c r="CK109" i="2" s="1"/>
  <c r="CL109" i="2" s="1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R81" i="2"/>
  <c r="Q81" i="2"/>
  <c r="P81" i="2"/>
  <c r="O81" i="2"/>
  <c r="N81" i="2"/>
  <c r="M81" i="2"/>
  <c r="L81" i="2"/>
  <c r="K81" i="2"/>
  <c r="J81" i="2"/>
  <c r="I81" i="2"/>
  <c r="H81" i="2"/>
  <c r="G81" i="2"/>
  <c r="AH75" i="2"/>
  <c r="AF42" i="4" s="1"/>
  <c r="I75" i="2"/>
  <c r="G42" i="4" s="1"/>
  <c r="CH65" i="2"/>
  <c r="CG65" i="2"/>
  <c r="BZ65" i="2"/>
  <c r="BX65" i="2"/>
  <c r="BS65" i="2"/>
  <c r="BR65" i="2"/>
  <c r="BK65" i="2"/>
  <c r="BJ65" i="2"/>
  <c r="BI65" i="2"/>
  <c r="CG64" i="2"/>
  <c r="BD64" i="2"/>
  <c r="Z64" i="2"/>
  <c r="CI63" i="2"/>
  <c r="CG15" i="4" s="1"/>
  <c r="CH63" i="2"/>
  <c r="CF15" i="4" s="1"/>
  <c r="CG63" i="2"/>
  <c r="CE15" i="4" s="1"/>
  <c r="BZ63" i="2"/>
  <c r="BX15" i="4" s="1"/>
  <c r="BY63" i="2"/>
  <c r="BW15" i="4" s="1"/>
  <c r="BR63" i="2"/>
  <c r="BP15" i="4" s="1"/>
  <c r="BP63" i="2"/>
  <c r="BN15" i="4" s="1"/>
  <c r="BL63" i="2"/>
  <c r="BK63" i="2"/>
  <c r="BI15" i="4" s="1"/>
  <c r="BJ63" i="2"/>
  <c r="BH15" i="4" s="1"/>
  <c r="BC63" i="2"/>
  <c r="BA15" i="4" s="1"/>
  <c r="BB63" i="2"/>
  <c r="AZ15" i="4" s="1"/>
  <c r="BA63" i="2"/>
  <c r="AY15" i="4" s="1"/>
  <c r="AZ63" i="2"/>
  <c r="AX15" i="4" s="1"/>
  <c r="AY63" i="2"/>
  <c r="AW15" i="4" s="1"/>
  <c r="AX63" i="2"/>
  <c r="AV15" i="4" s="1"/>
  <c r="AW63" i="2"/>
  <c r="AU15" i="4" s="1"/>
  <c r="AV63" i="2"/>
  <c r="AT15" i="4" s="1"/>
  <c r="AU63" i="2"/>
  <c r="AS15" i="4" s="1"/>
  <c r="AT63" i="2"/>
  <c r="AR15" i="4" s="1"/>
  <c r="AS63" i="2"/>
  <c r="AQ15" i="4" s="1"/>
  <c r="AR63" i="2"/>
  <c r="AP15" i="4" s="1"/>
  <c r="AQ63" i="2"/>
  <c r="AO15" i="4" s="1"/>
  <c r="AP63" i="2"/>
  <c r="AN15" i="4" s="1"/>
  <c r="AO63" i="2"/>
  <c r="AM15" i="4" s="1"/>
  <c r="AN63" i="2"/>
  <c r="AL15" i="4" s="1"/>
  <c r="AM63" i="2"/>
  <c r="AK15" i="4" s="1"/>
  <c r="AL63" i="2"/>
  <c r="AJ15" i="4" s="1"/>
  <c r="AK63" i="2"/>
  <c r="AI15" i="4" s="1"/>
  <c r="AJ63" i="2"/>
  <c r="AH15" i="4" s="1"/>
  <c r="AI63" i="2"/>
  <c r="AG15" i="4" s="1"/>
  <c r="AH63" i="2"/>
  <c r="AF15" i="4" s="1"/>
  <c r="AG63" i="2"/>
  <c r="AE15" i="4" s="1"/>
  <c r="AF63" i="2"/>
  <c r="AD15" i="4" s="1"/>
  <c r="AE63" i="2"/>
  <c r="AC15" i="4" s="1"/>
  <c r="AD63" i="2"/>
  <c r="AB15" i="4" s="1"/>
  <c r="AC63" i="2"/>
  <c r="AA15" i="4" s="1"/>
  <c r="AB63" i="2"/>
  <c r="Z15" i="4" s="1"/>
  <c r="AA63" i="2"/>
  <c r="Y15" i="4" s="1"/>
  <c r="Z63" i="2"/>
  <c r="X15" i="4" s="1"/>
  <c r="Y63" i="2"/>
  <c r="W15" i="4" s="1"/>
  <c r="X63" i="2"/>
  <c r="V15" i="4" s="1"/>
  <c r="W63" i="2"/>
  <c r="U15" i="4" s="1"/>
  <c r="V63" i="2"/>
  <c r="T15" i="4" s="1"/>
  <c r="U63" i="2"/>
  <c r="S15" i="4" s="1"/>
  <c r="T63" i="2"/>
  <c r="R15" i="4" s="1"/>
  <c r="S63" i="2"/>
  <c r="Q15" i="4" s="1"/>
  <c r="R63" i="2"/>
  <c r="P15" i="4" s="1"/>
  <c r="Q63" i="2"/>
  <c r="O15" i="4" s="1"/>
  <c r="P63" i="2"/>
  <c r="N15" i="4" s="1"/>
  <c r="O63" i="2"/>
  <c r="M15" i="4" s="1"/>
  <c r="N63" i="2"/>
  <c r="L15" i="4" s="1"/>
  <c r="M63" i="2"/>
  <c r="K15" i="4" s="1"/>
  <c r="L63" i="2"/>
  <c r="J15" i="4" s="1"/>
  <c r="K63" i="2"/>
  <c r="I15" i="4" s="1"/>
  <c r="J63" i="2"/>
  <c r="H15" i="4" s="1"/>
  <c r="I63" i="2"/>
  <c r="G15" i="4" s="1"/>
  <c r="H63" i="2"/>
  <c r="F15" i="4" s="1"/>
  <c r="G63" i="2"/>
  <c r="E15" i="4" s="1"/>
  <c r="CL62" i="2"/>
  <c r="CL64" i="2" s="1"/>
  <c r="CK62" i="2"/>
  <c r="CJ62" i="2"/>
  <c r="CJ65" i="2" s="1"/>
  <c r="CI62" i="2"/>
  <c r="CI65" i="2" s="1"/>
  <c r="CH62" i="2"/>
  <c r="CG62" i="2"/>
  <c r="CF62" i="2"/>
  <c r="CE62" i="2"/>
  <c r="CD62" i="2"/>
  <c r="CC62" i="2"/>
  <c r="CB62" i="2"/>
  <c r="CB64" i="2" s="1"/>
  <c r="CA62" i="2"/>
  <c r="CA63" i="2" s="1"/>
  <c r="BY15" i="4" s="1"/>
  <c r="BZ62" i="2"/>
  <c r="BY62" i="2"/>
  <c r="BY65" i="2" s="1"/>
  <c r="BX62" i="2"/>
  <c r="BX63" i="2" s="1"/>
  <c r="BV15" i="4" s="1"/>
  <c r="BW62" i="2"/>
  <c r="BV62" i="2"/>
  <c r="BU62" i="2"/>
  <c r="BT62" i="2"/>
  <c r="BS62" i="2"/>
  <c r="BR62" i="2"/>
  <c r="BQ62" i="2"/>
  <c r="BQ65" i="2" s="1"/>
  <c r="BP62" i="2"/>
  <c r="BP65" i="2" s="1"/>
  <c r="BO62" i="2"/>
  <c r="BN62" i="2"/>
  <c r="BM62" i="2"/>
  <c r="BL62" i="2"/>
  <c r="BK62" i="2"/>
  <c r="BJ62" i="2"/>
  <c r="BI62" i="2"/>
  <c r="BH62" i="2"/>
  <c r="BG62" i="2"/>
  <c r="BF62" i="2"/>
  <c r="BF64" i="2" s="1"/>
  <c r="BE62" i="2"/>
  <c r="BD62" i="2"/>
  <c r="BD65" i="2" s="1"/>
  <c r="BC62" i="2"/>
  <c r="BC65" i="2" s="1"/>
  <c r="B61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O59" i="2"/>
  <c r="BD59" i="2"/>
  <c r="BC59" i="2"/>
  <c r="CK57" i="2"/>
  <c r="CI57" i="2"/>
  <c r="CG57" i="2"/>
  <c r="CF57" i="2"/>
  <c r="CE57" i="2"/>
  <c r="CD57" i="2"/>
  <c r="CB57" i="2"/>
  <c r="BY57" i="2"/>
  <c r="BX57" i="2"/>
  <c r="BW57" i="2"/>
  <c r="BV57" i="2"/>
  <c r="BU57" i="2"/>
  <c r="BS57" i="2"/>
  <c r="BP57" i="2"/>
  <c r="BO57" i="2"/>
  <c r="BN57" i="2"/>
  <c r="BM57" i="2"/>
  <c r="BL57" i="2"/>
  <c r="BI57" i="2"/>
  <c r="BG57" i="2"/>
  <c r="BF57" i="2"/>
  <c r="BE57" i="2"/>
  <c r="BD57" i="2"/>
  <c r="BC57" i="2"/>
  <c r="AZ57" i="2"/>
  <c r="AX57" i="2"/>
  <c r="AW57" i="2"/>
  <c r="AV57" i="2"/>
  <c r="AU57" i="2"/>
  <c r="AS57" i="2"/>
  <c r="AQ57" i="2"/>
  <c r="CK56" i="2"/>
  <c r="BS56" i="2"/>
  <c r="AZ56" i="2"/>
  <c r="AH56" i="2"/>
  <c r="P56" i="2"/>
  <c r="CL55" i="2"/>
  <c r="CJ14" i="4" s="1"/>
  <c r="CK55" i="2"/>
  <c r="CI14" i="4" s="1"/>
  <c r="CJ55" i="2"/>
  <c r="CH14" i="4" s="1"/>
  <c r="CI55" i="2"/>
  <c r="CG14" i="4" s="1"/>
  <c r="CH55" i="2"/>
  <c r="CF14" i="4" s="1"/>
  <c r="CG55" i="2"/>
  <c r="CE14" i="4" s="1"/>
  <c r="CF55" i="2"/>
  <c r="CD14" i="4" s="1"/>
  <c r="CE55" i="2"/>
  <c r="CC14" i="4" s="1"/>
  <c r="CD55" i="2"/>
  <c r="CB14" i="4" s="1"/>
  <c r="CC55" i="2"/>
  <c r="CA14" i="4" s="1"/>
  <c r="CB55" i="2"/>
  <c r="BZ14" i="4" s="1"/>
  <c r="CA55" i="2"/>
  <c r="BY14" i="4" s="1"/>
  <c r="BZ55" i="2"/>
  <c r="BX14" i="4" s="1"/>
  <c r="BY55" i="2"/>
  <c r="BW14" i="4" s="1"/>
  <c r="BX55" i="2"/>
  <c r="BV14" i="4" s="1"/>
  <c r="BW55" i="2"/>
  <c r="BU14" i="4" s="1"/>
  <c r="BV55" i="2"/>
  <c r="BT14" i="4" s="1"/>
  <c r="BU55" i="2"/>
  <c r="BS14" i="4" s="1"/>
  <c r="BT55" i="2"/>
  <c r="BR14" i="4" s="1"/>
  <c r="BS55" i="2"/>
  <c r="BQ14" i="4" s="1"/>
  <c r="BR55" i="2"/>
  <c r="BP14" i="4" s="1"/>
  <c r="BQ55" i="2"/>
  <c r="BO14" i="4" s="1"/>
  <c r="BP55" i="2"/>
  <c r="BN14" i="4" s="1"/>
  <c r="BO55" i="2"/>
  <c r="BM14" i="4" s="1"/>
  <c r="BN55" i="2"/>
  <c r="BL14" i="4" s="1"/>
  <c r="BM55" i="2"/>
  <c r="BK14" i="4" s="1"/>
  <c r="BL55" i="2"/>
  <c r="BJ14" i="4" s="1"/>
  <c r="BK55" i="2"/>
  <c r="BI14" i="4" s="1"/>
  <c r="BJ55" i="2"/>
  <c r="BH14" i="4" s="1"/>
  <c r="BI55" i="2"/>
  <c r="BG14" i="4" s="1"/>
  <c r="BH55" i="2"/>
  <c r="BF14" i="4" s="1"/>
  <c r="BG55" i="2"/>
  <c r="BE14" i="4" s="1"/>
  <c r="BF55" i="2"/>
  <c r="BD14" i="4" s="1"/>
  <c r="BE55" i="2"/>
  <c r="BC14" i="4" s="1"/>
  <c r="BD55" i="2"/>
  <c r="BB14" i="4" s="1"/>
  <c r="BC55" i="2"/>
  <c r="BA14" i="4" s="1"/>
  <c r="BB55" i="2"/>
  <c r="AZ14" i="4" s="1"/>
  <c r="BA55" i="2"/>
  <c r="AY14" i="4" s="1"/>
  <c r="AZ55" i="2"/>
  <c r="AX14" i="4" s="1"/>
  <c r="AY55" i="2"/>
  <c r="AW14" i="4" s="1"/>
  <c r="AX55" i="2"/>
  <c r="AV14" i="4" s="1"/>
  <c r="AW55" i="2"/>
  <c r="AU14" i="4" s="1"/>
  <c r="AV55" i="2"/>
  <c r="AT14" i="4" s="1"/>
  <c r="AU55" i="2"/>
  <c r="AS14" i="4" s="1"/>
  <c r="AT55" i="2"/>
  <c r="AR14" i="4" s="1"/>
  <c r="AS55" i="2"/>
  <c r="AQ14" i="4" s="1"/>
  <c r="AR55" i="2"/>
  <c r="AP14" i="4" s="1"/>
  <c r="AQ55" i="2"/>
  <c r="AO14" i="4" s="1"/>
  <c r="AP55" i="2"/>
  <c r="AN14" i="4" s="1"/>
  <c r="AO55" i="2"/>
  <c r="AM14" i="4" s="1"/>
  <c r="AN55" i="2"/>
  <c r="AL14" i="4" s="1"/>
  <c r="AM55" i="2"/>
  <c r="AK14" i="4" s="1"/>
  <c r="AL55" i="2"/>
  <c r="AJ14" i="4" s="1"/>
  <c r="AK55" i="2"/>
  <c r="AI14" i="4" s="1"/>
  <c r="AJ55" i="2"/>
  <c r="AH14" i="4" s="1"/>
  <c r="AI55" i="2"/>
  <c r="AG14" i="4" s="1"/>
  <c r="AH55" i="2"/>
  <c r="AF14" i="4" s="1"/>
  <c r="AG55" i="2"/>
  <c r="AE14" i="4" s="1"/>
  <c r="AF55" i="2"/>
  <c r="AD14" i="4" s="1"/>
  <c r="AE55" i="2"/>
  <c r="AC14" i="4" s="1"/>
  <c r="AD55" i="2"/>
  <c r="AB14" i="4" s="1"/>
  <c r="AC55" i="2"/>
  <c r="AA14" i="4" s="1"/>
  <c r="AB55" i="2"/>
  <c r="Z14" i="4" s="1"/>
  <c r="AA55" i="2"/>
  <c r="Y14" i="4" s="1"/>
  <c r="Z55" i="2"/>
  <c r="X14" i="4" s="1"/>
  <c r="Y55" i="2"/>
  <c r="W14" i="4" s="1"/>
  <c r="X55" i="2"/>
  <c r="V14" i="4" s="1"/>
  <c r="W55" i="2"/>
  <c r="U14" i="4" s="1"/>
  <c r="V55" i="2"/>
  <c r="T14" i="4" s="1"/>
  <c r="U55" i="2"/>
  <c r="S14" i="4" s="1"/>
  <c r="T55" i="2"/>
  <c r="R14" i="4" s="1"/>
  <c r="S55" i="2"/>
  <c r="Q14" i="4" s="1"/>
  <c r="R55" i="2"/>
  <c r="P14" i="4" s="1"/>
  <c r="Q55" i="2"/>
  <c r="O14" i="4" s="1"/>
  <c r="P55" i="2"/>
  <c r="N14" i="4" s="1"/>
  <c r="O55" i="2"/>
  <c r="M14" i="4" s="1"/>
  <c r="N55" i="2"/>
  <c r="L14" i="4" s="1"/>
  <c r="M55" i="2"/>
  <c r="K14" i="4" s="1"/>
  <c r="L55" i="2"/>
  <c r="J14" i="4" s="1"/>
  <c r="K55" i="2"/>
  <c r="I14" i="4" s="1"/>
  <c r="J55" i="2"/>
  <c r="H14" i="4" s="1"/>
  <c r="I55" i="2"/>
  <c r="G14" i="4" s="1"/>
  <c r="H55" i="2"/>
  <c r="F14" i="4" s="1"/>
  <c r="G55" i="2"/>
  <c r="E14" i="4" s="1"/>
  <c r="B53" i="2"/>
  <c r="CJ57" i="2" s="1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CH49" i="2"/>
  <c r="CG49" i="2"/>
  <c r="CF49" i="2"/>
  <c r="CB49" i="2"/>
  <c r="CA49" i="2"/>
  <c r="BZ49" i="2"/>
  <c r="BT49" i="2"/>
  <c r="BS49" i="2"/>
  <c r="BR49" i="2"/>
  <c r="BQ49" i="2"/>
  <c r="BP49" i="2"/>
  <c r="BL49" i="2"/>
  <c r="BI49" i="2"/>
  <c r="BH49" i="2"/>
  <c r="BD49" i="2"/>
  <c r="BC49" i="2"/>
  <c r="BB49" i="2"/>
  <c r="BA49" i="2"/>
  <c r="AU49" i="2"/>
  <c r="AT49" i="2"/>
  <c r="AS49" i="2"/>
  <c r="AR49" i="2"/>
  <c r="BZ48" i="2"/>
  <c r="BL48" i="2"/>
  <c r="BA48" i="2"/>
  <c r="AM48" i="2"/>
  <c r="AB48" i="2"/>
  <c r="N48" i="2"/>
  <c r="CL47" i="2"/>
  <c r="CJ13" i="4" s="1"/>
  <c r="CK47" i="2"/>
  <c r="CI13" i="4" s="1"/>
  <c r="CJ47" i="2"/>
  <c r="CH13" i="4" s="1"/>
  <c r="CI47" i="2"/>
  <c r="CG13" i="4" s="1"/>
  <c r="CH47" i="2"/>
  <c r="CF13" i="4" s="1"/>
  <c r="CG47" i="2"/>
  <c r="CE13" i="4" s="1"/>
  <c r="CF47" i="2"/>
  <c r="CD13" i="4" s="1"/>
  <c r="CE47" i="2"/>
  <c r="CC13" i="4" s="1"/>
  <c r="CD47" i="2"/>
  <c r="CB13" i="4" s="1"/>
  <c r="CC47" i="2"/>
  <c r="CA13" i="4" s="1"/>
  <c r="CB47" i="2"/>
  <c r="BZ13" i="4" s="1"/>
  <c r="CA47" i="2"/>
  <c r="BY13" i="4" s="1"/>
  <c r="BZ47" i="2"/>
  <c r="BX13" i="4" s="1"/>
  <c r="BY47" i="2"/>
  <c r="BW13" i="4" s="1"/>
  <c r="BX47" i="2"/>
  <c r="BV13" i="4" s="1"/>
  <c r="BW47" i="2"/>
  <c r="BU13" i="4" s="1"/>
  <c r="BV47" i="2"/>
  <c r="BT13" i="4" s="1"/>
  <c r="BU47" i="2"/>
  <c r="BS13" i="4" s="1"/>
  <c r="BT47" i="2"/>
  <c r="BR13" i="4" s="1"/>
  <c r="BS47" i="2"/>
  <c r="BQ13" i="4" s="1"/>
  <c r="BR47" i="2"/>
  <c r="BP13" i="4" s="1"/>
  <c r="BQ47" i="2"/>
  <c r="BO13" i="4" s="1"/>
  <c r="BP47" i="2"/>
  <c r="BN13" i="4" s="1"/>
  <c r="BO47" i="2"/>
  <c r="BM13" i="4" s="1"/>
  <c r="BN47" i="2"/>
  <c r="BL13" i="4" s="1"/>
  <c r="BM47" i="2"/>
  <c r="BK13" i="4" s="1"/>
  <c r="BL47" i="2"/>
  <c r="BJ13" i="4" s="1"/>
  <c r="BK47" i="2"/>
  <c r="BI13" i="4" s="1"/>
  <c r="BJ47" i="2"/>
  <c r="BH13" i="4" s="1"/>
  <c r="BI47" i="2"/>
  <c r="BG13" i="4" s="1"/>
  <c r="BH47" i="2"/>
  <c r="BF13" i="4" s="1"/>
  <c r="BG47" i="2"/>
  <c r="BE13" i="4" s="1"/>
  <c r="BF47" i="2"/>
  <c r="BD13" i="4" s="1"/>
  <c r="BE47" i="2"/>
  <c r="BC13" i="4" s="1"/>
  <c r="BD47" i="2"/>
  <c r="BB13" i="4" s="1"/>
  <c r="BC47" i="2"/>
  <c r="BA13" i="4" s="1"/>
  <c r="BB47" i="2"/>
  <c r="AZ13" i="4" s="1"/>
  <c r="BA47" i="2"/>
  <c r="AY13" i="4" s="1"/>
  <c r="AZ47" i="2"/>
  <c r="AX13" i="4" s="1"/>
  <c r="AY47" i="2"/>
  <c r="AW13" i="4" s="1"/>
  <c r="AX47" i="2"/>
  <c r="AV13" i="4" s="1"/>
  <c r="AW47" i="2"/>
  <c r="AU13" i="4" s="1"/>
  <c r="AV47" i="2"/>
  <c r="AT13" i="4" s="1"/>
  <c r="AU47" i="2"/>
  <c r="AS13" i="4" s="1"/>
  <c r="AT47" i="2"/>
  <c r="AR13" i="4" s="1"/>
  <c r="AS47" i="2"/>
  <c r="AQ13" i="4" s="1"/>
  <c r="AR47" i="2"/>
  <c r="AP13" i="4" s="1"/>
  <c r="AQ47" i="2"/>
  <c r="AO13" i="4" s="1"/>
  <c r="AP47" i="2"/>
  <c r="AN13" i="4" s="1"/>
  <c r="AO47" i="2"/>
  <c r="AM13" i="4" s="1"/>
  <c r="AN47" i="2"/>
  <c r="AL13" i="4" s="1"/>
  <c r="AM47" i="2"/>
  <c r="AK13" i="4" s="1"/>
  <c r="AL47" i="2"/>
  <c r="AJ13" i="4" s="1"/>
  <c r="AK47" i="2"/>
  <c r="AI13" i="4" s="1"/>
  <c r="AJ47" i="2"/>
  <c r="AH13" i="4" s="1"/>
  <c r="AI47" i="2"/>
  <c r="AG13" i="4" s="1"/>
  <c r="AH47" i="2"/>
  <c r="AF13" i="4" s="1"/>
  <c r="AG47" i="2"/>
  <c r="AE13" i="4" s="1"/>
  <c r="AF47" i="2"/>
  <c r="AD13" i="4" s="1"/>
  <c r="AE47" i="2"/>
  <c r="AC13" i="4" s="1"/>
  <c r="AD47" i="2"/>
  <c r="AB13" i="4" s="1"/>
  <c r="AC47" i="2"/>
  <c r="AA13" i="4" s="1"/>
  <c r="AB47" i="2"/>
  <c r="Z13" i="4" s="1"/>
  <c r="AA47" i="2"/>
  <c r="Y13" i="4" s="1"/>
  <c r="Z47" i="2"/>
  <c r="X13" i="4" s="1"/>
  <c r="Y47" i="2"/>
  <c r="W13" i="4" s="1"/>
  <c r="X47" i="2"/>
  <c r="V13" i="4" s="1"/>
  <c r="W47" i="2"/>
  <c r="U13" i="4" s="1"/>
  <c r="V47" i="2"/>
  <c r="T13" i="4" s="1"/>
  <c r="U47" i="2"/>
  <c r="S13" i="4" s="1"/>
  <c r="T47" i="2"/>
  <c r="R13" i="4" s="1"/>
  <c r="S47" i="2"/>
  <c r="Q13" i="4" s="1"/>
  <c r="R47" i="2"/>
  <c r="P13" i="4" s="1"/>
  <c r="Q47" i="2"/>
  <c r="O13" i="4" s="1"/>
  <c r="P47" i="2"/>
  <c r="N13" i="4" s="1"/>
  <c r="O47" i="2"/>
  <c r="M13" i="4" s="1"/>
  <c r="N47" i="2"/>
  <c r="L13" i="4" s="1"/>
  <c r="M47" i="2"/>
  <c r="K13" i="4" s="1"/>
  <c r="L47" i="2"/>
  <c r="J13" i="4" s="1"/>
  <c r="K47" i="2"/>
  <c r="I13" i="4" s="1"/>
  <c r="J47" i="2"/>
  <c r="H13" i="4" s="1"/>
  <c r="I47" i="2"/>
  <c r="G13" i="4" s="1"/>
  <c r="H47" i="2"/>
  <c r="F13" i="4" s="1"/>
  <c r="G47" i="2"/>
  <c r="E13" i="4" s="1"/>
  <c r="B45" i="2"/>
  <c r="CI49" i="2" s="1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CJ41" i="2"/>
  <c r="CI41" i="2"/>
  <c r="CA41" i="2"/>
  <c r="BZ41" i="2"/>
  <c r="BR41" i="2"/>
  <c r="BP41" i="2"/>
  <c r="BH41" i="2"/>
  <c r="BG41" i="2"/>
  <c r="AY41" i="2"/>
  <c r="AX41" i="2"/>
  <c r="AP41" i="2"/>
  <c r="AO41" i="2"/>
  <c r="AG41" i="2"/>
  <c r="AF41" i="2"/>
  <c r="CE40" i="2"/>
  <c r="BV40" i="2"/>
  <c r="BL40" i="2"/>
  <c r="BC40" i="2"/>
  <c r="AT40" i="2"/>
  <c r="AK40" i="2"/>
  <c r="AB40" i="2"/>
  <c r="S40" i="2"/>
  <c r="J40" i="2"/>
  <c r="CL39" i="2"/>
  <c r="CJ12" i="4" s="1"/>
  <c r="CK39" i="2"/>
  <c r="CI12" i="4" s="1"/>
  <c r="CJ39" i="2"/>
  <c r="CH12" i="4" s="1"/>
  <c r="CI39" i="2"/>
  <c r="CG12" i="4" s="1"/>
  <c r="CH39" i="2"/>
  <c r="CF12" i="4" s="1"/>
  <c r="CG39" i="2"/>
  <c r="CE12" i="4" s="1"/>
  <c r="CF39" i="2"/>
  <c r="CD12" i="4" s="1"/>
  <c r="CE39" i="2"/>
  <c r="CC12" i="4" s="1"/>
  <c r="CD39" i="2"/>
  <c r="CB12" i="4" s="1"/>
  <c r="CC39" i="2"/>
  <c r="CA12" i="4" s="1"/>
  <c r="CB39" i="2"/>
  <c r="BZ12" i="4" s="1"/>
  <c r="CA39" i="2"/>
  <c r="BY12" i="4" s="1"/>
  <c r="BZ39" i="2"/>
  <c r="BX12" i="4" s="1"/>
  <c r="BY39" i="2"/>
  <c r="BW12" i="4" s="1"/>
  <c r="BX39" i="2"/>
  <c r="BV12" i="4" s="1"/>
  <c r="BW39" i="2"/>
  <c r="BU12" i="4" s="1"/>
  <c r="BV39" i="2"/>
  <c r="BT12" i="4" s="1"/>
  <c r="BU39" i="2"/>
  <c r="BS12" i="4" s="1"/>
  <c r="BT39" i="2"/>
  <c r="BR12" i="4" s="1"/>
  <c r="BS39" i="2"/>
  <c r="BQ12" i="4" s="1"/>
  <c r="BR39" i="2"/>
  <c r="BP12" i="4" s="1"/>
  <c r="BQ39" i="2"/>
  <c r="BO12" i="4" s="1"/>
  <c r="BP39" i="2"/>
  <c r="BN12" i="4" s="1"/>
  <c r="BO39" i="2"/>
  <c r="BM12" i="4" s="1"/>
  <c r="BN39" i="2"/>
  <c r="BL12" i="4" s="1"/>
  <c r="BM39" i="2"/>
  <c r="BK12" i="4" s="1"/>
  <c r="BL39" i="2"/>
  <c r="BJ12" i="4" s="1"/>
  <c r="BK39" i="2"/>
  <c r="BI12" i="4" s="1"/>
  <c r="BJ39" i="2"/>
  <c r="BH12" i="4" s="1"/>
  <c r="BI39" i="2"/>
  <c r="BG12" i="4" s="1"/>
  <c r="BH39" i="2"/>
  <c r="BF12" i="4" s="1"/>
  <c r="BG39" i="2"/>
  <c r="BE12" i="4" s="1"/>
  <c r="BF39" i="2"/>
  <c r="BD12" i="4" s="1"/>
  <c r="BE39" i="2"/>
  <c r="BC12" i="4" s="1"/>
  <c r="BD39" i="2"/>
  <c r="BB12" i="4" s="1"/>
  <c r="BC39" i="2"/>
  <c r="BA12" i="4" s="1"/>
  <c r="BB39" i="2"/>
  <c r="AZ12" i="4" s="1"/>
  <c r="BA39" i="2"/>
  <c r="AY12" i="4" s="1"/>
  <c r="AZ39" i="2"/>
  <c r="AX12" i="4" s="1"/>
  <c r="AY39" i="2"/>
  <c r="AW12" i="4" s="1"/>
  <c r="AX39" i="2"/>
  <c r="AV12" i="4" s="1"/>
  <c r="AW39" i="2"/>
  <c r="AU12" i="4" s="1"/>
  <c r="AV39" i="2"/>
  <c r="AT12" i="4" s="1"/>
  <c r="AU39" i="2"/>
  <c r="AS12" i="4" s="1"/>
  <c r="AT39" i="2"/>
  <c r="AR12" i="4" s="1"/>
  <c r="AS39" i="2"/>
  <c r="AQ12" i="4" s="1"/>
  <c r="AR39" i="2"/>
  <c r="AP12" i="4" s="1"/>
  <c r="AQ39" i="2"/>
  <c r="AO12" i="4" s="1"/>
  <c r="AP39" i="2"/>
  <c r="AN12" i="4" s="1"/>
  <c r="AO39" i="2"/>
  <c r="AM12" i="4" s="1"/>
  <c r="AN39" i="2"/>
  <c r="AL12" i="4" s="1"/>
  <c r="AM39" i="2"/>
  <c r="AK12" i="4" s="1"/>
  <c r="AL39" i="2"/>
  <c r="AJ12" i="4" s="1"/>
  <c r="AK39" i="2"/>
  <c r="AI12" i="4" s="1"/>
  <c r="AJ39" i="2"/>
  <c r="AH12" i="4" s="1"/>
  <c r="AI39" i="2"/>
  <c r="AG12" i="4" s="1"/>
  <c r="AH39" i="2"/>
  <c r="AF12" i="4" s="1"/>
  <c r="AG39" i="2"/>
  <c r="AE12" i="4" s="1"/>
  <c r="AF39" i="2"/>
  <c r="AD12" i="4" s="1"/>
  <c r="AE39" i="2"/>
  <c r="AC12" i="4" s="1"/>
  <c r="AD39" i="2"/>
  <c r="AB12" i="4" s="1"/>
  <c r="AC39" i="2"/>
  <c r="AA12" i="4" s="1"/>
  <c r="AB39" i="2"/>
  <c r="Z12" i="4" s="1"/>
  <c r="AA39" i="2"/>
  <c r="Y12" i="4" s="1"/>
  <c r="Z39" i="2"/>
  <c r="X12" i="4" s="1"/>
  <c r="Y39" i="2"/>
  <c r="W12" i="4" s="1"/>
  <c r="X39" i="2"/>
  <c r="V12" i="4" s="1"/>
  <c r="W39" i="2"/>
  <c r="U12" i="4" s="1"/>
  <c r="V39" i="2"/>
  <c r="T12" i="4" s="1"/>
  <c r="U39" i="2"/>
  <c r="S12" i="4" s="1"/>
  <c r="T39" i="2"/>
  <c r="R12" i="4" s="1"/>
  <c r="S39" i="2"/>
  <c r="Q12" i="4" s="1"/>
  <c r="R39" i="2"/>
  <c r="P12" i="4" s="1"/>
  <c r="Q39" i="2"/>
  <c r="O12" i="4" s="1"/>
  <c r="P39" i="2"/>
  <c r="N12" i="4" s="1"/>
  <c r="O39" i="2"/>
  <c r="M12" i="4" s="1"/>
  <c r="N39" i="2"/>
  <c r="L12" i="4" s="1"/>
  <c r="M39" i="2"/>
  <c r="K12" i="4" s="1"/>
  <c r="L39" i="2"/>
  <c r="J12" i="4" s="1"/>
  <c r="K39" i="2"/>
  <c r="I12" i="4" s="1"/>
  <c r="J39" i="2"/>
  <c r="H12" i="4" s="1"/>
  <c r="I39" i="2"/>
  <c r="G12" i="4" s="1"/>
  <c r="H39" i="2"/>
  <c r="F12" i="4" s="1"/>
  <c r="G39" i="2"/>
  <c r="E12" i="4" s="1"/>
  <c r="B37" i="2"/>
  <c r="CD41" i="2" s="1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CF33" i="2"/>
  <c r="CE33" i="2"/>
  <c r="BX33" i="2"/>
  <c r="BW33" i="2"/>
  <c r="BP33" i="2"/>
  <c r="BO33" i="2"/>
  <c r="BH33" i="2"/>
  <c r="BG33" i="2"/>
  <c r="AZ33" i="2"/>
  <c r="AY33" i="2"/>
  <c r="AR33" i="2"/>
  <c r="AQ33" i="2"/>
  <c r="AJ33" i="2"/>
  <c r="AI33" i="2"/>
  <c r="CI32" i="2"/>
  <c r="CA32" i="2"/>
  <c r="BS32" i="2"/>
  <c r="BK32" i="2"/>
  <c r="BC32" i="2"/>
  <c r="AU32" i="2"/>
  <c r="AM32" i="2"/>
  <c r="AE32" i="2"/>
  <c r="W32" i="2"/>
  <c r="O32" i="2"/>
  <c r="G32" i="2"/>
  <c r="CL31" i="2"/>
  <c r="CJ11" i="4" s="1"/>
  <c r="CK31" i="2"/>
  <c r="CI11" i="4" s="1"/>
  <c r="CJ31" i="2"/>
  <c r="CH11" i="4" s="1"/>
  <c r="CI31" i="2"/>
  <c r="CG11" i="4" s="1"/>
  <c r="CH31" i="2"/>
  <c r="CF11" i="4" s="1"/>
  <c r="CG31" i="2"/>
  <c r="CE11" i="4" s="1"/>
  <c r="CF31" i="2"/>
  <c r="CD11" i="4" s="1"/>
  <c r="CE31" i="2"/>
  <c r="CC11" i="4" s="1"/>
  <c r="CD31" i="2"/>
  <c r="CB11" i="4" s="1"/>
  <c r="CC31" i="2"/>
  <c r="CA11" i="4" s="1"/>
  <c r="CB31" i="2"/>
  <c r="BZ11" i="4" s="1"/>
  <c r="CA31" i="2"/>
  <c r="BY11" i="4" s="1"/>
  <c r="BZ31" i="2"/>
  <c r="BX11" i="4" s="1"/>
  <c r="BY31" i="2"/>
  <c r="BW11" i="4" s="1"/>
  <c r="BX31" i="2"/>
  <c r="BV11" i="4" s="1"/>
  <c r="BW31" i="2"/>
  <c r="BU11" i="4" s="1"/>
  <c r="BV31" i="2"/>
  <c r="BT11" i="4" s="1"/>
  <c r="BU31" i="2"/>
  <c r="BS11" i="4" s="1"/>
  <c r="BT31" i="2"/>
  <c r="BR11" i="4" s="1"/>
  <c r="BS31" i="2"/>
  <c r="BQ11" i="4" s="1"/>
  <c r="BR31" i="2"/>
  <c r="BP11" i="4" s="1"/>
  <c r="BQ31" i="2"/>
  <c r="BO11" i="4" s="1"/>
  <c r="BP31" i="2"/>
  <c r="BN11" i="4" s="1"/>
  <c r="BO31" i="2"/>
  <c r="BM11" i="4" s="1"/>
  <c r="BN31" i="2"/>
  <c r="BL11" i="4" s="1"/>
  <c r="BM31" i="2"/>
  <c r="BK11" i="4" s="1"/>
  <c r="BL31" i="2"/>
  <c r="BJ11" i="4" s="1"/>
  <c r="BK31" i="2"/>
  <c r="BI11" i="4" s="1"/>
  <c r="BJ31" i="2"/>
  <c r="BH11" i="4" s="1"/>
  <c r="BI31" i="2"/>
  <c r="BG11" i="4" s="1"/>
  <c r="BH31" i="2"/>
  <c r="BF11" i="4" s="1"/>
  <c r="BG31" i="2"/>
  <c r="BE11" i="4" s="1"/>
  <c r="BF31" i="2"/>
  <c r="BD11" i="4" s="1"/>
  <c r="BE31" i="2"/>
  <c r="BC11" i="4" s="1"/>
  <c r="BD31" i="2"/>
  <c r="BB11" i="4" s="1"/>
  <c r="BC31" i="2"/>
  <c r="BA11" i="4" s="1"/>
  <c r="BB31" i="2"/>
  <c r="AZ11" i="4" s="1"/>
  <c r="BA31" i="2"/>
  <c r="AY11" i="4" s="1"/>
  <c r="AZ31" i="2"/>
  <c r="AX11" i="4" s="1"/>
  <c r="AY31" i="2"/>
  <c r="AW11" i="4" s="1"/>
  <c r="AX31" i="2"/>
  <c r="AV11" i="4" s="1"/>
  <c r="AW31" i="2"/>
  <c r="AU11" i="4" s="1"/>
  <c r="AV31" i="2"/>
  <c r="AT11" i="4" s="1"/>
  <c r="AU31" i="2"/>
  <c r="AS11" i="4" s="1"/>
  <c r="AT31" i="2"/>
  <c r="AR11" i="4" s="1"/>
  <c r="AS31" i="2"/>
  <c r="AQ11" i="4" s="1"/>
  <c r="AR31" i="2"/>
  <c r="AP11" i="4" s="1"/>
  <c r="AQ31" i="2"/>
  <c r="AO11" i="4" s="1"/>
  <c r="AP31" i="2"/>
  <c r="AN11" i="4" s="1"/>
  <c r="AO31" i="2"/>
  <c r="AM11" i="4" s="1"/>
  <c r="AN31" i="2"/>
  <c r="AL11" i="4" s="1"/>
  <c r="AM31" i="2"/>
  <c r="AK11" i="4" s="1"/>
  <c r="AL31" i="2"/>
  <c r="AJ11" i="4" s="1"/>
  <c r="AK31" i="2"/>
  <c r="AI11" i="4" s="1"/>
  <c r="AJ31" i="2"/>
  <c r="AH11" i="4" s="1"/>
  <c r="AI31" i="2"/>
  <c r="AG11" i="4" s="1"/>
  <c r="AH31" i="2"/>
  <c r="AF11" i="4" s="1"/>
  <c r="AG31" i="2"/>
  <c r="AE11" i="4" s="1"/>
  <c r="AF31" i="2"/>
  <c r="AD11" i="4" s="1"/>
  <c r="AE31" i="2"/>
  <c r="AC11" i="4" s="1"/>
  <c r="AD31" i="2"/>
  <c r="AB11" i="4" s="1"/>
  <c r="AC31" i="2"/>
  <c r="AA11" i="4" s="1"/>
  <c r="AB31" i="2"/>
  <c r="Z11" i="4" s="1"/>
  <c r="AA31" i="2"/>
  <c r="Y11" i="4" s="1"/>
  <c r="Z31" i="2"/>
  <c r="X11" i="4" s="1"/>
  <c r="Y31" i="2"/>
  <c r="W11" i="4" s="1"/>
  <c r="X31" i="2"/>
  <c r="V11" i="4" s="1"/>
  <c r="W31" i="2"/>
  <c r="U11" i="4" s="1"/>
  <c r="V31" i="2"/>
  <c r="T11" i="4" s="1"/>
  <c r="U31" i="2"/>
  <c r="S11" i="4" s="1"/>
  <c r="T31" i="2"/>
  <c r="R11" i="4" s="1"/>
  <c r="S31" i="2"/>
  <c r="Q11" i="4" s="1"/>
  <c r="R31" i="2"/>
  <c r="P11" i="4" s="1"/>
  <c r="Q31" i="2"/>
  <c r="O11" i="4" s="1"/>
  <c r="P31" i="2"/>
  <c r="N11" i="4" s="1"/>
  <c r="O31" i="2"/>
  <c r="M11" i="4" s="1"/>
  <c r="N31" i="2"/>
  <c r="L11" i="4" s="1"/>
  <c r="M31" i="2"/>
  <c r="K11" i="4" s="1"/>
  <c r="L31" i="2"/>
  <c r="J11" i="4" s="1"/>
  <c r="K31" i="2"/>
  <c r="I11" i="4" s="1"/>
  <c r="J31" i="2"/>
  <c r="H11" i="4" s="1"/>
  <c r="I31" i="2"/>
  <c r="G11" i="4" s="1"/>
  <c r="H31" i="2"/>
  <c r="F11" i="4" s="1"/>
  <c r="G31" i="2"/>
  <c r="E11" i="4" s="1"/>
  <c r="B29" i="2"/>
  <c r="CK33" i="2" s="1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Q43" i="2" s="1"/>
  <c r="AP28" i="2"/>
  <c r="AO28" i="2"/>
  <c r="AN28" i="2"/>
  <c r="AM28" i="2"/>
  <c r="AL28" i="2"/>
  <c r="AK28" i="2"/>
  <c r="AJ28" i="2"/>
  <c r="AI28" i="2"/>
  <c r="AH28" i="2"/>
  <c r="AG28" i="2"/>
  <c r="AF28" i="2"/>
  <c r="AE28" i="2"/>
  <c r="S27" i="2"/>
  <c r="S26" i="2"/>
  <c r="CG25" i="2"/>
  <c r="CF25" i="2"/>
  <c r="CE25" i="2"/>
  <c r="BY25" i="2"/>
  <c r="BX25" i="2"/>
  <c r="BW25" i="2"/>
  <c r="BQ25" i="2"/>
  <c r="BP25" i="2"/>
  <c r="BO25" i="2"/>
  <c r="BI25" i="2"/>
  <c r="BH25" i="2"/>
  <c r="BG25" i="2"/>
  <c r="BA25" i="2"/>
  <c r="AZ25" i="2"/>
  <c r="AY25" i="2"/>
  <c r="AS25" i="2"/>
  <c r="AR25" i="2"/>
  <c r="AQ25" i="2"/>
  <c r="AK25" i="2"/>
  <c r="AJ25" i="2"/>
  <c r="AI25" i="2"/>
  <c r="AC25" i="2"/>
  <c r="AB25" i="2"/>
  <c r="AA25" i="2"/>
  <c r="U25" i="2"/>
  <c r="T25" i="2"/>
  <c r="S25" i="2"/>
  <c r="CG24" i="2"/>
  <c r="CE24" i="2"/>
  <c r="BY24" i="2"/>
  <c r="BW24" i="2"/>
  <c r="BQ24" i="2"/>
  <c r="BO24" i="2"/>
  <c r="BI24" i="2"/>
  <c r="BG24" i="2"/>
  <c r="BA24" i="2"/>
  <c r="AY24" i="2"/>
  <c r="AS24" i="2"/>
  <c r="AQ24" i="2"/>
  <c r="AK24" i="2"/>
  <c r="AI24" i="2"/>
  <c r="AC24" i="2"/>
  <c r="AA24" i="2"/>
  <c r="U24" i="2"/>
  <c r="S24" i="2"/>
  <c r="M24" i="2"/>
  <c r="K24" i="2"/>
  <c r="CL23" i="2"/>
  <c r="CJ10" i="4" s="1"/>
  <c r="CK23" i="2"/>
  <c r="CI10" i="4" s="1"/>
  <c r="CJ23" i="2"/>
  <c r="CH10" i="4" s="1"/>
  <c r="CI23" i="2"/>
  <c r="CG10" i="4" s="1"/>
  <c r="CH23" i="2"/>
  <c r="CF10" i="4" s="1"/>
  <c r="CG23" i="2"/>
  <c r="CE10" i="4" s="1"/>
  <c r="CF23" i="2"/>
  <c r="CD10" i="4" s="1"/>
  <c r="CE23" i="2"/>
  <c r="CC10" i="4" s="1"/>
  <c r="CD23" i="2"/>
  <c r="CB10" i="4" s="1"/>
  <c r="CC23" i="2"/>
  <c r="CA10" i="4" s="1"/>
  <c r="CB23" i="2"/>
  <c r="BZ10" i="4" s="1"/>
  <c r="CA23" i="2"/>
  <c r="BY10" i="4" s="1"/>
  <c r="BZ23" i="2"/>
  <c r="BX10" i="4" s="1"/>
  <c r="BY23" i="2"/>
  <c r="BW10" i="4" s="1"/>
  <c r="BX23" i="2"/>
  <c r="BV10" i="4" s="1"/>
  <c r="BW23" i="2"/>
  <c r="BU10" i="4" s="1"/>
  <c r="BV23" i="2"/>
  <c r="BT10" i="4" s="1"/>
  <c r="BU23" i="2"/>
  <c r="BS10" i="4" s="1"/>
  <c r="BT23" i="2"/>
  <c r="BR10" i="4" s="1"/>
  <c r="BS23" i="2"/>
  <c r="BQ10" i="4" s="1"/>
  <c r="BR23" i="2"/>
  <c r="BP10" i="4" s="1"/>
  <c r="BQ23" i="2"/>
  <c r="BO10" i="4" s="1"/>
  <c r="BP23" i="2"/>
  <c r="BN10" i="4" s="1"/>
  <c r="BO23" i="2"/>
  <c r="BM10" i="4" s="1"/>
  <c r="BN23" i="2"/>
  <c r="BL10" i="4" s="1"/>
  <c r="BM23" i="2"/>
  <c r="BK10" i="4" s="1"/>
  <c r="BL23" i="2"/>
  <c r="BJ10" i="4" s="1"/>
  <c r="BK23" i="2"/>
  <c r="BI10" i="4" s="1"/>
  <c r="BJ23" i="2"/>
  <c r="BH10" i="4" s="1"/>
  <c r="BI23" i="2"/>
  <c r="BG10" i="4" s="1"/>
  <c r="BH23" i="2"/>
  <c r="BF10" i="4" s="1"/>
  <c r="BG23" i="2"/>
  <c r="BE10" i="4" s="1"/>
  <c r="BF23" i="2"/>
  <c r="BD10" i="4" s="1"/>
  <c r="BE23" i="2"/>
  <c r="BC10" i="4" s="1"/>
  <c r="BD23" i="2"/>
  <c r="BB10" i="4" s="1"/>
  <c r="BC23" i="2"/>
  <c r="BA10" i="4" s="1"/>
  <c r="BB23" i="2"/>
  <c r="AZ10" i="4" s="1"/>
  <c r="BA23" i="2"/>
  <c r="AY10" i="4" s="1"/>
  <c r="AZ23" i="2"/>
  <c r="AX10" i="4" s="1"/>
  <c r="AY23" i="2"/>
  <c r="AW10" i="4" s="1"/>
  <c r="AX23" i="2"/>
  <c r="AV10" i="4" s="1"/>
  <c r="AW23" i="2"/>
  <c r="AU10" i="4" s="1"/>
  <c r="AV23" i="2"/>
  <c r="AT10" i="4" s="1"/>
  <c r="AU23" i="2"/>
  <c r="AS10" i="4" s="1"/>
  <c r="AT23" i="2"/>
  <c r="AR10" i="4" s="1"/>
  <c r="AS23" i="2"/>
  <c r="AQ10" i="4" s="1"/>
  <c r="AR23" i="2"/>
  <c r="AP10" i="4" s="1"/>
  <c r="AQ23" i="2"/>
  <c r="AO10" i="4" s="1"/>
  <c r="AP23" i="2"/>
  <c r="AN10" i="4" s="1"/>
  <c r="AO23" i="2"/>
  <c r="AM10" i="4" s="1"/>
  <c r="AN23" i="2"/>
  <c r="AL10" i="4" s="1"/>
  <c r="AM23" i="2"/>
  <c r="AK10" i="4" s="1"/>
  <c r="AL23" i="2"/>
  <c r="AJ10" i="4" s="1"/>
  <c r="AK23" i="2"/>
  <c r="AI10" i="4" s="1"/>
  <c r="AJ23" i="2"/>
  <c r="AH10" i="4" s="1"/>
  <c r="AI23" i="2"/>
  <c r="AG10" i="4" s="1"/>
  <c r="AH23" i="2"/>
  <c r="AF10" i="4" s="1"/>
  <c r="AG23" i="2"/>
  <c r="AE10" i="4" s="1"/>
  <c r="AF23" i="2"/>
  <c r="AD10" i="4" s="1"/>
  <c r="AE23" i="2"/>
  <c r="AC10" i="4" s="1"/>
  <c r="AD23" i="2"/>
  <c r="AB10" i="4" s="1"/>
  <c r="AC23" i="2"/>
  <c r="AA10" i="4" s="1"/>
  <c r="AB23" i="2"/>
  <c r="Z10" i="4" s="1"/>
  <c r="AA23" i="2"/>
  <c r="Y10" i="4" s="1"/>
  <c r="Z23" i="2"/>
  <c r="X10" i="4" s="1"/>
  <c r="Y23" i="2"/>
  <c r="W10" i="4" s="1"/>
  <c r="X23" i="2"/>
  <c r="V10" i="4" s="1"/>
  <c r="W23" i="2"/>
  <c r="U10" i="4" s="1"/>
  <c r="V23" i="2"/>
  <c r="T10" i="4" s="1"/>
  <c r="U23" i="2"/>
  <c r="S10" i="4" s="1"/>
  <c r="T23" i="2"/>
  <c r="R10" i="4" s="1"/>
  <c r="S23" i="2"/>
  <c r="Q10" i="4" s="1"/>
  <c r="R23" i="2"/>
  <c r="P10" i="4" s="1"/>
  <c r="Q23" i="2"/>
  <c r="O10" i="4" s="1"/>
  <c r="P23" i="2"/>
  <c r="N10" i="4" s="1"/>
  <c r="O23" i="2"/>
  <c r="M10" i="4" s="1"/>
  <c r="N23" i="2"/>
  <c r="L10" i="4" s="1"/>
  <c r="M23" i="2"/>
  <c r="K10" i="4" s="1"/>
  <c r="L23" i="2"/>
  <c r="J10" i="4" s="1"/>
  <c r="K23" i="2"/>
  <c r="I10" i="4" s="1"/>
  <c r="J23" i="2"/>
  <c r="H10" i="4" s="1"/>
  <c r="I23" i="2"/>
  <c r="G10" i="4" s="1"/>
  <c r="H23" i="2"/>
  <c r="F10" i="4" s="1"/>
  <c r="G23" i="2"/>
  <c r="E10" i="4" s="1"/>
  <c r="B21" i="2"/>
  <c r="CK25" i="2" s="1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E26" i="2" s="1"/>
  <c r="AD20" i="2"/>
  <c r="AC20" i="2"/>
  <c r="AB20" i="2"/>
  <c r="AA20" i="2"/>
  <c r="Z20" i="2"/>
  <c r="Y20" i="2"/>
  <c r="X20" i="2"/>
  <c r="W20" i="2"/>
  <c r="V20" i="2"/>
  <c r="U20" i="2"/>
  <c r="T20" i="2"/>
  <c r="S20" i="2"/>
  <c r="CJ17" i="2"/>
  <c r="CI17" i="2"/>
  <c r="CH17" i="2"/>
  <c r="CG17" i="2"/>
  <c r="CB17" i="2"/>
  <c r="CA17" i="2"/>
  <c r="BZ17" i="2"/>
  <c r="BY17" i="2"/>
  <c r="BT17" i="2"/>
  <c r="BS17" i="2"/>
  <c r="BR17" i="2"/>
  <c r="BQ17" i="2"/>
  <c r="BL17" i="2"/>
  <c r="BK17" i="2"/>
  <c r="BJ17" i="2"/>
  <c r="BI17" i="2"/>
  <c r="BD17" i="2"/>
  <c r="BC17" i="2"/>
  <c r="BB17" i="2"/>
  <c r="BA17" i="2"/>
  <c r="AV17" i="2"/>
  <c r="AU17" i="2"/>
  <c r="AT17" i="2"/>
  <c r="AS17" i="2"/>
  <c r="AN17" i="2"/>
  <c r="AM17" i="2"/>
  <c r="AL17" i="2"/>
  <c r="AK17" i="2"/>
  <c r="AF17" i="2"/>
  <c r="AE17" i="2"/>
  <c r="AD17" i="2"/>
  <c r="AC17" i="2"/>
  <c r="X17" i="2"/>
  <c r="W17" i="2"/>
  <c r="V17" i="2"/>
  <c r="U17" i="2"/>
  <c r="P17" i="2"/>
  <c r="N19" i="4" s="1"/>
  <c r="O17" i="2"/>
  <c r="M19" i="4" s="1"/>
  <c r="N17" i="2"/>
  <c r="L19" i="4" s="1"/>
  <c r="M17" i="2"/>
  <c r="H17" i="2"/>
  <c r="F19" i="4" s="1"/>
  <c r="G17" i="2"/>
  <c r="E19" i="4" s="1"/>
  <c r="CL16" i="2"/>
  <c r="CK16" i="2"/>
  <c r="CF16" i="2"/>
  <c r="CE16" i="2"/>
  <c r="CD16" i="2"/>
  <c r="CC16" i="2"/>
  <c r="BX16" i="2"/>
  <c r="BW16" i="2"/>
  <c r="BV16" i="2"/>
  <c r="BU16" i="2"/>
  <c r="BP16" i="2"/>
  <c r="BO16" i="2"/>
  <c r="BN16" i="2"/>
  <c r="BM16" i="2"/>
  <c r="BH16" i="2"/>
  <c r="BG16" i="2"/>
  <c r="BF16" i="2"/>
  <c r="BE16" i="2"/>
  <c r="AZ16" i="2"/>
  <c r="AY16" i="2"/>
  <c r="AX16" i="2"/>
  <c r="AW16" i="2"/>
  <c r="AR16" i="2"/>
  <c r="AQ16" i="2"/>
  <c r="AP16" i="2"/>
  <c r="AO16" i="2"/>
  <c r="AJ16" i="2"/>
  <c r="AI16" i="2"/>
  <c r="AH16" i="2"/>
  <c r="AG16" i="2"/>
  <c r="AB16" i="2"/>
  <c r="AA16" i="2"/>
  <c r="Z16" i="2"/>
  <c r="Y16" i="2"/>
  <c r="T16" i="2"/>
  <c r="S16" i="2"/>
  <c r="R16" i="2"/>
  <c r="Q16" i="2"/>
  <c r="L16" i="2"/>
  <c r="K16" i="2"/>
  <c r="J16" i="2"/>
  <c r="I16" i="2"/>
  <c r="CL15" i="2"/>
  <c r="CK15" i="2"/>
  <c r="CJ15" i="2"/>
  <c r="CH9" i="4" s="1"/>
  <c r="CI15" i="2"/>
  <c r="CH15" i="2"/>
  <c r="CG15" i="2"/>
  <c r="CF15" i="2"/>
  <c r="CD9" i="4" s="1"/>
  <c r="CE15" i="2"/>
  <c r="CC9" i="4" s="1"/>
  <c r="CD15" i="2"/>
  <c r="CC15" i="2"/>
  <c r="CB15" i="2"/>
  <c r="CA15" i="2"/>
  <c r="BZ15" i="2"/>
  <c r="BY15" i="2"/>
  <c r="BX15" i="2"/>
  <c r="BV9" i="4" s="1"/>
  <c r="BW15" i="2"/>
  <c r="BV15" i="2"/>
  <c r="BT9" i="4" s="1"/>
  <c r="BU15" i="2"/>
  <c r="BS9" i="4" s="1"/>
  <c r="BT15" i="2"/>
  <c r="BS15" i="2"/>
  <c r="BR15" i="2"/>
  <c r="BQ15" i="2"/>
  <c r="BP15" i="2"/>
  <c r="BO15" i="2"/>
  <c r="BN15" i="2"/>
  <c r="BL9" i="4" s="1"/>
  <c r="BM15" i="2"/>
  <c r="BL15" i="2"/>
  <c r="BJ9" i="4" s="1"/>
  <c r="BK15" i="2"/>
  <c r="BJ15" i="2"/>
  <c r="BI15" i="2"/>
  <c r="BH15" i="2"/>
  <c r="BG15" i="2"/>
  <c r="BF15" i="2"/>
  <c r="BE15" i="2"/>
  <c r="BD15" i="2"/>
  <c r="BB9" i="4" s="1"/>
  <c r="BC15" i="2"/>
  <c r="BB15" i="2"/>
  <c r="BA15" i="2"/>
  <c r="AZ15" i="2"/>
  <c r="AX9" i="4" s="1"/>
  <c r="AX8" i="4" s="1"/>
  <c r="AY15" i="2"/>
  <c r="AW9" i="4" s="1"/>
  <c r="AX15" i="2"/>
  <c r="AW15" i="2"/>
  <c r="AV15" i="2"/>
  <c r="AU15" i="2"/>
  <c r="AT15" i="2"/>
  <c r="AS15" i="2"/>
  <c r="AR15" i="2"/>
  <c r="AP9" i="4" s="1"/>
  <c r="AP8" i="4" s="1"/>
  <c r="AQ15" i="2"/>
  <c r="AP15" i="2"/>
  <c r="AN9" i="4" s="1"/>
  <c r="AN8" i="4" s="1"/>
  <c r="AO15" i="2"/>
  <c r="AM9" i="4" s="1"/>
  <c r="AN15" i="2"/>
  <c r="AM15" i="2"/>
  <c r="AL15" i="2"/>
  <c r="AK15" i="2"/>
  <c r="AJ15" i="2"/>
  <c r="AI15" i="2"/>
  <c r="AH15" i="2"/>
  <c r="AF9" i="4" s="1"/>
  <c r="AF8" i="4" s="1"/>
  <c r="AG15" i="2"/>
  <c r="AF15" i="2"/>
  <c r="AD9" i="4" s="1"/>
  <c r="AD8" i="4" s="1"/>
  <c r="AE15" i="2"/>
  <c r="AD15" i="2"/>
  <c r="AC15" i="2"/>
  <c r="AB15" i="2"/>
  <c r="AA15" i="2"/>
  <c r="Z15" i="2"/>
  <c r="Y15" i="2"/>
  <c r="X15" i="2"/>
  <c r="V9" i="4" s="1"/>
  <c r="V8" i="4" s="1"/>
  <c r="W15" i="2"/>
  <c r="V15" i="2"/>
  <c r="U15" i="2"/>
  <c r="T15" i="2"/>
  <c r="R9" i="4" s="1"/>
  <c r="R8" i="4" s="1"/>
  <c r="S15" i="2"/>
  <c r="Q9" i="4" s="1"/>
  <c r="R15" i="2"/>
  <c r="Q15" i="2"/>
  <c r="P15" i="2"/>
  <c r="O15" i="2"/>
  <c r="N15" i="2"/>
  <c r="M15" i="2"/>
  <c r="L15" i="2"/>
  <c r="K15" i="2"/>
  <c r="J15" i="2"/>
  <c r="H9" i="4" s="1"/>
  <c r="I15" i="2"/>
  <c r="G9" i="4" s="1"/>
  <c r="H15" i="2"/>
  <c r="G15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B13" i="2"/>
  <c r="BW64" i="2" s="1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CF2" i="2"/>
  <c r="CE2" i="2"/>
  <c r="CD2" i="2"/>
  <c r="CC2" i="2"/>
  <c r="CB2" i="2"/>
  <c r="CA2" i="2"/>
  <c r="K9" i="4" l="1"/>
  <c r="K8" i="4" s="1"/>
  <c r="M75" i="2"/>
  <c r="K42" i="4" s="1"/>
  <c r="AI9" i="4"/>
  <c r="AI8" i="4" s="1"/>
  <c r="AK75" i="2"/>
  <c r="AI42" i="4" s="1"/>
  <c r="BG9" i="4"/>
  <c r="S19" i="4"/>
  <c r="BJ15" i="4"/>
  <c r="BL75" i="2"/>
  <c r="BJ42" i="4" s="1"/>
  <c r="S9" i="4"/>
  <c r="S8" i="4" s="1"/>
  <c r="U75" i="2"/>
  <c r="S42" i="4" s="1"/>
  <c r="AQ9" i="4"/>
  <c r="AQ8" i="4" s="1"/>
  <c r="AS75" i="2"/>
  <c r="AQ42" i="4" s="1"/>
  <c r="BO9" i="4"/>
  <c r="BW9" i="4"/>
  <c r="BW8" i="4" s="1"/>
  <c r="BY75" i="2"/>
  <c r="BW42" i="4" s="1"/>
  <c r="F18" i="2"/>
  <c r="J9" i="4"/>
  <c r="J8" i="4" s="1"/>
  <c r="L75" i="2"/>
  <c r="J42" i="4" s="1"/>
  <c r="K19" i="4"/>
  <c r="AA19" i="4"/>
  <c r="AE35" i="2"/>
  <c r="AA9" i="4"/>
  <c r="AA8" i="4" s="1"/>
  <c r="AC75" i="2"/>
  <c r="AA42" i="4" s="1"/>
  <c r="AY9" i="4"/>
  <c r="AY8" i="4" s="1"/>
  <c r="BA75" i="2"/>
  <c r="AY42" i="4" s="1"/>
  <c r="CE9" i="4"/>
  <c r="CE8" i="4" s="1"/>
  <c r="CG75" i="2"/>
  <c r="CE42" i="4" s="1"/>
  <c r="Z9" i="4"/>
  <c r="Z8" i="4" s="1"/>
  <c r="AB75" i="2"/>
  <c r="Z42" i="4" s="1"/>
  <c r="AH9" i="4"/>
  <c r="AH8" i="4" s="1"/>
  <c r="AJ75" i="2"/>
  <c r="AH42" i="4" s="1"/>
  <c r="BF9" i="4"/>
  <c r="BN9" i="4"/>
  <c r="BN8" i="4" s="1"/>
  <c r="BP75" i="2"/>
  <c r="BN42" i="4" s="1"/>
  <c r="BV8" i="4"/>
  <c r="H16" i="2"/>
  <c r="P16" i="2"/>
  <c r="X16" i="2"/>
  <c r="AF16" i="2"/>
  <c r="AN16" i="2"/>
  <c r="AV16" i="2"/>
  <c r="BD16" i="2"/>
  <c r="BL16" i="2"/>
  <c r="BT16" i="2"/>
  <c r="CB16" i="2"/>
  <c r="CJ16" i="2"/>
  <c r="L17" i="2"/>
  <c r="T17" i="2"/>
  <c r="AB17" i="2"/>
  <c r="AJ17" i="2"/>
  <c r="AR17" i="2"/>
  <c r="AZ17" i="2"/>
  <c r="BH17" i="2"/>
  <c r="BP17" i="2"/>
  <c r="BX17" i="2"/>
  <c r="CF17" i="2"/>
  <c r="J24" i="2"/>
  <c r="R24" i="2"/>
  <c r="Z24" i="2"/>
  <c r="AH24" i="2"/>
  <c r="AP24" i="2"/>
  <c r="AX24" i="2"/>
  <c r="BF24" i="2"/>
  <c r="BN24" i="2"/>
  <c r="BV24" i="2"/>
  <c r="CD24" i="2"/>
  <c r="CL24" i="2"/>
  <c r="Z25" i="2"/>
  <c r="AH25" i="2"/>
  <c r="AP25" i="2"/>
  <c r="AX25" i="2"/>
  <c r="BF25" i="2"/>
  <c r="BN25" i="2"/>
  <c r="BV25" i="2"/>
  <c r="CD25" i="2"/>
  <c r="CL25" i="2"/>
  <c r="N32" i="2"/>
  <c r="V32" i="2"/>
  <c r="AD32" i="2"/>
  <c r="AL32" i="2"/>
  <c r="AT32" i="2"/>
  <c r="BB32" i="2"/>
  <c r="BJ32" i="2"/>
  <c r="BR32" i="2"/>
  <c r="BZ32" i="2"/>
  <c r="CH32" i="2"/>
  <c r="AH33" i="2"/>
  <c r="AP33" i="2"/>
  <c r="AX33" i="2"/>
  <c r="BF33" i="2"/>
  <c r="BN33" i="2"/>
  <c r="BV33" i="2"/>
  <c r="CD33" i="2"/>
  <c r="CL33" i="2"/>
  <c r="H40" i="2"/>
  <c r="R40" i="2"/>
  <c r="AA40" i="2"/>
  <c r="AJ40" i="2"/>
  <c r="AS40" i="2"/>
  <c r="BB40" i="2"/>
  <c r="BK40" i="2"/>
  <c r="BI17" i="4" s="1"/>
  <c r="BT40" i="2"/>
  <c r="CD40" i="2"/>
  <c r="AE41" i="2"/>
  <c r="AN41" i="2"/>
  <c r="AW41" i="2"/>
  <c r="BF41" i="2"/>
  <c r="BO41" i="2"/>
  <c r="BX41" i="2"/>
  <c r="CH41" i="2"/>
  <c r="M48" i="2"/>
  <c r="X48" i="2"/>
  <c r="AL48" i="2"/>
  <c r="AZ48" i="2"/>
  <c r="BK48" i="2"/>
  <c r="BY48" i="2"/>
  <c r="CJ48" i="2"/>
  <c r="M56" i="2"/>
  <c r="AF56" i="2"/>
  <c r="AX56" i="2"/>
  <c r="BP56" i="2"/>
  <c r="CI56" i="2"/>
  <c r="X64" i="2"/>
  <c r="BA64" i="2"/>
  <c r="AF75" i="2"/>
  <c r="AD42" i="4" s="1"/>
  <c r="AB19" i="4"/>
  <c r="L24" i="2"/>
  <c r="T24" i="2"/>
  <c r="AB24" i="2"/>
  <c r="AJ24" i="2"/>
  <c r="AR24" i="2"/>
  <c r="AZ24" i="2"/>
  <c r="BH24" i="2"/>
  <c r="BP24" i="2"/>
  <c r="BX24" i="2"/>
  <c r="CF24" i="2"/>
  <c r="H32" i="2"/>
  <c r="P32" i="2"/>
  <c r="X32" i="2"/>
  <c r="AF32" i="2"/>
  <c r="AN32" i="2"/>
  <c r="AV32" i="2"/>
  <c r="BD32" i="2"/>
  <c r="BL32" i="2"/>
  <c r="BT32" i="2"/>
  <c r="CB32" i="2"/>
  <c r="CJ32" i="2"/>
  <c r="K40" i="2"/>
  <c r="T40" i="2"/>
  <c r="AC40" i="2"/>
  <c r="AL40" i="2"/>
  <c r="AU40" i="2"/>
  <c r="AS17" i="4" s="1"/>
  <c r="BD40" i="2"/>
  <c r="BN40" i="2"/>
  <c r="BW40" i="2"/>
  <c r="CF40" i="2"/>
  <c r="O48" i="2"/>
  <c r="AC48" i="2"/>
  <c r="AN48" i="2"/>
  <c r="BB48" i="2"/>
  <c r="BP48" i="2"/>
  <c r="CA48" i="2"/>
  <c r="T56" i="2"/>
  <c r="AM56" i="2"/>
  <c r="BE56" i="2"/>
  <c r="BW56" i="2"/>
  <c r="BL64" i="2"/>
  <c r="BT64" i="2"/>
  <c r="BT63" i="2"/>
  <c r="BR15" i="4" s="1"/>
  <c r="CB63" i="2"/>
  <c r="BZ15" i="4" s="1"/>
  <c r="CB65" i="2"/>
  <c r="AG64" i="2"/>
  <c r="CJ64" i="2"/>
  <c r="BT65" i="2"/>
  <c r="J75" i="2"/>
  <c r="H42" i="4" s="1"/>
  <c r="AO75" i="2"/>
  <c r="AM42" i="4" s="1"/>
  <c r="BN75" i="2"/>
  <c r="BL42" i="4" s="1"/>
  <c r="I32" i="2"/>
  <c r="Q32" i="2"/>
  <c r="Y32" i="2"/>
  <c r="AG32" i="2"/>
  <c r="AO32" i="2"/>
  <c r="AW32" i="2"/>
  <c r="BE32" i="2"/>
  <c r="BM32" i="2"/>
  <c r="BU32" i="2"/>
  <c r="CC32" i="2"/>
  <c r="CK32" i="2"/>
  <c r="AK33" i="2"/>
  <c r="AI19" i="4" s="1"/>
  <c r="AS33" i="2"/>
  <c r="AQ19" i="4" s="1"/>
  <c r="BA33" i="2"/>
  <c r="AY19" i="4" s="1"/>
  <c r="BI33" i="2"/>
  <c r="BQ33" i="2"/>
  <c r="BO19" i="4" s="1"/>
  <c r="BY33" i="2"/>
  <c r="BW19" i="4" s="1"/>
  <c r="CG33" i="2"/>
  <c r="L40" i="2"/>
  <c r="U40" i="2"/>
  <c r="AD40" i="2"/>
  <c r="AM40" i="2"/>
  <c r="AK17" i="4" s="1"/>
  <c r="AV40" i="2"/>
  <c r="BF40" i="2"/>
  <c r="BO40" i="2"/>
  <c r="BX40" i="2"/>
  <c r="CG40" i="2"/>
  <c r="AH41" i="2"/>
  <c r="AQ41" i="2"/>
  <c r="AZ41" i="2"/>
  <c r="BJ41" i="2"/>
  <c r="BS41" i="2"/>
  <c r="CB41" i="2"/>
  <c r="CK41" i="2"/>
  <c r="P48" i="2"/>
  <c r="AD48" i="2"/>
  <c r="AR48" i="2"/>
  <c r="BC48" i="2"/>
  <c r="BA17" i="4" s="1"/>
  <c r="BQ48" i="2"/>
  <c r="CB48" i="2"/>
  <c r="U56" i="2"/>
  <c r="AN56" i="2"/>
  <c r="BF56" i="2"/>
  <c r="BX56" i="2"/>
  <c r="BE65" i="2"/>
  <c r="BE63" i="2"/>
  <c r="BC15" i="4" s="1"/>
  <c r="BE64" i="2"/>
  <c r="BM65" i="2"/>
  <c r="BM63" i="2"/>
  <c r="BK15" i="4" s="1"/>
  <c r="BU64" i="2"/>
  <c r="BU65" i="2"/>
  <c r="CC63" i="2"/>
  <c r="CA15" i="4" s="1"/>
  <c r="CC64" i="2"/>
  <c r="CK65" i="2"/>
  <c r="CK63" i="2"/>
  <c r="CI15" i="4" s="1"/>
  <c r="CK64" i="2"/>
  <c r="CJ63" i="2"/>
  <c r="CH15" i="4" s="1"/>
  <c r="AH64" i="2"/>
  <c r="BM64" i="2"/>
  <c r="AP75" i="2"/>
  <c r="AN42" i="4" s="1"/>
  <c r="F31" i="4"/>
  <c r="F46" i="4"/>
  <c r="I95" i="2"/>
  <c r="J32" i="2"/>
  <c r="R32" i="2"/>
  <c r="Z32" i="2"/>
  <c r="AH32" i="2"/>
  <c r="AP32" i="2"/>
  <c r="AX32" i="2"/>
  <c r="BF32" i="2"/>
  <c r="BN32" i="2"/>
  <c r="BV32" i="2"/>
  <c r="CD32" i="2"/>
  <c r="CL32" i="2"/>
  <c r="AL33" i="2"/>
  <c r="AT33" i="2"/>
  <c r="BB33" i="2"/>
  <c r="BJ33" i="2"/>
  <c r="BR33" i="2"/>
  <c r="BZ33" i="2"/>
  <c r="CH33" i="2"/>
  <c r="M40" i="2"/>
  <c r="V40" i="2"/>
  <c r="AE40" i="2"/>
  <c r="AC17" i="4" s="1"/>
  <c r="AN40" i="2"/>
  <c r="AX40" i="2"/>
  <c r="BG40" i="2"/>
  <c r="BP40" i="2"/>
  <c r="BY40" i="2"/>
  <c r="CH40" i="2"/>
  <c r="AI41" i="2"/>
  <c r="AR41" i="2"/>
  <c r="BB41" i="2"/>
  <c r="BK41" i="2"/>
  <c r="BT41" i="2"/>
  <c r="CC41" i="2"/>
  <c r="CL41" i="2"/>
  <c r="T48" i="2"/>
  <c r="AE48" i="2"/>
  <c r="AS48" i="2"/>
  <c r="BD48" i="2"/>
  <c r="BR48" i="2"/>
  <c r="CF48" i="2"/>
  <c r="W56" i="2"/>
  <c r="AO56" i="2"/>
  <c r="BG56" i="2"/>
  <c r="BY56" i="2"/>
  <c r="BF65" i="2"/>
  <c r="BF63" i="2"/>
  <c r="BD15" i="4" s="1"/>
  <c r="BN65" i="2"/>
  <c r="BN63" i="2"/>
  <c r="BL15" i="4" s="1"/>
  <c r="BV65" i="2"/>
  <c r="BV63" i="2"/>
  <c r="BT15" i="4" s="1"/>
  <c r="BV64" i="2"/>
  <c r="CD65" i="2"/>
  <c r="CD63" i="2"/>
  <c r="CB15" i="4" s="1"/>
  <c r="CD64" i="2"/>
  <c r="CL65" i="2"/>
  <c r="CL63" i="2"/>
  <c r="CJ15" i="4" s="1"/>
  <c r="BU63" i="2"/>
  <c r="BS15" i="4" s="1"/>
  <c r="K64" i="2"/>
  <c r="AJ64" i="2"/>
  <c r="BN64" i="2"/>
  <c r="S75" i="2"/>
  <c r="AR75" i="2"/>
  <c r="AP42" i="4" s="1"/>
  <c r="BV75" i="2"/>
  <c r="BT42" i="4" s="1"/>
  <c r="BR9" i="4"/>
  <c r="BZ9" i="4"/>
  <c r="BZ8" i="4" s="1"/>
  <c r="CB75" i="2"/>
  <c r="BZ42" i="4" s="1"/>
  <c r="N24" i="2"/>
  <c r="V24" i="2"/>
  <c r="AD24" i="2"/>
  <c r="AL24" i="2"/>
  <c r="AT24" i="2"/>
  <c r="BB24" i="2"/>
  <c r="BJ24" i="2"/>
  <c r="BR24" i="2"/>
  <c r="BZ24" i="2"/>
  <c r="CH24" i="2"/>
  <c r="V25" i="2"/>
  <c r="T19" i="4" s="1"/>
  <c r="AD25" i="2"/>
  <c r="AL25" i="2"/>
  <c r="AJ19" i="4" s="1"/>
  <c r="AT25" i="2"/>
  <c r="AR19" i="4" s="1"/>
  <c r="BB25" i="2"/>
  <c r="AZ19" i="4" s="1"/>
  <c r="BJ25" i="2"/>
  <c r="BH19" i="4" s="1"/>
  <c r="BR25" i="2"/>
  <c r="BP19" i="4" s="1"/>
  <c r="BZ25" i="2"/>
  <c r="CH25" i="2"/>
  <c r="CF19" i="4" s="1"/>
  <c r="G8" i="4"/>
  <c r="O9" i="4"/>
  <c r="O8" i="4" s="1"/>
  <c r="Q75" i="2"/>
  <c r="O42" i="4" s="1"/>
  <c r="W9" i="4"/>
  <c r="W8" i="4" s="1"/>
  <c r="Y75" i="2"/>
  <c r="W42" i="4" s="1"/>
  <c r="AE9" i="4"/>
  <c r="AE8" i="4" s="1"/>
  <c r="AG75" i="2"/>
  <c r="AE42" i="4" s="1"/>
  <c r="AM8" i="4"/>
  <c r="AU9" i="4"/>
  <c r="AU8" i="4" s="1"/>
  <c r="AW75" i="2"/>
  <c r="AU42" i="4" s="1"/>
  <c r="BC9" i="4"/>
  <c r="BE75" i="2"/>
  <c r="BC42" i="4" s="1"/>
  <c r="BK9" i="4"/>
  <c r="BK8" i="4" s="1"/>
  <c r="BS8" i="4"/>
  <c r="CA9" i="4"/>
  <c r="CI9" i="4"/>
  <c r="CK75" i="2"/>
  <c r="CI42" i="4" s="1"/>
  <c r="M16" i="2"/>
  <c r="U16" i="2"/>
  <c r="AC16" i="2"/>
  <c r="AK16" i="2"/>
  <c r="AS16" i="2"/>
  <c r="BA16" i="2"/>
  <c r="BI16" i="2"/>
  <c r="BQ16" i="2"/>
  <c r="BY16" i="2"/>
  <c r="CG16" i="2"/>
  <c r="I17" i="2"/>
  <c r="Q17" i="2"/>
  <c r="Y17" i="2"/>
  <c r="AG17" i="2"/>
  <c r="AO17" i="2"/>
  <c r="AW17" i="2"/>
  <c r="BE17" i="2"/>
  <c r="BM17" i="2"/>
  <c r="BU17" i="2"/>
  <c r="CC17" i="2"/>
  <c r="CK17" i="2"/>
  <c r="G24" i="2"/>
  <c r="O24" i="2"/>
  <c r="W24" i="2"/>
  <c r="AE24" i="2"/>
  <c r="AM24" i="2"/>
  <c r="AU24" i="2"/>
  <c r="BC24" i="2"/>
  <c r="BK24" i="2"/>
  <c r="BS24" i="2"/>
  <c r="CA24" i="2"/>
  <c r="CI24" i="2"/>
  <c r="W25" i="2"/>
  <c r="U19" i="4" s="1"/>
  <c r="AE25" i="2"/>
  <c r="AM25" i="2"/>
  <c r="AU25" i="2"/>
  <c r="AS19" i="4" s="1"/>
  <c r="BC25" i="2"/>
  <c r="BK25" i="2"/>
  <c r="BS25" i="2"/>
  <c r="CA25" i="2"/>
  <c r="CI25" i="2"/>
  <c r="K32" i="2"/>
  <c r="S32" i="2"/>
  <c r="AA32" i="2"/>
  <c r="AI32" i="2"/>
  <c r="AQ32" i="2"/>
  <c r="AY32" i="2"/>
  <c r="BG32" i="2"/>
  <c r="BO32" i="2"/>
  <c r="BW32" i="2"/>
  <c r="CE32" i="2"/>
  <c r="AE33" i="2"/>
  <c r="AC19" i="4" s="1"/>
  <c r="AM33" i="2"/>
  <c r="AU33" i="2"/>
  <c r="BC33" i="2"/>
  <c r="BK33" i="2"/>
  <c r="BS33" i="2"/>
  <c r="CA33" i="2"/>
  <c r="BY19" i="4" s="1"/>
  <c r="CI33" i="2"/>
  <c r="N40" i="2"/>
  <c r="W40" i="2"/>
  <c r="U17" i="4" s="1"/>
  <c r="AF40" i="2"/>
  <c r="AP40" i="2"/>
  <c r="AY40" i="2"/>
  <c r="BH40" i="2"/>
  <c r="BQ40" i="2"/>
  <c r="BZ40" i="2"/>
  <c r="CI40" i="2"/>
  <c r="CG17" i="4" s="1"/>
  <c r="AJ41" i="2"/>
  <c r="AT41" i="2"/>
  <c r="BC41" i="2"/>
  <c r="BL41" i="2"/>
  <c r="BU41" i="2"/>
  <c r="G48" i="2"/>
  <c r="U48" i="2"/>
  <c r="AF48" i="2"/>
  <c r="AT48" i="2"/>
  <c r="BH48" i="2"/>
  <c r="BS48" i="2"/>
  <c r="CG48" i="2"/>
  <c r="AV49" i="2"/>
  <c r="BJ49" i="2"/>
  <c r="BX49" i="2"/>
  <c r="G56" i="2"/>
  <c r="Y56" i="2"/>
  <c r="AQ56" i="2"/>
  <c r="BI56" i="2"/>
  <c r="CB56" i="2"/>
  <c r="L64" i="2"/>
  <c r="AQ64" i="2"/>
  <c r="BP64" i="2"/>
  <c r="CC65" i="2"/>
  <c r="T75" i="2"/>
  <c r="R42" i="4" s="1"/>
  <c r="AY75" i="2"/>
  <c r="AW42" i="4" s="1"/>
  <c r="BX75" i="2"/>
  <c r="BV42" i="4" s="1"/>
  <c r="L9" i="4"/>
  <c r="L8" i="4" s="1"/>
  <c r="N75" i="2"/>
  <c r="L42" i="4" s="1"/>
  <c r="AB9" i="4"/>
  <c r="AB8" i="4" s="1"/>
  <c r="AD75" i="2"/>
  <c r="AB42" i="4" s="1"/>
  <c r="AJ9" i="4"/>
  <c r="AJ8" i="4" s="1"/>
  <c r="AL75" i="2"/>
  <c r="AJ42" i="4" s="1"/>
  <c r="AZ9" i="4"/>
  <c r="AZ8" i="4" s="1"/>
  <c r="BB75" i="2"/>
  <c r="AZ42" i="4" s="1"/>
  <c r="BP9" i="4"/>
  <c r="BP8" i="4" s="1"/>
  <c r="BR75" i="2"/>
  <c r="BP42" i="4" s="1"/>
  <c r="L27" i="4"/>
  <c r="L26" i="4"/>
  <c r="L20" i="4"/>
  <c r="E9" i="4"/>
  <c r="E8" i="4" s="1"/>
  <c r="E20" i="4" s="1"/>
  <c r="G75" i="2"/>
  <c r="E42" i="4" s="1"/>
  <c r="AE75" i="2"/>
  <c r="AC42" i="4" s="1"/>
  <c r="AC9" i="4"/>
  <c r="AC8" i="4" s="1"/>
  <c r="AU75" i="2"/>
  <c r="AS42" i="4" s="1"/>
  <c r="AS9" i="4"/>
  <c r="AS8" i="4" s="1"/>
  <c r="BK75" i="2"/>
  <c r="BI42" i="4" s="1"/>
  <c r="BI9" i="4"/>
  <c r="BI8" i="4" s="1"/>
  <c r="E27" i="4"/>
  <c r="E26" i="4"/>
  <c r="M27" i="4"/>
  <c r="M26" i="4"/>
  <c r="BA19" i="4"/>
  <c r="F27" i="4"/>
  <c r="F26" i="4"/>
  <c r="X9" i="4"/>
  <c r="X8" i="4" s="1"/>
  <c r="Z75" i="2"/>
  <c r="X42" i="4" s="1"/>
  <c r="AV9" i="4"/>
  <c r="AV8" i="4" s="1"/>
  <c r="AX75" i="2"/>
  <c r="AV42" i="4" s="1"/>
  <c r="BD9" i="4"/>
  <c r="BL8" i="4"/>
  <c r="BT8" i="4"/>
  <c r="CB9" i="4"/>
  <c r="CB8" i="4" s="1"/>
  <c r="CD75" i="2"/>
  <c r="CB42" i="4" s="1"/>
  <c r="CJ9" i="4"/>
  <c r="CJ8" i="4" s="1"/>
  <c r="CL75" i="2"/>
  <c r="CJ42" i="4" s="1"/>
  <c r="N16" i="2"/>
  <c r="V16" i="2"/>
  <c r="AD16" i="2"/>
  <c r="AL16" i="2"/>
  <c r="AT16" i="2"/>
  <c r="BB16" i="2"/>
  <c r="BJ16" i="2"/>
  <c r="BR16" i="2"/>
  <c r="BZ16" i="2"/>
  <c r="CH16" i="2"/>
  <c r="J17" i="2"/>
  <c r="R17" i="2"/>
  <c r="Z17" i="2"/>
  <c r="AH17" i="2"/>
  <c r="AP17" i="2"/>
  <c r="AX17" i="2"/>
  <c r="BF17" i="2"/>
  <c r="BN17" i="2"/>
  <c r="BV17" i="2"/>
  <c r="CD17" i="2"/>
  <c r="CL17" i="2"/>
  <c r="L32" i="2"/>
  <c r="T32" i="2"/>
  <c r="AB32" i="2"/>
  <c r="AJ32" i="2"/>
  <c r="AR32" i="2"/>
  <c r="AZ32" i="2"/>
  <c r="BH32" i="2"/>
  <c r="BP32" i="2"/>
  <c r="BN17" i="4" s="1"/>
  <c r="BX32" i="2"/>
  <c r="CF32" i="2"/>
  <c r="AF33" i="2"/>
  <c r="AN33" i="2"/>
  <c r="AV33" i="2"/>
  <c r="BD33" i="2"/>
  <c r="BL33" i="2"/>
  <c r="BT33" i="2"/>
  <c r="CB33" i="2"/>
  <c r="CJ33" i="2"/>
  <c r="CG41" i="2"/>
  <c r="BY41" i="2"/>
  <c r="BQ41" i="2"/>
  <c r="BI41" i="2"/>
  <c r="BA41" i="2"/>
  <c r="AS41" i="2"/>
  <c r="AK41" i="2"/>
  <c r="O40" i="2"/>
  <c r="M17" i="4" s="1"/>
  <c r="X40" i="2"/>
  <c r="AH40" i="2"/>
  <c r="AQ40" i="2"/>
  <c r="AZ40" i="2"/>
  <c r="BI40" i="2"/>
  <c r="BR40" i="2"/>
  <c r="CA40" i="2"/>
  <c r="BY17" i="4" s="1"/>
  <c r="CJ40" i="2"/>
  <c r="AL41" i="2"/>
  <c r="AU41" i="2"/>
  <c r="BD41" i="2"/>
  <c r="BM41" i="2"/>
  <c r="BV41" i="2"/>
  <c r="CE41" i="2"/>
  <c r="CE49" i="2"/>
  <c r="BW49" i="2"/>
  <c r="BO49" i="2"/>
  <c r="BG49" i="2"/>
  <c r="AY49" i="2"/>
  <c r="AQ49" i="2"/>
  <c r="CL49" i="2"/>
  <c r="CD49" i="2"/>
  <c r="BV49" i="2"/>
  <c r="BN49" i="2"/>
  <c r="BF49" i="2"/>
  <c r="AX49" i="2"/>
  <c r="CK49" i="2"/>
  <c r="CC49" i="2"/>
  <c r="BU49" i="2"/>
  <c r="BM49" i="2"/>
  <c r="BE49" i="2"/>
  <c r="AW49" i="2"/>
  <c r="H48" i="2"/>
  <c r="V48" i="2"/>
  <c r="AJ48" i="2"/>
  <c r="AU48" i="2"/>
  <c r="BI48" i="2"/>
  <c r="BT48" i="2"/>
  <c r="CH48" i="2"/>
  <c r="AZ49" i="2"/>
  <c r="BK49" i="2"/>
  <c r="BI19" i="4" s="1"/>
  <c r="BY49" i="2"/>
  <c r="CJ49" i="2"/>
  <c r="CH19" i="4" s="1"/>
  <c r="K56" i="2"/>
  <c r="AC56" i="2"/>
  <c r="AV56" i="2"/>
  <c r="BN56" i="2"/>
  <c r="CF56" i="2"/>
  <c r="BH64" i="2"/>
  <c r="BH63" i="2"/>
  <c r="BF15" i="4" s="1"/>
  <c r="BH65" i="2"/>
  <c r="CF64" i="2"/>
  <c r="CF63" i="2"/>
  <c r="CD15" i="4" s="1"/>
  <c r="CD8" i="4" s="1"/>
  <c r="BD63" i="2"/>
  <c r="BB15" i="4" s="1"/>
  <c r="BB8" i="4" s="1"/>
  <c r="P64" i="2"/>
  <c r="AR64" i="2"/>
  <c r="CF65" i="2"/>
  <c r="X75" i="2"/>
  <c r="V42" i="4" s="1"/>
  <c r="AZ75" i="2"/>
  <c r="AX42" i="4" s="1"/>
  <c r="T9" i="4"/>
  <c r="T8" i="4" s="1"/>
  <c r="V75" i="2"/>
  <c r="T42" i="4" s="1"/>
  <c r="AR9" i="4"/>
  <c r="AR8" i="4" s="1"/>
  <c r="AT75" i="2"/>
  <c r="AR42" i="4" s="1"/>
  <c r="BH9" i="4"/>
  <c r="BH8" i="4" s="1"/>
  <c r="BJ75" i="2"/>
  <c r="BH42" i="4" s="1"/>
  <c r="BX9" i="4"/>
  <c r="BX8" i="4" s="1"/>
  <c r="BZ75" i="2"/>
  <c r="BX42" i="4" s="1"/>
  <c r="CF9" i="4"/>
  <c r="CF8" i="4" s="1"/>
  <c r="CH75" i="2"/>
  <c r="CF42" i="4" s="1"/>
  <c r="M9" i="4"/>
  <c r="M8" i="4" s="1"/>
  <c r="M20" i="4" s="1"/>
  <c r="O75" i="2"/>
  <c r="M42" i="4" s="1"/>
  <c r="U9" i="4"/>
  <c r="U8" i="4" s="1"/>
  <c r="W75" i="2"/>
  <c r="U42" i="4" s="1"/>
  <c r="AK9" i="4"/>
  <c r="AK8" i="4" s="1"/>
  <c r="AM75" i="2"/>
  <c r="AK42" i="4" s="1"/>
  <c r="BA9" i="4"/>
  <c r="BA8" i="4" s="1"/>
  <c r="BC75" i="2"/>
  <c r="BA42" i="4" s="1"/>
  <c r="BQ9" i="4"/>
  <c r="BQ8" i="4" s="1"/>
  <c r="CA75" i="2"/>
  <c r="BY42" i="4" s="1"/>
  <c r="BY9" i="4"/>
  <c r="BY8" i="4" s="1"/>
  <c r="CG9" i="4"/>
  <c r="CG8" i="4" s="1"/>
  <c r="CI75" i="2"/>
  <c r="CG42" i="4" s="1"/>
  <c r="F9" i="4"/>
  <c r="F8" i="4" s="1"/>
  <c r="F20" i="4" s="1"/>
  <c r="H75" i="2"/>
  <c r="F42" i="4" s="1"/>
  <c r="N9" i="4"/>
  <c r="N8" i="4" s="1"/>
  <c r="N20" i="4" s="1"/>
  <c r="P75" i="2"/>
  <c r="N42" i="4" s="1"/>
  <c r="AL9" i="4"/>
  <c r="AL8" i="4" s="1"/>
  <c r="AN75" i="2"/>
  <c r="AL42" i="4" s="1"/>
  <c r="AT9" i="4"/>
  <c r="AT8" i="4" s="1"/>
  <c r="AV75" i="2"/>
  <c r="AT42" i="4" s="1"/>
  <c r="BJ8" i="4"/>
  <c r="CH8" i="4"/>
  <c r="N27" i="4"/>
  <c r="N26" i="4"/>
  <c r="V19" i="4"/>
  <c r="AL19" i="4"/>
  <c r="AU64" i="2"/>
  <c r="AM64" i="2"/>
  <c r="AE64" i="2"/>
  <c r="W64" i="2"/>
  <c r="O64" i="2"/>
  <c r="G64" i="2"/>
  <c r="BB64" i="2"/>
  <c r="AT64" i="2"/>
  <c r="AL64" i="2"/>
  <c r="AD64" i="2"/>
  <c r="V64" i="2"/>
  <c r="N64" i="2"/>
  <c r="CH56" i="2"/>
  <c r="BZ56" i="2"/>
  <c r="BR56" i="2"/>
  <c r="BJ56" i="2"/>
  <c r="BB56" i="2"/>
  <c r="AT56" i="2"/>
  <c r="AL56" i="2"/>
  <c r="AD56" i="2"/>
  <c r="V56" i="2"/>
  <c r="N56" i="2"/>
  <c r="AY64" i="2"/>
  <c r="AO64" i="2"/>
  <c r="AC64" i="2"/>
  <c r="S64" i="2"/>
  <c r="I64" i="2"/>
  <c r="CE56" i="2"/>
  <c r="BV56" i="2"/>
  <c r="BM56" i="2"/>
  <c r="BD56" i="2"/>
  <c r="AU56" i="2"/>
  <c r="AK56" i="2"/>
  <c r="AB56" i="2"/>
  <c r="S56" i="2"/>
  <c r="J56" i="2"/>
  <c r="CE48" i="2"/>
  <c r="BW48" i="2"/>
  <c r="BO48" i="2"/>
  <c r="BG48" i="2"/>
  <c r="AY48" i="2"/>
  <c r="AQ48" i="2"/>
  <c r="AI48" i="2"/>
  <c r="AA48" i="2"/>
  <c r="S48" i="2"/>
  <c r="K48" i="2"/>
  <c r="CK40" i="2"/>
  <c r="CC40" i="2"/>
  <c r="BU40" i="2"/>
  <c r="BM40" i="2"/>
  <c r="BE40" i="2"/>
  <c r="AW40" i="2"/>
  <c r="AO40" i="2"/>
  <c r="AG40" i="2"/>
  <c r="Y40" i="2"/>
  <c r="Q40" i="2"/>
  <c r="I40" i="2"/>
  <c r="AX64" i="2"/>
  <c r="AN64" i="2"/>
  <c r="AB64" i="2"/>
  <c r="R64" i="2"/>
  <c r="H64" i="2"/>
  <c r="CD56" i="2"/>
  <c r="BU56" i="2"/>
  <c r="BL56" i="2"/>
  <c r="BC56" i="2"/>
  <c r="AS56" i="2"/>
  <c r="AJ56" i="2"/>
  <c r="AA56" i="2"/>
  <c r="R56" i="2"/>
  <c r="I56" i="2"/>
  <c r="CL48" i="2"/>
  <c r="CD48" i="2"/>
  <c r="BV48" i="2"/>
  <c r="BN48" i="2"/>
  <c r="BF48" i="2"/>
  <c r="AX48" i="2"/>
  <c r="AP48" i="2"/>
  <c r="AH48" i="2"/>
  <c r="Z48" i="2"/>
  <c r="R48" i="2"/>
  <c r="J48" i="2"/>
  <c r="AW64" i="2"/>
  <c r="AK64" i="2"/>
  <c r="AA64" i="2"/>
  <c r="Q64" i="2"/>
  <c r="CL56" i="2"/>
  <c r="CC56" i="2"/>
  <c r="BT56" i="2"/>
  <c r="BK56" i="2"/>
  <c r="BA56" i="2"/>
  <c r="AR56" i="2"/>
  <c r="AI56" i="2"/>
  <c r="Z56" i="2"/>
  <c r="Q56" i="2"/>
  <c r="H56" i="2"/>
  <c r="CK48" i="2"/>
  <c r="CC48" i="2"/>
  <c r="BU48" i="2"/>
  <c r="BM48" i="2"/>
  <c r="BE48" i="2"/>
  <c r="AW48" i="2"/>
  <c r="AO48" i="2"/>
  <c r="AG48" i="2"/>
  <c r="Y48" i="2"/>
  <c r="Q48" i="2"/>
  <c r="I48" i="2"/>
  <c r="BY64" i="2"/>
  <c r="AS64" i="2"/>
  <c r="AI64" i="2"/>
  <c r="Y64" i="2"/>
  <c r="M64" i="2"/>
  <c r="CJ56" i="2"/>
  <c r="CA56" i="2"/>
  <c r="BQ56" i="2"/>
  <c r="BH56" i="2"/>
  <c r="AY56" i="2"/>
  <c r="AP56" i="2"/>
  <c r="AG56" i="2"/>
  <c r="X56" i="2"/>
  <c r="O56" i="2"/>
  <c r="AZ64" i="2"/>
  <c r="AP64" i="2"/>
  <c r="AF64" i="2"/>
  <c r="T64" i="2"/>
  <c r="J64" i="2"/>
  <c r="H8" i="4"/>
  <c r="P9" i="4"/>
  <c r="P8" i="4" s="1"/>
  <c r="R75" i="2"/>
  <c r="P42" i="4" s="1"/>
  <c r="H24" i="2"/>
  <c r="P24" i="2"/>
  <c r="X24" i="2"/>
  <c r="AF24" i="2"/>
  <c r="AN24" i="2"/>
  <c r="AV24" i="2"/>
  <c r="BD24" i="2"/>
  <c r="BL24" i="2"/>
  <c r="BT24" i="2"/>
  <c r="CB24" i="2"/>
  <c r="CJ24" i="2"/>
  <c r="X25" i="2"/>
  <c r="AF25" i="2"/>
  <c r="AN25" i="2"/>
  <c r="AV25" i="2"/>
  <c r="BD25" i="2"/>
  <c r="BB19" i="4" s="1"/>
  <c r="BL25" i="2"/>
  <c r="BJ19" i="4" s="1"/>
  <c r="BT25" i="2"/>
  <c r="CB25" i="2"/>
  <c r="BZ19" i="4" s="1"/>
  <c r="CJ25" i="2"/>
  <c r="I9" i="4"/>
  <c r="I8" i="4" s="1"/>
  <c r="K75" i="2"/>
  <c r="I42" i="4" s="1"/>
  <c r="Q8" i="4"/>
  <c r="Y9" i="4"/>
  <c r="Y8" i="4" s="1"/>
  <c r="AA75" i="2"/>
  <c r="Y42" i="4" s="1"/>
  <c r="AG9" i="4"/>
  <c r="AG8" i="4" s="1"/>
  <c r="AI75" i="2"/>
  <c r="AG42" i="4" s="1"/>
  <c r="AO9" i="4"/>
  <c r="AO8" i="4" s="1"/>
  <c r="AQ75" i="2"/>
  <c r="AO42" i="4" s="1"/>
  <c r="AW8" i="4"/>
  <c r="BE9" i="4"/>
  <c r="BM9" i="4"/>
  <c r="BM8" i="4" s="1"/>
  <c r="BU9" i="4"/>
  <c r="G16" i="2"/>
  <c r="O16" i="2"/>
  <c r="W16" i="2"/>
  <c r="AE16" i="2"/>
  <c r="AM16" i="2"/>
  <c r="AU16" i="2"/>
  <c r="BC16" i="2"/>
  <c r="BK16" i="2"/>
  <c r="BS16" i="2"/>
  <c r="CA16" i="2"/>
  <c r="CI16" i="2"/>
  <c r="K17" i="2"/>
  <c r="S17" i="2"/>
  <c r="AA17" i="2"/>
  <c r="AI17" i="2"/>
  <c r="AQ17" i="2"/>
  <c r="AY17" i="2"/>
  <c r="BG17" i="2"/>
  <c r="BO17" i="2"/>
  <c r="BW17" i="2"/>
  <c r="CE17" i="2"/>
  <c r="I24" i="2"/>
  <c r="Q24" i="2"/>
  <c r="Y24" i="2"/>
  <c r="AG24" i="2"/>
  <c r="AO24" i="2"/>
  <c r="AW24" i="2"/>
  <c r="BE24" i="2"/>
  <c r="BM24" i="2"/>
  <c r="BU24" i="2"/>
  <c r="CC24" i="2"/>
  <c r="CK24" i="2"/>
  <c r="Y25" i="2"/>
  <c r="AG25" i="2"/>
  <c r="AO25" i="2"/>
  <c r="AW25" i="2"/>
  <c r="BE25" i="2"/>
  <c r="BM25" i="2"/>
  <c r="BU25" i="2"/>
  <c r="CC25" i="2"/>
  <c r="M32" i="2"/>
  <c r="K17" i="4" s="1"/>
  <c r="U32" i="2"/>
  <c r="AC32" i="2"/>
  <c r="AK32" i="2"/>
  <c r="AS32" i="2"/>
  <c r="AQ17" i="4" s="1"/>
  <c r="BA32" i="2"/>
  <c r="BI32" i="2"/>
  <c r="BG17" i="4" s="1"/>
  <c r="BQ32" i="2"/>
  <c r="BO17" i="4" s="1"/>
  <c r="BY32" i="2"/>
  <c r="CG32" i="2"/>
  <c r="AG33" i="2"/>
  <c r="AO33" i="2"/>
  <c r="AW33" i="2"/>
  <c r="BE33" i="2"/>
  <c r="BM33" i="2"/>
  <c r="BU33" i="2"/>
  <c r="CC33" i="2"/>
  <c r="G40" i="2"/>
  <c r="E17" i="4" s="1"/>
  <c r="P40" i="2"/>
  <c r="Z40" i="2"/>
  <c r="AI40" i="2"/>
  <c r="AR40" i="2"/>
  <c r="BA40" i="2"/>
  <c r="BJ40" i="2"/>
  <c r="BS40" i="2"/>
  <c r="BQ17" i="4" s="1"/>
  <c r="CB40" i="2"/>
  <c r="CL40" i="2"/>
  <c r="AM41" i="2"/>
  <c r="AK19" i="4" s="1"/>
  <c r="AV41" i="2"/>
  <c r="AT19" i="4" s="1"/>
  <c r="BE41" i="2"/>
  <c r="BN41" i="2"/>
  <c r="BW41" i="2"/>
  <c r="CF41" i="2"/>
  <c r="L48" i="2"/>
  <c r="W48" i="2"/>
  <c r="AK48" i="2"/>
  <c r="AV48" i="2"/>
  <c r="BJ48" i="2"/>
  <c r="BX48" i="2"/>
  <c r="CI48" i="2"/>
  <c r="L56" i="2"/>
  <c r="AE56" i="2"/>
  <c r="AW56" i="2"/>
  <c r="BO56" i="2"/>
  <c r="CG56" i="2"/>
  <c r="BI64" i="2"/>
  <c r="U64" i="2"/>
  <c r="AV64" i="2"/>
  <c r="BX64" i="2"/>
  <c r="BL65" i="2"/>
  <c r="CF75" i="2"/>
  <c r="CD42" i="4" s="1"/>
  <c r="E55" i="4"/>
  <c r="H128" i="2"/>
  <c r="E46" i="4"/>
  <c r="E31" i="4"/>
  <c r="AC68" i="3"/>
  <c r="X64" i="3"/>
  <c r="AF74" i="3"/>
  <c r="AE68" i="3"/>
  <c r="AF56" i="3"/>
  <c r="C56" i="3"/>
  <c r="X89" i="3"/>
  <c r="X79" i="3"/>
  <c r="X71" i="3"/>
  <c r="X61" i="3"/>
  <c r="X47" i="3"/>
  <c r="X88" i="3"/>
  <c r="X78" i="3"/>
  <c r="X70" i="3"/>
  <c r="X87" i="3"/>
  <c r="X77" i="3"/>
  <c r="X69" i="3"/>
  <c r="X67" i="3"/>
  <c r="X90" i="3"/>
  <c r="X82" i="3"/>
  <c r="X80" i="3"/>
  <c r="X93" i="3"/>
  <c r="X65" i="3"/>
  <c r="X62" i="3"/>
  <c r="X56" i="3"/>
  <c r="X68" i="3" s="1"/>
  <c r="X48" i="3"/>
  <c r="X46" i="3"/>
  <c r="X44" i="3"/>
  <c r="X83" i="3"/>
  <c r="X73" i="3"/>
  <c r="X63" i="3"/>
  <c r="X53" i="3"/>
  <c r="X92" i="3"/>
  <c r="X75" i="3"/>
  <c r="X58" i="3"/>
  <c r="X57" i="3"/>
  <c r="X50" i="3"/>
  <c r="X91" i="3"/>
  <c r="X86" i="3"/>
  <c r="X85" i="3"/>
  <c r="X74" i="3"/>
  <c r="X66" i="3"/>
  <c r="X60" i="3"/>
  <c r="X52" i="3"/>
  <c r="X49" i="3"/>
  <c r="X43" i="3"/>
  <c r="X84" i="3"/>
  <c r="X76" i="3"/>
  <c r="X51" i="3"/>
  <c r="X54" i="3"/>
  <c r="X45" i="3"/>
  <c r="AF75" i="3"/>
  <c r="C75" i="3"/>
  <c r="BG65" i="2"/>
  <c r="BG63" i="2"/>
  <c r="BE15" i="4" s="1"/>
  <c r="BO65" i="2"/>
  <c r="BO63" i="2"/>
  <c r="BM15" i="4" s="1"/>
  <c r="BW65" i="2"/>
  <c r="BW63" i="2"/>
  <c r="BU15" i="4" s="1"/>
  <c r="CE65" i="2"/>
  <c r="CE63" i="2"/>
  <c r="CC15" i="4" s="1"/>
  <c r="CC8" i="4" s="1"/>
  <c r="BO64" i="2"/>
  <c r="I29" i="3"/>
  <c r="X59" i="3"/>
  <c r="E81" i="3"/>
  <c r="AF91" i="3"/>
  <c r="AF83" i="3"/>
  <c r="AF84" i="3"/>
  <c r="AF93" i="3"/>
  <c r="AF92" i="3"/>
  <c r="AF87" i="3"/>
  <c r="AF61" i="3"/>
  <c r="AF58" i="3"/>
  <c r="AF64" i="3"/>
  <c r="AF60" i="3"/>
  <c r="AF73" i="3"/>
  <c r="AF63" i="3"/>
  <c r="AY57" i="2"/>
  <c r="BH57" i="2"/>
  <c r="BQ57" i="2"/>
  <c r="CA57" i="2"/>
  <c r="BQ63" i="2"/>
  <c r="BO15" i="4" s="1"/>
  <c r="BG64" i="2"/>
  <c r="BQ64" i="2"/>
  <c r="L29" i="3"/>
  <c r="E55" i="3"/>
  <c r="E68" i="3"/>
  <c r="BJ64" i="2"/>
  <c r="BR64" i="2"/>
  <c r="BZ64" i="2"/>
  <c r="CH64" i="2"/>
  <c r="AF65" i="3"/>
  <c r="AC81" i="3"/>
  <c r="CH57" i="2"/>
  <c r="BZ57" i="2"/>
  <c r="BR57" i="2"/>
  <c r="BJ57" i="2"/>
  <c r="BB57" i="2"/>
  <c r="AT57" i="2"/>
  <c r="AR57" i="2"/>
  <c r="BA57" i="2"/>
  <c r="BK57" i="2"/>
  <c r="BT57" i="2"/>
  <c r="BR19" i="4" s="1"/>
  <c r="CC57" i="2"/>
  <c r="CL57" i="2"/>
  <c r="BC64" i="2"/>
  <c r="BK64" i="2"/>
  <c r="BS64" i="2"/>
  <c r="CA64" i="2"/>
  <c r="CI64" i="2"/>
  <c r="BI63" i="2"/>
  <c r="BG15" i="4" s="1"/>
  <c r="BS63" i="2"/>
  <c r="BQ15" i="4" s="1"/>
  <c r="CE64" i="2"/>
  <c r="CA65" i="2"/>
  <c r="AB86" i="3"/>
  <c r="AB76" i="3"/>
  <c r="AB66" i="3"/>
  <c r="AB58" i="3"/>
  <c r="AB48" i="3"/>
  <c r="AB93" i="3"/>
  <c r="AB85" i="3"/>
  <c r="AB75" i="3"/>
  <c r="AB65" i="3"/>
  <c r="AB92" i="3"/>
  <c r="AB84" i="3"/>
  <c r="AB74" i="3"/>
  <c r="AB87" i="3"/>
  <c r="AB77" i="3"/>
  <c r="AB69" i="3"/>
  <c r="AB91" i="3"/>
  <c r="AB90" i="3"/>
  <c r="AB72" i="3"/>
  <c r="AB67" i="3"/>
  <c r="AB64" i="3"/>
  <c r="AB59" i="3"/>
  <c r="AB47" i="3"/>
  <c r="AB45" i="3"/>
  <c r="AB80" i="3"/>
  <c r="AB60" i="3"/>
  <c r="AB52" i="3"/>
  <c r="AB49" i="3"/>
  <c r="AB43" i="3"/>
  <c r="AB89" i="3"/>
  <c r="AB88" i="3"/>
  <c r="AB79" i="3"/>
  <c r="AB78" i="3"/>
  <c r="AB62" i="3"/>
  <c r="AB56" i="3"/>
  <c r="AB46" i="3"/>
  <c r="AB44" i="3"/>
  <c r="AB57" i="3"/>
  <c r="AB53" i="3"/>
  <c r="AB50" i="3"/>
  <c r="Q42" i="3"/>
  <c r="U55" i="3"/>
  <c r="C67" i="3"/>
  <c r="AF67" i="3"/>
  <c r="AB73" i="3"/>
  <c r="C16" i="3"/>
  <c r="E29" i="3"/>
  <c r="E16" i="3"/>
  <c r="M55" i="3"/>
  <c r="Q68" i="3"/>
  <c r="I68" i="3"/>
  <c r="AF66" i="3"/>
  <c r="U81" i="3"/>
  <c r="M94" i="3"/>
  <c r="AB83" i="3"/>
  <c r="AB94" i="3" s="1"/>
  <c r="C59" i="3"/>
  <c r="AF59" i="3"/>
  <c r="AB63" i="3"/>
  <c r="C70" i="3"/>
  <c r="AF70" i="3"/>
  <c r="AF81" i="3" s="1"/>
  <c r="M81" i="3"/>
  <c r="C29" i="3"/>
  <c r="C42" i="3"/>
  <c r="F42" i="3"/>
  <c r="P55" i="3"/>
  <c r="AB51" i="3"/>
  <c r="U68" i="3"/>
  <c r="AF57" i="3"/>
  <c r="AB71" i="3"/>
  <c r="AF76" i="3"/>
  <c r="Q94" i="3"/>
  <c r="AF86" i="3"/>
  <c r="T92" i="3"/>
  <c r="T84" i="3"/>
  <c r="T74" i="3"/>
  <c r="T81" i="3" s="1"/>
  <c r="T64" i="3"/>
  <c r="T56" i="3"/>
  <c r="T54" i="3"/>
  <c r="T46" i="3"/>
  <c r="T91" i="3"/>
  <c r="T83" i="3"/>
  <c r="T73" i="3"/>
  <c r="T90" i="3"/>
  <c r="T82" i="3"/>
  <c r="T80" i="3"/>
  <c r="T72" i="3"/>
  <c r="T93" i="3"/>
  <c r="T85" i="3"/>
  <c r="H17" i="3"/>
  <c r="L22" i="3"/>
  <c r="H25" i="3"/>
  <c r="T30" i="3"/>
  <c r="L32" i="3"/>
  <c r="L42" i="3" s="1"/>
  <c r="H37" i="3"/>
  <c r="T38" i="3"/>
  <c r="L40" i="3"/>
  <c r="H45" i="3"/>
  <c r="H47" i="3"/>
  <c r="L51" i="3"/>
  <c r="H52" i="3"/>
  <c r="T52" i="3"/>
  <c r="P57" i="3"/>
  <c r="P63" i="3"/>
  <c r="L65" i="3"/>
  <c r="H66" i="3"/>
  <c r="AF72" i="3"/>
  <c r="T77" i="3"/>
  <c r="T78" i="3"/>
  <c r="T89" i="3"/>
  <c r="P90" i="3"/>
  <c r="AF90" i="3"/>
  <c r="P91" i="3"/>
  <c r="C55" i="3"/>
  <c r="AE81" i="3"/>
  <c r="C69" i="3"/>
  <c r="AF82" i="3"/>
  <c r="AF94" i="3" s="1"/>
  <c r="H93" i="3"/>
  <c r="H85" i="3"/>
  <c r="H75" i="3"/>
  <c r="H65" i="3"/>
  <c r="H57" i="3"/>
  <c r="H51" i="3"/>
  <c r="H92" i="3"/>
  <c r="H84" i="3"/>
  <c r="H74" i="3"/>
  <c r="H64" i="3"/>
  <c r="H91" i="3"/>
  <c r="H83" i="3"/>
  <c r="H73" i="3"/>
  <c r="H86" i="3"/>
  <c r="H6" i="3"/>
  <c r="H10" i="3"/>
  <c r="H14" i="3"/>
  <c r="L19" i="3"/>
  <c r="H22" i="3"/>
  <c r="L27" i="3"/>
  <c r="H32" i="3"/>
  <c r="T33" i="3"/>
  <c r="L35" i="3"/>
  <c r="P38" i="3"/>
  <c r="H40" i="3"/>
  <c r="T41" i="3"/>
  <c r="L50" i="3"/>
  <c r="T51" i="3"/>
  <c r="P52" i="3"/>
  <c r="L57" i="3"/>
  <c r="H62" i="3"/>
  <c r="T62" i="3"/>
  <c r="AF62" i="3"/>
  <c r="L63" i="3"/>
  <c r="I81" i="3"/>
  <c r="T70" i="3"/>
  <c r="T76" i="3"/>
  <c r="E94" i="3"/>
  <c r="P89" i="3"/>
  <c r="L90" i="3"/>
  <c r="L82" i="3"/>
  <c r="L80" i="3"/>
  <c r="L72" i="3"/>
  <c r="L62" i="3"/>
  <c r="L52" i="3"/>
  <c r="L89" i="3"/>
  <c r="L79" i="3"/>
  <c r="L71" i="3"/>
  <c r="L88" i="3"/>
  <c r="L78" i="3"/>
  <c r="L70" i="3"/>
  <c r="L91" i="3"/>
  <c r="L83" i="3"/>
  <c r="L20" i="3"/>
  <c r="H23" i="3"/>
  <c r="L28" i="3"/>
  <c r="H31" i="3"/>
  <c r="T32" i="3"/>
  <c r="L34" i="3"/>
  <c r="P37" i="3"/>
  <c r="H39" i="3"/>
  <c r="T40" i="3"/>
  <c r="H43" i="3"/>
  <c r="L44" i="3"/>
  <c r="P45" i="3"/>
  <c r="P47" i="3"/>
  <c r="L48" i="3"/>
  <c r="L55" i="3" s="1"/>
  <c r="L53" i="3"/>
  <c r="H54" i="3"/>
  <c r="H61" i="3"/>
  <c r="L67" i="3"/>
  <c r="Y81" i="3"/>
  <c r="H70" i="3"/>
  <c r="L75" i="3"/>
  <c r="H76" i="3"/>
  <c r="C78" i="3"/>
  <c r="AF78" i="3"/>
  <c r="U94" i="3"/>
  <c r="AF85" i="3"/>
  <c r="L92" i="3"/>
  <c r="P87" i="3"/>
  <c r="P77" i="3"/>
  <c r="P69" i="3"/>
  <c r="P67" i="3"/>
  <c r="P59" i="3"/>
  <c r="P53" i="3"/>
  <c r="P86" i="3"/>
  <c r="P76" i="3"/>
  <c r="P66" i="3"/>
  <c r="P93" i="3"/>
  <c r="P85" i="3"/>
  <c r="P94" i="3" s="1"/>
  <c r="P75" i="3"/>
  <c r="P65" i="3"/>
  <c r="P88" i="3"/>
  <c r="P78" i="3"/>
  <c r="H5" i="3"/>
  <c r="H9" i="3"/>
  <c r="H13" i="3"/>
  <c r="L21" i="3"/>
  <c r="H24" i="3"/>
  <c r="H30" i="3"/>
  <c r="T31" i="3"/>
  <c r="L33" i="3"/>
  <c r="P36" i="3"/>
  <c r="P42" i="3" s="1"/>
  <c r="H38" i="3"/>
  <c r="T39" i="3"/>
  <c r="L41" i="3"/>
  <c r="T43" i="3"/>
  <c r="T55" i="3" s="1"/>
  <c r="L46" i="3"/>
  <c r="H49" i="3"/>
  <c r="T49" i="3"/>
  <c r="P50" i="3"/>
  <c r="L56" i="3"/>
  <c r="P58" i="3"/>
  <c r="H60" i="3"/>
  <c r="T60" i="3"/>
  <c r="T61" i="3"/>
  <c r="P64" i="3"/>
  <c r="T66" i="3"/>
  <c r="L69" i="3"/>
  <c r="T71" i="3"/>
  <c r="P72" i="3"/>
  <c r="L73" i="3"/>
  <c r="AF77" i="3"/>
  <c r="T79" i="3"/>
  <c r="P80" i="3"/>
  <c r="AF80" i="3"/>
  <c r="H82" i="3"/>
  <c r="T86" i="3"/>
  <c r="C88" i="3"/>
  <c r="C94" i="3" s="1"/>
  <c r="AF88" i="3"/>
  <c r="AE94" i="3"/>
  <c r="AF71" i="3"/>
  <c r="AF79" i="3"/>
  <c r="AF89" i="3"/>
  <c r="F8" i="9"/>
  <c r="I8" i="9"/>
  <c r="J8" i="9" s="1"/>
  <c r="L8" i="9" s="1"/>
  <c r="D26" i="7"/>
  <c r="D27" i="7" s="1"/>
  <c r="D22" i="7"/>
  <c r="D214" i="5"/>
  <c r="D158" i="5"/>
  <c r="E76" i="8"/>
  <c r="E91" i="8"/>
  <c r="C13" i="5" s="1"/>
  <c r="E104" i="8"/>
  <c r="D13" i="5" s="1"/>
  <c r="D15" i="5" s="1"/>
  <c r="E103" i="8"/>
  <c r="C7" i="5"/>
  <c r="E117" i="8"/>
  <c r="E13" i="5" s="1"/>
  <c r="E116" i="8"/>
  <c r="C55" i="7"/>
  <c r="F54" i="7"/>
  <c r="D35" i="7"/>
  <c r="D36" i="7" s="1"/>
  <c r="C54" i="7"/>
  <c r="D6" i="5" s="1"/>
  <c r="D7" i="5" s="1"/>
  <c r="C60" i="7"/>
  <c r="D23" i="7"/>
  <c r="D11" i="7" s="1"/>
  <c r="C58" i="7"/>
  <c r="C67" i="7"/>
  <c r="C15" i="5"/>
  <c r="F56" i="7"/>
  <c r="C57" i="7"/>
  <c r="D177" i="5"/>
  <c r="D241" i="5" s="1"/>
  <c r="D215" i="5"/>
  <c r="E15" i="8"/>
  <c r="C5" i="5" s="1"/>
  <c r="E14" i="8"/>
  <c r="E128" i="8"/>
  <c r="I6" i="9"/>
  <c r="J6" i="9" s="1"/>
  <c r="L6" i="9" s="1"/>
  <c r="D171" i="5"/>
  <c r="D230" i="5" s="1"/>
  <c r="C61" i="7"/>
  <c r="I3" i="9"/>
  <c r="J3" i="9" s="1"/>
  <c r="L3" i="9" s="1"/>
  <c r="C56" i="7"/>
  <c r="C62" i="7"/>
  <c r="D21" i="7"/>
  <c r="D25" i="7"/>
  <c r="D17" i="7"/>
  <c r="D18" i="7" s="1"/>
  <c r="D19" i="7" s="1"/>
  <c r="D10" i="7" s="1"/>
  <c r="C66" i="7"/>
  <c r="D14" i="5" s="1"/>
  <c r="F60" i="7"/>
  <c r="C68" i="7"/>
  <c r="F61" i="7"/>
  <c r="C71" i="7"/>
  <c r="C69" i="7"/>
  <c r="F55" i="7"/>
  <c r="AR27" i="4" l="1"/>
  <c r="AR20" i="4"/>
  <c r="AR26" i="4"/>
  <c r="BJ27" i="4"/>
  <c r="BJ20" i="4"/>
  <c r="BJ26" i="4"/>
  <c r="CF27" i="4"/>
  <c r="CF26" i="4"/>
  <c r="CF20" i="4"/>
  <c r="T27" i="4"/>
  <c r="T20" i="4"/>
  <c r="T26" i="4"/>
  <c r="AI20" i="4"/>
  <c r="AI26" i="4"/>
  <c r="AI27" i="4"/>
  <c r="BY27" i="4"/>
  <c r="BY26" i="4"/>
  <c r="BY20" i="4"/>
  <c r="U27" i="4"/>
  <c r="U20" i="4"/>
  <c r="U26" i="4"/>
  <c r="CH27" i="4"/>
  <c r="CH20" i="4"/>
  <c r="CH26" i="4"/>
  <c r="BB27" i="4"/>
  <c r="BB20" i="4"/>
  <c r="BB26" i="4"/>
  <c r="BI27" i="4"/>
  <c r="BI20" i="4"/>
  <c r="BI26" i="4"/>
  <c r="BZ27" i="4"/>
  <c r="BZ20" i="4"/>
  <c r="BZ26" i="4"/>
  <c r="AJ27" i="4"/>
  <c r="AJ20" i="4"/>
  <c r="AJ26" i="4"/>
  <c r="AQ27" i="4"/>
  <c r="AQ26" i="4"/>
  <c r="AQ20" i="4"/>
  <c r="BR27" i="4"/>
  <c r="BR26" i="4"/>
  <c r="BP27" i="4"/>
  <c r="BP26" i="4"/>
  <c r="BP20" i="4"/>
  <c r="AC27" i="4"/>
  <c r="AC26" i="4"/>
  <c r="AC20" i="4"/>
  <c r="AS27" i="4"/>
  <c r="AS20" i="4"/>
  <c r="AS26" i="4"/>
  <c r="BH27" i="4"/>
  <c r="BH26" i="4"/>
  <c r="BH20" i="4"/>
  <c r="BW27" i="4"/>
  <c r="BW26" i="4"/>
  <c r="BW20" i="4"/>
  <c r="AY26" i="4"/>
  <c r="AY20" i="4"/>
  <c r="AY27" i="4"/>
  <c r="AT27" i="4"/>
  <c r="AT20" i="4"/>
  <c r="AT26" i="4"/>
  <c r="AK27" i="4"/>
  <c r="AK20" i="4"/>
  <c r="AK26" i="4"/>
  <c r="AZ27" i="4"/>
  <c r="AZ26" i="4"/>
  <c r="AZ20" i="4"/>
  <c r="BO26" i="4"/>
  <c r="BO27" i="4"/>
  <c r="BO20" i="4"/>
  <c r="D13" i="7"/>
  <c r="D12" i="7"/>
  <c r="P81" i="3"/>
  <c r="T42" i="3"/>
  <c r="T94" i="3"/>
  <c r="AB68" i="3"/>
  <c r="AO19" i="4"/>
  <c r="BK114" i="2"/>
  <c r="BI51" i="4" s="1"/>
  <c r="BS75" i="2"/>
  <c r="BQ42" i="4" s="1"/>
  <c r="AH17" i="4"/>
  <c r="BD19" i="4"/>
  <c r="N114" i="2"/>
  <c r="L51" i="4" s="1"/>
  <c r="BD8" i="4"/>
  <c r="AG17" i="4"/>
  <c r="CI19" i="4"/>
  <c r="W19" i="4"/>
  <c r="AS114" i="2"/>
  <c r="AQ51" i="4" s="1"/>
  <c r="CA8" i="4"/>
  <c r="CB17" i="4"/>
  <c r="P17" i="4"/>
  <c r="CA17" i="4"/>
  <c r="O17" i="4"/>
  <c r="AL17" i="4"/>
  <c r="BX19" i="4"/>
  <c r="AB17" i="4"/>
  <c r="BV19" i="4"/>
  <c r="J19" i="4"/>
  <c r="BH75" i="2"/>
  <c r="BF42" i="4" s="1"/>
  <c r="BG19" i="4"/>
  <c r="BO8" i="4"/>
  <c r="CE19" i="4"/>
  <c r="S27" i="4"/>
  <c r="S20" i="4"/>
  <c r="S26" i="4"/>
  <c r="U114" i="2" s="1"/>
  <c r="S51" i="4" s="1"/>
  <c r="X81" i="3"/>
  <c r="AG19" i="4"/>
  <c r="BC114" i="2"/>
  <c r="BA51" i="4" s="1"/>
  <c r="BW75" i="2"/>
  <c r="BU42" i="4" s="1"/>
  <c r="Y17" i="4"/>
  <c r="CA19" i="4"/>
  <c r="O19" i="4"/>
  <c r="AK114" i="2"/>
  <c r="AI51" i="4" s="1"/>
  <c r="BT17" i="4"/>
  <c r="H17" i="4"/>
  <c r="BS17" i="4"/>
  <c r="G17" i="4"/>
  <c r="AD17" i="4"/>
  <c r="CJ75" i="2"/>
  <c r="CH42" i="4" s="1"/>
  <c r="CF17" i="4"/>
  <c r="T17" i="4"/>
  <c r="BN19" i="4"/>
  <c r="CJ114" i="2"/>
  <c r="CH51" i="4" s="1"/>
  <c r="BF8" i="4"/>
  <c r="AD64" i="3"/>
  <c r="AD56" i="3"/>
  <c r="Z53" i="3"/>
  <c r="V52" i="3"/>
  <c r="Z45" i="3"/>
  <c r="AD63" i="3"/>
  <c r="AD60" i="3"/>
  <c r="V51" i="3"/>
  <c r="Z50" i="3"/>
  <c r="R38" i="3"/>
  <c r="N35" i="3"/>
  <c r="R30" i="3"/>
  <c r="J22" i="3"/>
  <c r="B22" i="3" s="1"/>
  <c r="AD61" i="3"/>
  <c r="V48" i="3"/>
  <c r="V46" i="3"/>
  <c r="V44" i="3"/>
  <c r="R39" i="3"/>
  <c r="N36" i="3"/>
  <c r="R31" i="3"/>
  <c r="J21" i="3"/>
  <c r="B21" i="3" s="1"/>
  <c r="D21" i="3" s="1"/>
  <c r="AD66" i="3"/>
  <c r="V53" i="3"/>
  <c r="Z47" i="3"/>
  <c r="R40" i="3"/>
  <c r="N37" i="3"/>
  <c r="R32" i="3"/>
  <c r="J28" i="3"/>
  <c r="B28" i="3" s="1"/>
  <c r="D28" i="3" s="1"/>
  <c r="J20" i="3"/>
  <c r="B20" i="3" s="1"/>
  <c r="D20" i="3" s="1"/>
  <c r="AD65" i="3"/>
  <c r="AD57" i="3"/>
  <c r="Z51" i="3"/>
  <c r="N40" i="3"/>
  <c r="R35" i="3"/>
  <c r="N32" i="3"/>
  <c r="J25" i="3"/>
  <c r="B25" i="3" s="1"/>
  <c r="D25" i="3" s="1"/>
  <c r="AD67" i="3"/>
  <c r="AD59" i="3"/>
  <c r="V54" i="3"/>
  <c r="R37" i="3"/>
  <c r="N34" i="3"/>
  <c r="J23" i="3"/>
  <c r="B23" i="3" s="1"/>
  <c r="Z54" i="3"/>
  <c r="Z49" i="3"/>
  <c r="R34" i="3"/>
  <c r="N30" i="3"/>
  <c r="N42" i="3" s="1"/>
  <c r="J24" i="3"/>
  <c r="B24" i="3" s="1"/>
  <c r="R41" i="3"/>
  <c r="R33" i="3"/>
  <c r="BN61" i="2"/>
  <c r="BF61" i="2"/>
  <c r="AD58" i="3"/>
  <c r="V49" i="3"/>
  <c r="R36" i="3"/>
  <c r="J26" i="3"/>
  <c r="B26" i="3" s="1"/>
  <c r="D26" i="3" s="1"/>
  <c r="V47" i="3"/>
  <c r="Z43" i="3"/>
  <c r="J27" i="3"/>
  <c r="B27" i="3" s="1"/>
  <c r="D27" i="3" s="1"/>
  <c r="V50" i="3"/>
  <c r="BK61" i="2"/>
  <c r="AX53" i="2"/>
  <c r="AY45" i="2"/>
  <c r="AQ45" i="2"/>
  <c r="Z46" i="3"/>
  <c r="N33" i="3"/>
  <c r="N31" i="3"/>
  <c r="BJ61" i="2"/>
  <c r="AW53" i="2"/>
  <c r="BI61" i="2"/>
  <c r="AV53" i="2"/>
  <c r="AD62" i="3"/>
  <c r="V43" i="3"/>
  <c r="V55" i="3" s="1"/>
  <c r="N41" i="3"/>
  <c r="N39" i="3"/>
  <c r="J17" i="3"/>
  <c r="Z48" i="3"/>
  <c r="N38" i="3"/>
  <c r="J18" i="3"/>
  <c r="B18" i="3" s="1"/>
  <c r="D18" i="3" s="1"/>
  <c r="BG61" i="2"/>
  <c r="BB53" i="2"/>
  <c r="J19" i="3"/>
  <c r="B19" i="3" s="1"/>
  <c r="D19" i="3" s="1"/>
  <c r="V45" i="3"/>
  <c r="Z52" i="3"/>
  <c r="Z44" i="3"/>
  <c r="BA53" i="2"/>
  <c r="BA45" i="2"/>
  <c r="AR45" i="2"/>
  <c r="AM37" i="2"/>
  <c r="AE37" i="2"/>
  <c r="AK29" i="2"/>
  <c r="Y21" i="2"/>
  <c r="AJ29" i="2"/>
  <c r="BM61" i="2"/>
  <c r="AZ53" i="2"/>
  <c r="AZ45" i="2"/>
  <c r="AL37" i="2"/>
  <c r="X21" i="2"/>
  <c r="AD21" i="2"/>
  <c r="V21" i="2"/>
  <c r="AC21" i="2"/>
  <c r="BL61" i="2"/>
  <c r="AY53" i="2"/>
  <c r="AX45" i="2"/>
  <c r="AK37" i="2"/>
  <c r="AI29" i="2"/>
  <c r="W21" i="2"/>
  <c r="AP29" i="2"/>
  <c r="AH29" i="2"/>
  <c r="BH61" i="2"/>
  <c r="AU53" i="2"/>
  <c r="AW45" i="2"/>
  <c r="AJ37" i="2"/>
  <c r="BE61" i="2"/>
  <c r="AT53" i="2"/>
  <c r="AV45" i="2"/>
  <c r="AI37" i="2"/>
  <c r="AO29" i="2"/>
  <c r="AG29" i="2"/>
  <c r="U21" i="2"/>
  <c r="BD61" i="2"/>
  <c r="AS53" i="2"/>
  <c r="AU45" i="2"/>
  <c r="AP37" i="2"/>
  <c r="AH37" i="2"/>
  <c r="AN29" i="2"/>
  <c r="AF29" i="2"/>
  <c r="AB21" i="2"/>
  <c r="T21" i="2"/>
  <c r="AQ53" i="2"/>
  <c r="BB45" i="2"/>
  <c r="AS45" i="2"/>
  <c r="AN37" i="2"/>
  <c r="AF37" i="2"/>
  <c r="AL29" i="2"/>
  <c r="Z21" i="2"/>
  <c r="AT45" i="2"/>
  <c r="AO37" i="2"/>
  <c r="AA21" i="2"/>
  <c r="AG37" i="2"/>
  <c r="AR53" i="2"/>
  <c r="S21" i="2"/>
  <c r="BC61" i="2"/>
  <c r="AE29" i="2"/>
  <c r="AM29" i="2"/>
  <c r="H94" i="3"/>
  <c r="L68" i="3"/>
  <c r="F55" i="4"/>
  <c r="I128" i="2"/>
  <c r="AY17" i="4"/>
  <c r="Y19" i="4"/>
  <c r="AU114" i="2"/>
  <c r="AS51" i="4" s="1"/>
  <c r="BU8" i="4"/>
  <c r="CD17" i="4"/>
  <c r="R17" i="4"/>
  <c r="AN19" i="4"/>
  <c r="BJ114" i="2"/>
  <c r="BH51" i="4" s="1"/>
  <c r="CC17" i="4"/>
  <c r="Q17" i="4"/>
  <c r="BS19" i="4"/>
  <c r="G19" i="4"/>
  <c r="BM75" i="2"/>
  <c r="BK42" i="4" s="1"/>
  <c r="BL17" i="4"/>
  <c r="G31" i="4"/>
  <c r="G46" i="4"/>
  <c r="J95" i="2"/>
  <c r="BK17" i="4"/>
  <c r="CG19" i="4"/>
  <c r="CH17" i="4"/>
  <c r="V17" i="4"/>
  <c r="BX17" i="4"/>
  <c r="L17" i="4"/>
  <c r="BF19" i="4"/>
  <c r="CB114" i="2"/>
  <c r="BZ51" i="4" s="1"/>
  <c r="P114" i="2"/>
  <c r="N51" i="4" s="1"/>
  <c r="BI75" i="2"/>
  <c r="BG42" i="4" s="1"/>
  <c r="E77" i="8"/>
  <c r="E78" i="8"/>
  <c r="L81" i="3"/>
  <c r="H29" i="3"/>
  <c r="AB81" i="3"/>
  <c r="H68" i="3"/>
  <c r="E77" i="4"/>
  <c r="E78" i="4" s="1"/>
  <c r="CC19" i="4"/>
  <c r="Q19" i="4"/>
  <c r="AM114" i="2"/>
  <c r="AK51" i="4" s="1"/>
  <c r="BO75" i="2"/>
  <c r="BM42" i="4" s="1"/>
  <c r="BQ19" i="4"/>
  <c r="BV17" i="4"/>
  <c r="J17" i="4"/>
  <c r="AF19" i="4"/>
  <c r="BB114" i="2"/>
  <c r="AZ51" i="4" s="1"/>
  <c r="BA27" i="4"/>
  <c r="BA26" i="4"/>
  <c r="BA20" i="4"/>
  <c r="BU17" i="4"/>
  <c r="I17" i="4"/>
  <c r="BK19" i="4"/>
  <c r="BD17" i="4"/>
  <c r="G67" i="4"/>
  <c r="BC17" i="4"/>
  <c r="BZ17" i="4"/>
  <c r="N17" i="4"/>
  <c r="BP17" i="4"/>
  <c r="AX19" i="4"/>
  <c r="BT114" i="2"/>
  <c r="BR51" i="4" s="1"/>
  <c r="H114" i="2"/>
  <c r="F51" i="4" s="1"/>
  <c r="O45" i="4"/>
  <c r="G45" i="4"/>
  <c r="N45" i="4"/>
  <c r="O73" i="4" s="1"/>
  <c r="O74" i="4" s="1"/>
  <c r="F45" i="4"/>
  <c r="G73" i="4" s="1"/>
  <c r="G74" i="4" s="1"/>
  <c r="M45" i="4"/>
  <c r="E45" i="4"/>
  <c r="H45" i="4"/>
  <c r="I45" i="4"/>
  <c r="P45" i="4"/>
  <c r="L45" i="4"/>
  <c r="M73" i="4" s="1"/>
  <c r="M74" i="4" s="1"/>
  <c r="K45" i="4"/>
  <c r="L73" i="4" s="1"/>
  <c r="L74" i="4" s="1"/>
  <c r="J45" i="4"/>
  <c r="K73" i="4" s="1"/>
  <c r="K74" i="4" s="1"/>
  <c r="BG8" i="4"/>
  <c r="E129" i="8"/>
  <c r="E130" i="8" s="1"/>
  <c r="BU19" i="4"/>
  <c r="I19" i="4"/>
  <c r="AV17" i="4"/>
  <c r="AU17" i="4"/>
  <c r="BR17" i="4"/>
  <c r="F17" i="4"/>
  <c r="BH17" i="4"/>
  <c r="AP19" i="4"/>
  <c r="BL114" i="2"/>
  <c r="BJ51" i="4" s="1"/>
  <c r="AA26" i="4"/>
  <c r="AA20" i="4"/>
  <c r="AA27" i="4"/>
  <c r="AC114" i="2" s="1"/>
  <c r="AA51" i="4" s="1"/>
  <c r="AD74" i="3"/>
  <c r="Z67" i="3"/>
  <c r="V62" i="3"/>
  <c r="Z59" i="3"/>
  <c r="R51" i="3"/>
  <c r="N50" i="3"/>
  <c r="AD73" i="3"/>
  <c r="Z66" i="3"/>
  <c r="AD80" i="3"/>
  <c r="AD72" i="3"/>
  <c r="Z65" i="3"/>
  <c r="Z58" i="3"/>
  <c r="Z57" i="3"/>
  <c r="R52" i="3"/>
  <c r="J40" i="3"/>
  <c r="B40" i="3" s="1"/>
  <c r="J32" i="3"/>
  <c r="B32" i="3" s="1"/>
  <c r="D32" i="3" s="1"/>
  <c r="V65" i="3"/>
  <c r="V56" i="3"/>
  <c r="R54" i="3"/>
  <c r="R49" i="3"/>
  <c r="R43" i="3"/>
  <c r="J41" i="3"/>
  <c r="B41" i="3" s="1"/>
  <c r="D41" i="3" s="1"/>
  <c r="J33" i="3"/>
  <c r="B33" i="3" s="1"/>
  <c r="D33" i="3" s="1"/>
  <c r="AD79" i="3"/>
  <c r="AD78" i="3"/>
  <c r="AD77" i="3"/>
  <c r="AD71" i="3"/>
  <c r="Z64" i="3"/>
  <c r="V63" i="3"/>
  <c r="N47" i="3"/>
  <c r="N45" i="3"/>
  <c r="J34" i="3"/>
  <c r="B34" i="3" s="1"/>
  <c r="D34" i="3" s="1"/>
  <c r="AD76" i="3"/>
  <c r="V64" i="3"/>
  <c r="R53" i="3"/>
  <c r="N51" i="3"/>
  <c r="J37" i="3"/>
  <c r="AD75" i="3"/>
  <c r="Z63" i="3"/>
  <c r="N53" i="3"/>
  <c r="N48" i="3"/>
  <c r="R47" i="3"/>
  <c r="R45" i="3"/>
  <c r="N44" i="3"/>
  <c r="J39" i="3"/>
  <c r="B39" i="3" s="1"/>
  <c r="D39" i="3" s="1"/>
  <c r="J31" i="3"/>
  <c r="B31" i="3" s="1"/>
  <c r="D31" i="3" s="1"/>
  <c r="R46" i="3"/>
  <c r="V67" i="3"/>
  <c r="R48" i="3"/>
  <c r="N43" i="3"/>
  <c r="J35" i="3"/>
  <c r="BV61" i="2"/>
  <c r="AD70" i="3"/>
  <c r="J38" i="3"/>
  <c r="B38" i="3" s="1"/>
  <c r="D38" i="3" s="1"/>
  <c r="N52" i="3"/>
  <c r="N46" i="3"/>
  <c r="R44" i="3"/>
  <c r="J30" i="3"/>
  <c r="Z62" i="3"/>
  <c r="V60" i="3"/>
  <c r="Z56" i="3"/>
  <c r="N54" i="3"/>
  <c r="N49" i="3"/>
  <c r="J36" i="3"/>
  <c r="B36" i="3" s="1"/>
  <c r="D36" i="3" s="1"/>
  <c r="BT61" i="2"/>
  <c r="BN53" i="2"/>
  <c r="BF53" i="2"/>
  <c r="BG45" i="2"/>
  <c r="V66" i="3"/>
  <c r="BS61" i="2"/>
  <c r="BM53" i="2"/>
  <c r="BE53" i="2"/>
  <c r="Z61" i="3"/>
  <c r="V58" i="3"/>
  <c r="BR61" i="2"/>
  <c r="BL53" i="2"/>
  <c r="BD53" i="2"/>
  <c r="R50" i="3"/>
  <c r="V61" i="3"/>
  <c r="BY61" i="2"/>
  <c r="BP61" i="2"/>
  <c r="BJ53" i="2"/>
  <c r="V59" i="3"/>
  <c r="Z60" i="3"/>
  <c r="AD69" i="3"/>
  <c r="V57" i="3"/>
  <c r="BO61" i="2"/>
  <c r="BJ45" i="2"/>
  <c r="AU37" i="2"/>
  <c r="BA29" i="2"/>
  <c r="AS29" i="2"/>
  <c r="AO21" i="2"/>
  <c r="AG21" i="2"/>
  <c r="AZ29" i="2"/>
  <c r="AR29" i="2"/>
  <c r="BI45" i="2"/>
  <c r="BB37" i="2"/>
  <c r="AT37" i="2"/>
  <c r="AN21" i="2"/>
  <c r="AF21" i="2"/>
  <c r="AL21" i="2"/>
  <c r="BH45" i="2"/>
  <c r="BA37" i="2"/>
  <c r="AS37" i="2"/>
  <c r="AY29" i="2"/>
  <c r="AQ29" i="2"/>
  <c r="AM21" i="2"/>
  <c r="AE21" i="2"/>
  <c r="AX29" i="2"/>
  <c r="BZ61" i="2"/>
  <c r="BK53" i="2"/>
  <c r="BF45" i="2"/>
  <c r="AZ37" i="2"/>
  <c r="AR37" i="2"/>
  <c r="BX61" i="2"/>
  <c r="BI53" i="2"/>
  <c r="BN45" i="2"/>
  <c r="BE45" i="2"/>
  <c r="AY37" i="2"/>
  <c r="AQ37" i="2"/>
  <c r="AW29" i="2"/>
  <c r="AK21" i="2"/>
  <c r="BW61" i="2"/>
  <c r="BH53" i="2"/>
  <c r="BM45" i="2"/>
  <c r="BD45" i="2"/>
  <c r="AX37" i="2"/>
  <c r="AV29" i="2"/>
  <c r="AJ21" i="2"/>
  <c r="BQ61" i="2"/>
  <c r="BC53" i="2"/>
  <c r="BK45" i="2"/>
  <c r="AV37" i="2"/>
  <c r="BB29" i="2"/>
  <c r="AT29" i="2"/>
  <c r="AP21" i="2"/>
  <c r="AH21" i="2"/>
  <c r="AI21" i="2"/>
  <c r="BG53" i="2"/>
  <c r="AW37" i="2"/>
  <c r="AU29" i="2"/>
  <c r="BU61" i="2"/>
  <c r="BL45" i="2"/>
  <c r="BC45" i="2"/>
  <c r="D22" i="3"/>
  <c r="X55" i="3"/>
  <c r="AL27" i="4"/>
  <c r="AL20" i="4"/>
  <c r="AL26" i="4"/>
  <c r="AT114" i="2"/>
  <c r="AR51" i="4" s="1"/>
  <c r="G14" i="5"/>
  <c r="F14" i="5"/>
  <c r="E14" i="5"/>
  <c r="L94" i="3"/>
  <c r="BD75" i="2"/>
  <c r="BB42" i="4" s="1"/>
  <c r="AA17" i="4"/>
  <c r="BM19" i="4"/>
  <c r="W114" i="2"/>
  <c r="U51" i="4" s="1"/>
  <c r="BG75" i="2"/>
  <c r="BE42" i="4" s="1"/>
  <c r="AD19" i="4"/>
  <c r="BF17" i="4"/>
  <c r="CB19" i="4"/>
  <c r="P19" i="4"/>
  <c r="AL114" i="2"/>
  <c r="AJ51" i="4" s="1"/>
  <c r="BE17" i="4"/>
  <c r="AU19" i="4"/>
  <c r="BQ114" i="2"/>
  <c r="BO51" i="4" s="1"/>
  <c r="BC8" i="4"/>
  <c r="BT75" i="2"/>
  <c r="BR42" i="4" s="1"/>
  <c r="AN17" i="4"/>
  <c r="BU75" i="2"/>
  <c r="BS42" i="4" s="1"/>
  <c r="AM17" i="4"/>
  <c r="BJ17" i="4"/>
  <c r="AZ17" i="4"/>
  <c r="AH19" i="4"/>
  <c r="BD114" i="2"/>
  <c r="BB51" i="4" s="1"/>
  <c r="E67" i="4"/>
  <c r="F67" i="4"/>
  <c r="Z17" i="4"/>
  <c r="AV19" i="4"/>
  <c r="BR114" i="2"/>
  <c r="BP51" i="4" s="1"/>
  <c r="AI17" i="4"/>
  <c r="AE114" i="2"/>
  <c r="AC51" i="4" s="1"/>
  <c r="CJ19" i="4"/>
  <c r="X19" i="4"/>
  <c r="BM17" i="4"/>
  <c r="BC19" i="4"/>
  <c r="BY114" i="2"/>
  <c r="BW51" i="4" s="1"/>
  <c r="F13" i="3"/>
  <c r="B13" i="3" s="1"/>
  <c r="D13" i="3" s="1"/>
  <c r="F9" i="3"/>
  <c r="B9" i="3" s="1"/>
  <c r="D9" i="3" s="1"/>
  <c r="F5" i="3"/>
  <c r="B5" i="3" s="1"/>
  <c r="D5" i="3" s="1"/>
  <c r="F12" i="3"/>
  <c r="B12" i="3" s="1"/>
  <c r="D12" i="3" s="1"/>
  <c r="F8" i="3"/>
  <c r="B8" i="3" s="1"/>
  <c r="D8" i="3" s="1"/>
  <c r="F4" i="3"/>
  <c r="F14" i="3"/>
  <c r="B14" i="3" s="1"/>
  <c r="F10" i="3"/>
  <c r="B10" i="3" s="1"/>
  <c r="F6" i="3"/>
  <c r="B6" i="3" s="1"/>
  <c r="D6" i="3" s="1"/>
  <c r="F15" i="3"/>
  <c r="B15" i="3" s="1"/>
  <c r="D15" i="3" s="1"/>
  <c r="F11" i="3"/>
  <c r="B11" i="3" s="1"/>
  <c r="D11" i="3" s="1"/>
  <c r="F7" i="3"/>
  <c r="B7" i="3" s="1"/>
  <c r="D7" i="3" s="1"/>
  <c r="O13" i="2"/>
  <c r="G13" i="2"/>
  <c r="N13" i="2"/>
  <c r="L13" i="2"/>
  <c r="K13" i="2"/>
  <c r="M13" i="2"/>
  <c r="I13" i="2"/>
  <c r="H13" i="2"/>
  <c r="R13" i="2"/>
  <c r="Q13" i="2"/>
  <c r="P13" i="2"/>
  <c r="J13" i="2"/>
  <c r="E15" i="5"/>
  <c r="AD92" i="3"/>
  <c r="AD84" i="3"/>
  <c r="V80" i="3"/>
  <c r="Z77" i="3"/>
  <c r="V72" i="3"/>
  <c r="Z69" i="3"/>
  <c r="R65" i="3"/>
  <c r="N60" i="3"/>
  <c r="R57" i="3"/>
  <c r="J49" i="3"/>
  <c r="AD91" i="3"/>
  <c r="AD83" i="3"/>
  <c r="V79" i="3"/>
  <c r="Z76" i="3"/>
  <c r="V71" i="3"/>
  <c r="N67" i="3"/>
  <c r="R64" i="3"/>
  <c r="AD90" i="3"/>
  <c r="AD82" i="3"/>
  <c r="V78" i="3"/>
  <c r="Z75" i="3"/>
  <c r="V70" i="3"/>
  <c r="N66" i="3"/>
  <c r="AD93" i="3"/>
  <c r="AD85" i="3"/>
  <c r="Z78" i="3"/>
  <c r="V76" i="3"/>
  <c r="N63" i="3"/>
  <c r="N57" i="3"/>
  <c r="J51" i="3"/>
  <c r="AD89" i="3"/>
  <c r="AD88" i="3"/>
  <c r="AD87" i="3"/>
  <c r="R66" i="3"/>
  <c r="N64" i="3"/>
  <c r="R61" i="3"/>
  <c r="R60" i="3"/>
  <c r="N59" i="3"/>
  <c r="N58" i="3"/>
  <c r="J46" i="3"/>
  <c r="AD86" i="3"/>
  <c r="V73" i="3"/>
  <c r="Z72" i="3"/>
  <c r="V69" i="3"/>
  <c r="J53" i="3"/>
  <c r="J48" i="3"/>
  <c r="J44" i="3"/>
  <c r="Z80" i="3"/>
  <c r="Z79" i="3"/>
  <c r="V77" i="3"/>
  <c r="Z71" i="3"/>
  <c r="N65" i="3"/>
  <c r="R63" i="3"/>
  <c r="J52" i="3"/>
  <c r="J47" i="3"/>
  <c r="J45" i="3"/>
  <c r="Z73" i="3"/>
  <c r="Z70" i="3"/>
  <c r="R59" i="3"/>
  <c r="J54" i="3"/>
  <c r="J43" i="3"/>
  <c r="R58" i="3"/>
  <c r="Z74" i="3"/>
  <c r="R62" i="3"/>
  <c r="R56" i="3"/>
  <c r="CL61" i="2"/>
  <c r="CD61" i="2"/>
  <c r="J50" i="3"/>
  <c r="V74" i="3"/>
  <c r="N61" i="3"/>
  <c r="V75" i="3"/>
  <c r="R67" i="3"/>
  <c r="CC61" i="2"/>
  <c r="BV53" i="2"/>
  <c r="BW45" i="2"/>
  <c r="BO45" i="2"/>
  <c r="N62" i="3"/>
  <c r="CK61" i="2"/>
  <c r="CB61" i="2"/>
  <c r="BU53" i="2"/>
  <c r="CJ61" i="2"/>
  <c r="CA61" i="2"/>
  <c r="BT53" i="2"/>
  <c r="N56" i="3"/>
  <c r="CH61" i="2"/>
  <c r="BZ53" i="2"/>
  <c r="BR53" i="2"/>
  <c r="CG61" i="2"/>
  <c r="BQ53" i="2"/>
  <c r="BS45" i="2"/>
  <c r="BK37" i="2"/>
  <c r="BC37" i="2"/>
  <c r="BI29" i="2"/>
  <c r="AW21" i="2"/>
  <c r="BH29" i="2"/>
  <c r="CF61" i="2"/>
  <c r="BP53" i="2"/>
  <c r="BR45" i="2"/>
  <c r="BJ37" i="2"/>
  <c r="AV21" i="2"/>
  <c r="BB21" i="2"/>
  <c r="AT21" i="2"/>
  <c r="CE61" i="2"/>
  <c r="BO53" i="2"/>
  <c r="BZ45" i="2"/>
  <c r="BQ45" i="2"/>
  <c r="BI37" i="2"/>
  <c r="BG29" i="2"/>
  <c r="AU21" i="2"/>
  <c r="BN29" i="2"/>
  <c r="BF29" i="2"/>
  <c r="BY45" i="2"/>
  <c r="BP45" i="2"/>
  <c r="BH37" i="2"/>
  <c r="BY53" i="2"/>
  <c r="BX45" i="2"/>
  <c r="BG37" i="2"/>
  <c r="BM29" i="2"/>
  <c r="BE29" i="2"/>
  <c r="BA21" i="2"/>
  <c r="AS21" i="2"/>
  <c r="BX53" i="2"/>
  <c r="BV45" i="2"/>
  <c r="BN37" i="2"/>
  <c r="BF37" i="2"/>
  <c r="BL29" i="2"/>
  <c r="BD29" i="2"/>
  <c r="AZ21" i="2"/>
  <c r="AR21" i="2"/>
  <c r="CI61" i="2"/>
  <c r="BS53" i="2"/>
  <c r="BT45" i="2"/>
  <c r="BL37" i="2"/>
  <c r="BD37" i="2"/>
  <c r="BJ29" i="2"/>
  <c r="AX21" i="2"/>
  <c r="BW53" i="2"/>
  <c r="BM37" i="2"/>
  <c r="BE37" i="2"/>
  <c r="BC29" i="2"/>
  <c r="BU45" i="2"/>
  <c r="BK29" i="2"/>
  <c r="AY21" i="2"/>
  <c r="AQ21" i="2"/>
  <c r="H42" i="3"/>
  <c r="D40" i="3"/>
  <c r="D14" i="3"/>
  <c r="C81" i="3"/>
  <c r="P68" i="3"/>
  <c r="AB55" i="3"/>
  <c r="X94" i="3"/>
  <c r="C68" i="3"/>
  <c r="CE17" i="4"/>
  <c r="S17" i="4"/>
  <c r="BE19" i="4"/>
  <c r="CA114" i="2"/>
  <c r="BY51" i="4" s="1"/>
  <c r="O114" i="2"/>
  <c r="M51" i="4" s="1"/>
  <c r="BE8" i="4"/>
  <c r="V27" i="4"/>
  <c r="X114" i="2" s="1"/>
  <c r="V51" i="4" s="1"/>
  <c r="V20" i="4"/>
  <c r="V26" i="4"/>
  <c r="CE75" i="2"/>
  <c r="CC42" i="4" s="1"/>
  <c r="AX17" i="4"/>
  <c r="BT19" i="4"/>
  <c r="H19" i="4"/>
  <c r="AD114" i="2"/>
  <c r="AB51" i="4" s="1"/>
  <c r="AW17" i="4"/>
  <c r="AM19" i="4"/>
  <c r="CI8" i="4"/>
  <c r="BR8" i="4"/>
  <c r="BR20" i="4" s="1"/>
  <c r="AF17" i="4"/>
  <c r="AE17" i="4"/>
  <c r="BB17" i="4"/>
  <c r="AB27" i="4"/>
  <c r="AB26" i="4"/>
  <c r="AB20" i="4"/>
  <c r="AR17" i="4"/>
  <c r="Z19" i="4"/>
  <c r="AV114" i="2"/>
  <c r="AT51" i="4" s="1"/>
  <c r="K20" i="4"/>
  <c r="K26" i="4"/>
  <c r="M114" i="2" s="1"/>
  <c r="K51" i="4" s="1"/>
  <c r="K27" i="4"/>
  <c r="G6" i="5"/>
  <c r="F6" i="5"/>
  <c r="E6" i="5"/>
  <c r="E7" i="5" s="1"/>
  <c r="C3" i="11"/>
  <c r="C11" i="11" s="1"/>
  <c r="D218" i="5"/>
  <c r="D24" i="3"/>
  <c r="H55" i="3"/>
  <c r="D23" i="3"/>
  <c r="D10" i="3"/>
  <c r="T68" i="3"/>
  <c r="AF68" i="3"/>
  <c r="H81" i="3"/>
  <c r="H16" i="3"/>
  <c r="BW17" i="4"/>
  <c r="AW19" i="4"/>
  <c r="G114" i="2"/>
  <c r="E51" i="4" s="1"/>
  <c r="AP17" i="4"/>
  <c r="BL19" i="4"/>
  <c r="CH114" i="2"/>
  <c r="CF51" i="4" s="1"/>
  <c r="V114" i="2"/>
  <c r="T51" i="4" s="1"/>
  <c r="BF75" i="2"/>
  <c r="BD42" i="4" s="1"/>
  <c r="AO17" i="4"/>
  <c r="AE19" i="4"/>
  <c r="BA114" i="2"/>
  <c r="AY51" i="4" s="1"/>
  <c r="CC75" i="2"/>
  <c r="CA42" i="4" s="1"/>
  <c r="CJ17" i="4"/>
  <c r="X17" i="4"/>
  <c r="CI17" i="4"/>
  <c r="W17" i="4"/>
  <c r="AT17" i="4"/>
  <c r="AJ17" i="4"/>
  <c r="CD19" i="4"/>
  <c r="R19" i="4"/>
  <c r="AN114" i="2"/>
  <c r="AL51" i="4" s="1"/>
  <c r="BQ75" i="2"/>
  <c r="BO42" i="4" s="1"/>
  <c r="S52" i="4" l="1"/>
  <c r="V69" i="4"/>
  <c r="V52" i="4"/>
  <c r="G13" i="5"/>
  <c r="F13" i="5"/>
  <c r="K52" i="4"/>
  <c r="AA52" i="4"/>
  <c r="AE27" i="4"/>
  <c r="AE26" i="4"/>
  <c r="AG114" i="2" s="1"/>
  <c r="AE51" i="4" s="1"/>
  <c r="AE20" i="4"/>
  <c r="Z26" i="4"/>
  <c r="AB114" i="2" s="1"/>
  <c r="Z51" i="4" s="1"/>
  <c r="Z20" i="4"/>
  <c r="Z27" i="4"/>
  <c r="M69" i="4"/>
  <c r="M52" i="4"/>
  <c r="N68" i="3"/>
  <c r="AL69" i="4"/>
  <c r="AL52" i="4"/>
  <c r="BL26" i="4"/>
  <c r="BN114" i="2" s="1"/>
  <c r="BL51" i="4" s="1"/>
  <c r="BL20" i="4"/>
  <c r="BL27" i="4"/>
  <c r="BY52" i="4"/>
  <c r="AD94" i="3"/>
  <c r="F23" i="4"/>
  <c r="H7" i="2"/>
  <c r="H9" i="2" s="1"/>
  <c r="BP69" i="4"/>
  <c r="BP52" i="4"/>
  <c r="P26" i="4"/>
  <c r="R114" i="2" s="1"/>
  <c r="P51" i="4" s="1"/>
  <c r="P27" i="4"/>
  <c r="P20" i="4"/>
  <c r="AF23" i="4"/>
  <c r="AF24" i="4" s="1"/>
  <c r="AH7" i="2"/>
  <c r="AH9" i="2" s="1"/>
  <c r="AH23" i="4"/>
  <c r="AH24" i="4"/>
  <c r="AJ7" i="2"/>
  <c r="AJ9" i="2" s="1"/>
  <c r="BJ69" i="4"/>
  <c r="BJ52" i="4"/>
  <c r="I73" i="4"/>
  <c r="I74" i="4" s="1"/>
  <c r="BK26" i="4"/>
  <c r="BK20" i="4"/>
  <c r="BK27" i="4"/>
  <c r="AZ69" i="4"/>
  <c r="AZ52" i="4"/>
  <c r="AK52" i="4"/>
  <c r="AK69" i="4"/>
  <c r="AN26" i="4"/>
  <c r="AN20" i="4"/>
  <c r="AN27" i="4"/>
  <c r="Z7" i="2"/>
  <c r="Z9" i="2" s="1"/>
  <c r="X23" i="4"/>
  <c r="X24" i="4"/>
  <c r="Z23" i="4"/>
  <c r="AB7" i="2"/>
  <c r="AB9" i="2" s="1"/>
  <c r="Z24" i="4"/>
  <c r="U7" i="2"/>
  <c r="U9" i="2" s="1"/>
  <c r="S24" i="4"/>
  <c r="S23" i="4"/>
  <c r="BV26" i="4"/>
  <c r="BX114" i="2" s="1"/>
  <c r="BV51" i="4" s="1"/>
  <c r="BV20" i="4"/>
  <c r="BV27" i="4"/>
  <c r="F73" i="4"/>
  <c r="F74" i="4" s="1"/>
  <c r="E73" i="4"/>
  <c r="E74" i="4" s="1"/>
  <c r="F52" i="4"/>
  <c r="F69" i="4"/>
  <c r="F5" i="5"/>
  <c r="G5" i="5"/>
  <c r="BF26" i="4"/>
  <c r="BF27" i="4"/>
  <c r="BF20" i="4"/>
  <c r="H31" i="4"/>
  <c r="H46" i="4"/>
  <c r="K95" i="2"/>
  <c r="G27" i="4"/>
  <c r="G20" i="4"/>
  <c r="G26" i="4"/>
  <c r="I114" i="2" s="1"/>
  <c r="G51" i="4" s="1"/>
  <c r="Y26" i="4"/>
  <c r="Y27" i="4"/>
  <c r="Y20" i="4"/>
  <c r="O26" i="4"/>
  <c r="Q114" i="2" s="1"/>
  <c r="O51" i="4" s="1"/>
  <c r="O27" i="4"/>
  <c r="O20" i="4"/>
  <c r="AG26" i="4"/>
  <c r="AG27" i="4"/>
  <c r="AG20" i="4"/>
  <c r="AO26" i="4"/>
  <c r="AQ114" i="2" s="1"/>
  <c r="AO51" i="4" s="1"/>
  <c r="AO27" i="4"/>
  <c r="AO20" i="4"/>
  <c r="AR69" i="4"/>
  <c r="AR52" i="4"/>
  <c r="AP7" i="2"/>
  <c r="AP9" i="2" s="1"/>
  <c r="AN23" i="4"/>
  <c r="AN24" i="4"/>
  <c r="R26" i="4"/>
  <c r="R27" i="4"/>
  <c r="R20" i="4"/>
  <c r="E69" i="4"/>
  <c r="E52" i="4"/>
  <c r="D127" i="5"/>
  <c r="D224" i="5"/>
  <c r="BE26" i="4"/>
  <c r="BG114" i="2" s="1"/>
  <c r="BE51" i="4" s="1"/>
  <c r="BE27" i="4"/>
  <c r="BE20" i="4"/>
  <c r="R68" i="3"/>
  <c r="K23" i="4"/>
  <c r="K24" i="4"/>
  <c r="M7" i="2"/>
  <c r="M9" i="2" s="1"/>
  <c r="AV26" i="4"/>
  <c r="AV27" i="4"/>
  <c r="AV20" i="4"/>
  <c r="BO52" i="4"/>
  <c r="CB26" i="4"/>
  <c r="CD114" i="2" s="1"/>
  <c r="CB51" i="4" s="1"/>
  <c r="CB20" i="4"/>
  <c r="CB27" i="4"/>
  <c r="BM26" i="4"/>
  <c r="BO114" i="2" s="1"/>
  <c r="BM51" i="4" s="1"/>
  <c r="BM20" i="4"/>
  <c r="BM27" i="4"/>
  <c r="AP26" i="4"/>
  <c r="AR114" i="2" s="1"/>
  <c r="AP51" i="4" s="1"/>
  <c r="AP27" i="4"/>
  <c r="AP20" i="4"/>
  <c r="I26" i="4"/>
  <c r="K114" i="2" s="1"/>
  <c r="I51" i="4" s="1"/>
  <c r="I20" i="4"/>
  <c r="I27" i="4"/>
  <c r="N73" i="4"/>
  <c r="N74" i="4" s="1"/>
  <c r="BR52" i="4"/>
  <c r="AF26" i="4"/>
  <c r="AF27" i="4"/>
  <c r="AF20" i="4"/>
  <c r="Q26" i="4"/>
  <c r="S114" i="2" s="1"/>
  <c r="Q51" i="4" s="1"/>
  <c r="Q27" i="4"/>
  <c r="Q20" i="4"/>
  <c r="S7" i="2"/>
  <c r="S9" i="2" s="1"/>
  <c r="Q24" i="4"/>
  <c r="Q23" i="4"/>
  <c r="BG27" i="4"/>
  <c r="BG26" i="4"/>
  <c r="BG20" i="4"/>
  <c r="I23" i="4"/>
  <c r="I24" i="4" s="1"/>
  <c r="K7" i="2"/>
  <c r="K9" i="2" s="1"/>
  <c r="BB69" i="4"/>
  <c r="BB52" i="4"/>
  <c r="BS27" i="4"/>
  <c r="BS26" i="4"/>
  <c r="BS20" i="4"/>
  <c r="G55" i="4"/>
  <c r="J128" i="2"/>
  <c r="AC7" i="2"/>
  <c r="AC9" i="2" s="1"/>
  <c r="AA23" i="4"/>
  <c r="AA24" i="4"/>
  <c r="R42" i="3"/>
  <c r="CA26" i="4"/>
  <c r="CA20" i="4"/>
  <c r="CA27" i="4"/>
  <c r="BX27" i="4"/>
  <c r="BX26" i="4"/>
  <c r="BZ114" i="2" s="1"/>
  <c r="BX51" i="4" s="1"/>
  <c r="BY69" i="4" s="1"/>
  <c r="BX20" i="4"/>
  <c r="AQ52" i="4"/>
  <c r="L69" i="4"/>
  <c r="L52" i="4"/>
  <c r="AB69" i="4"/>
  <c r="AB52" i="4"/>
  <c r="G23" i="4"/>
  <c r="I7" i="2"/>
  <c r="I9" i="2" s="1"/>
  <c r="X26" i="4"/>
  <c r="X27" i="4"/>
  <c r="X20" i="4"/>
  <c r="CJ26" i="4"/>
  <c r="CL114" i="2" s="1"/>
  <c r="CJ51" i="4" s="1"/>
  <c r="CJ20" i="4"/>
  <c r="CJ27" i="4"/>
  <c r="H23" i="4"/>
  <c r="H24" i="4"/>
  <c r="J7" i="2"/>
  <c r="J9" i="2" s="1"/>
  <c r="J23" i="4"/>
  <c r="J24" i="4"/>
  <c r="L7" i="2"/>
  <c r="L9" i="2" s="1"/>
  <c r="BW52" i="4"/>
  <c r="AC69" i="4"/>
  <c r="AC52" i="4"/>
  <c r="AU27" i="4"/>
  <c r="AU20" i="4"/>
  <c r="AU26" i="4"/>
  <c r="AW114" i="2" s="1"/>
  <c r="AU51" i="4" s="1"/>
  <c r="AD27" i="4"/>
  <c r="AD20" i="4"/>
  <c r="AD26" i="4"/>
  <c r="AF114" i="2" s="1"/>
  <c r="AD51" i="4" s="1"/>
  <c r="AL7" i="2"/>
  <c r="AL9" i="2" s="1"/>
  <c r="AJ23" i="4"/>
  <c r="AJ24" i="4"/>
  <c r="AG7" i="2"/>
  <c r="AG9" i="2" s="1"/>
  <c r="AE24" i="4"/>
  <c r="AE23" i="4"/>
  <c r="AD81" i="3"/>
  <c r="Z68" i="3"/>
  <c r="B37" i="3"/>
  <c r="D37" i="3" s="1"/>
  <c r="R55" i="3"/>
  <c r="BU26" i="4"/>
  <c r="BW114" i="2" s="1"/>
  <c r="BU51" i="4" s="1"/>
  <c r="BU20" i="4"/>
  <c r="BU27" i="4"/>
  <c r="AX26" i="4"/>
  <c r="AX27" i="4"/>
  <c r="AX20" i="4"/>
  <c r="CC26" i="4"/>
  <c r="CC27" i="4"/>
  <c r="CC20" i="4"/>
  <c r="F77" i="4"/>
  <c r="F78" i="4" s="1"/>
  <c r="V7" i="2"/>
  <c r="V9" i="2" s="1"/>
  <c r="T23" i="4"/>
  <c r="T24" i="4" s="1"/>
  <c r="W23" i="4"/>
  <c r="W24" i="4" s="1"/>
  <c r="Y7" i="2"/>
  <c r="Y9" i="2" s="1"/>
  <c r="J29" i="3"/>
  <c r="B17" i="3"/>
  <c r="CH69" i="4"/>
  <c r="CH52" i="4"/>
  <c r="CD26" i="4"/>
  <c r="CF114" i="2" s="1"/>
  <c r="CD51" i="4" s="1"/>
  <c r="CD27" i="4"/>
  <c r="CD20" i="4"/>
  <c r="AY52" i="4"/>
  <c r="T69" i="4"/>
  <c r="T52" i="4"/>
  <c r="AW26" i="4"/>
  <c r="AY114" i="2" s="1"/>
  <c r="AW51" i="4" s="1"/>
  <c r="AW27" i="4"/>
  <c r="AW20" i="4"/>
  <c r="AT69" i="4"/>
  <c r="AT52" i="4"/>
  <c r="BT26" i="4"/>
  <c r="BV114" i="2" s="1"/>
  <c r="BT51" i="4" s="1"/>
  <c r="BT27" i="4"/>
  <c r="BT20" i="4"/>
  <c r="Z81" i="3"/>
  <c r="N23" i="4"/>
  <c r="P7" i="2"/>
  <c r="P9" i="2" s="1"/>
  <c r="L23" i="4"/>
  <c r="L24" i="4" s="1"/>
  <c r="N7" i="2"/>
  <c r="N9" i="2" s="1"/>
  <c r="AH26" i="4"/>
  <c r="AJ114" i="2" s="1"/>
  <c r="AH51" i="4" s="1"/>
  <c r="AH27" i="4"/>
  <c r="AH20" i="4"/>
  <c r="AE7" i="2"/>
  <c r="AE9" i="2" s="1"/>
  <c r="AC24" i="4"/>
  <c r="AC23" i="4"/>
  <c r="AD24" i="4"/>
  <c r="AD23" i="4"/>
  <c r="AF7" i="2"/>
  <c r="AF9" i="2" s="1"/>
  <c r="AO7" i="2"/>
  <c r="AO9" i="2" s="1"/>
  <c r="AM23" i="4"/>
  <c r="H73" i="4"/>
  <c r="H74" i="4" s="1"/>
  <c r="BQ27" i="4"/>
  <c r="BQ20" i="4"/>
  <c r="BQ26" i="4"/>
  <c r="BS114" i="2" s="1"/>
  <c r="BQ51" i="4" s="1"/>
  <c r="AA7" i="2"/>
  <c r="AA9" i="2" s="1"/>
  <c r="Y23" i="4"/>
  <c r="Y24" i="4"/>
  <c r="U23" i="4"/>
  <c r="U24" i="4" s="1"/>
  <c r="W7" i="2"/>
  <c r="W9" i="2" s="1"/>
  <c r="AD7" i="2"/>
  <c r="AD9" i="2" s="1"/>
  <c r="AB23" i="4"/>
  <c r="AB24" i="4" s="1"/>
  <c r="AD68" i="3"/>
  <c r="W26" i="4"/>
  <c r="Y114" i="2" s="1"/>
  <c r="W51" i="4" s="1"/>
  <c r="W27" i="4"/>
  <c r="W20" i="4"/>
  <c r="J55" i="3"/>
  <c r="O23" i="4"/>
  <c r="O24" i="4"/>
  <c r="Q7" i="2"/>
  <c r="Q9" i="2" s="1"/>
  <c r="E24" i="4"/>
  <c r="E23" i="4"/>
  <c r="G7" i="2"/>
  <c r="G9" i="2" s="1"/>
  <c r="F16" i="3"/>
  <c r="B4" i="3"/>
  <c r="BC20" i="4"/>
  <c r="BC26" i="4"/>
  <c r="BC27" i="4"/>
  <c r="AJ69" i="4"/>
  <c r="AJ52" i="4"/>
  <c r="AM7" i="2"/>
  <c r="AM9" i="2" s="1"/>
  <c r="AK23" i="4"/>
  <c r="AN7" i="2"/>
  <c r="AN9" i="2" s="1"/>
  <c r="AL23" i="4"/>
  <c r="AL24" i="4" s="1"/>
  <c r="B35" i="3"/>
  <c r="D35" i="3" s="1"/>
  <c r="W45" i="4"/>
  <c r="V45" i="4"/>
  <c r="W73" i="4" s="1"/>
  <c r="W74" i="4" s="1"/>
  <c r="Q73" i="4"/>
  <c r="Q74" i="4" s="1"/>
  <c r="U45" i="4"/>
  <c r="V73" i="4" s="1"/>
  <c r="V74" i="4" s="1"/>
  <c r="X45" i="4"/>
  <c r="Y73" i="4" s="1"/>
  <c r="Y74" i="4" s="1"/>
  <c r="S45" i="4"/>
  <c r="T73" i="4" s="1"/>
  <c r="T74" i="4" s="1"/>
  <c r="R45" i="4"/>
  <c r="S73" i="4" s="1"/>
  <c r="S74" i="4" s="1"/>
  <c r="Q45" i="4"/>
  <c r="T45" i="4"/>
  <c r="Y45" i="4"/>
  <c r="Z45" i="4"/>
  <c r="AB45" i="4"/>
  <c r="AA45" i="4"/>
  <c r="AB73" i="4" s="1"/>
  <c r="AB74" i="4" s="1"/>
  <c r="P73" i="4"/>
  <c r="P74" i="4" s="1"/>
  <c r="N69" i="4"/>
  <c r="N52" i="4"/>
  <c r="BH52" i="4"/>
  <c r="V23" i="4"/>
  <c r="X7" i="2"/>
  <c r="X9" i="2" s="1"/>
  <c r="Z55" i="3"/>
  <c r="BN26" i="4"/>
  <c r="BN20" i="4"/>
  <c r="BN27" i="4"/>
  <c r="J26" i="4"/>
  <c r="J20" i="4"/>
  <c r="J27" i="4"/>
  <c r="BD26" i="4"/>
  <c r="BF114" i="2" s="1"/>
  <c r="BD51" i="4" s="1"/>
  <c r="BD20" i="4"/>
  <c r="BD27" i="4"/>
  <c r="E11" i="11"/>
  <c r="D11" i="11"/>
  <c r="H26" i="4"/>
  <c r="J114" i="2" s="1"/>
  <c r="H51" i="4" s="1"/>
  <c r="H27" i="4"/>
  <c r="H20" i="4"/>
  <c r="CF52" i="4"/>
  <c r="AM26" i="4"/>
  <c r="AM20" i="4"/>
  <c r="AM27" i="4"/>
  <c r="V81" i="3"/>
  <c r="P23" i="4"/>
  <c r="P24" i="4"/>
  <c r="R7" i="2"/>
  <c r="R9" i="2" s="1"/>
  <c r="M23" i="4"/>
  <c r="O7" i="2"/>
  <c r="O9" i="2" s="1"/>
  <c r="U52" i="4"/>
  <c r="U69" i="4"/>
  <c r="AI7" i="2"/>
  <c r="AI9" i="2" s="1"/>
  <c r="AG23" i="4"/>
  <c r="AG24" i="4"/>
  <c r="AK7" i="2"/>
  <c r="AK9" i="2" s="1"/>
  <c r="AI23" i="4"/>
  <c r="AI24" i="4"/>
  <c r="J42" i="3"/>
  <c r="B30" i="3"/>
  <c r="N55" i="3"/>
  <c r="V68" i="3"/>
  <c r="J73" i="4"/>
  <c r="J74" i="4" s="1"/>
  <c r="BZ69" i="4"/>
  <c r="BZ52" i="4"/>
  <c r="CG27" i="4"/>
  <c r="CG26" i="4"/>
  <c r="CI114" i="2" s="1"/>
  <c r="CG51" i="4" s="1"/>
  <c r="CG20" i="4"/>
  <c r="AS69" i="4"/>
  <c r="AS52" i="4"/>
  <c r="T7" i="2"/>
  <c r="T9" i="2" s="1"/>
  <c r="R23" i="4"/>
  <c r="R24" i="4"/>
  <c r="AI69" i="4"/>
  <c r="AI52" i="4"/>
  <c r="BA52" i="4"/>
  <c r="BA69" i="4"/>
  <c r="CE27" i="4"/>
  <c r="CE20" i="4"/>
  <c r="CE26" i="4"/>
  <c r="CG114" i="2" s="1"/>
  <c r="CE51" i="4" s="1"/>
  <c r="CI26" i="4"/>
  <c r="CI27" i="4"/>
  <c r="CI20" i="4"/>
  <c r="BI52" i="4"/>
  <c r="BI69" i="4"/>
  <c r="G7" i="5" l="1"/>
  <c r="F86" i="3"/>
  <c r="F76" i="3"/>
  <c r="F66" i="3"/>
  <c r="F58" i="3"/>
  <c r="F93" i="3"/>
  <c r="F85" i="3"/>
  <c r="F75" i="3"/>
  <c r="F65" i="3"/>
  <c r="F92" i="3"/>
  <c r="F84" i="3"/>
  <c r="F74" i="3"/>
  <c r="F87" i="3"/>
  <c r="F83" i="3"/>
  <c r="F71" i="3"/>
  <c r="F82" i="3"/>
  <c r="F60" i="3"/>
  <c r="F73" i="3"/>
  <c r="F70" i="3"/>
  <c r="F61" i="3"/>
  <c r="F91" i="3"/>
  <c r="F90" i="3"/>
  <c r="F88" i="3"/>
  <c r="F80" i="3"/>
  <c r="F72" i="3"/>
  <c r="F67" i="3"/>
  <c r="F63" i="3"/>
  <c r="F57" i="3"/>
  <c r="F79" i="3"/>
  <c r="F77" i="3"/>
  <c r="F59" i="3"/>
  <c r="F69" i="3"/>
  <c r="F56" i="3"/>
  <c r="F89" i="3"/>
  <c r="F62" i="3"/>
  <c r="F64" i="3"/>
  <c r="B64" i="3" s="1"/>
  <c r="D64" i="3" s="1"/>
  <c r="F78" i="3"/>
  <c r="CI13" i="2"/>
  <c r="CA13" i="2"/>
  <c r="BS13" i="2"/>
  <c r="BK13" i="2"/>
  <c r="BC13" i="2"/>
  <c r="CH13" i="2"/>
  <c r="BZ13" i="2"/>
  <c r="BR13" i="2"/>
  <c r="BJ13" i="2"/>
  <c r="CF13" i="2"/>
  <c r="BX13" i="2"/>
  <c r="BP13" i="2"/>
  <c r="BH13" i="2"/>
  <c r="CE13" i="2"/>
  <c r="BO13" i="2"/>
  <c r="CL13" i="2"/>
  <c r="BW13" i="2"/>
  <c r="BG13" i="2"/>
  <c r="CD13" i="2"/>
  <c r="CG13" i="2"/>
  <c r="BY13" i="2"/>
  <c r="BQ13" i="2"/>
  <c r="BI13" i="2"/>
  <c r="BV13" i="2"/>
  <c r="BD13" i="2"/>
  <c r="BU13" i="2"/>
  <c r="CK13" i="2"/>
  <c r="BM13" i="2"/>
  <c r="BL13" i="2"/>
  <c r="BT13" i="2"/>
  <c r="BN13" i="2"/>
  <c r="CC13" i="2"/>
  <c r="BF13" i="2"/>
  <c r="CJ13" i="2"/>
  <c r="CB13" i="2"/>
  <c r="BE13" i="2"/>
  <c r="BL52" i="4"/>
  <c r="H52" i="4"/>
  <c r="H69" i="4"/>
  <c r="E28" i="4"/>
  <c r="E30" i="4" s="1"/>
  <c r="E32" i="4" s="1"/>
  <c r="AC28" i="4"/>
  <c r="AC30" i="4" s="1"/>
  <c r="CE114" i="2"/>
  <c r="CC51" i="4" s="1"/>
  <c r="BU52" i="4"/>
  <c r="BU69" i="4"/>
  <c r="CJ52" i="4"/>
  <c r="AA28" i="4"/>
  <c r="AA30" i="4" s="1"/>
  <c r="Q69" i="4"/>
  <c r="Q52" i="4"/>
  <c r="AN28" i="4"/>
  <c r="AN30" i="4" s="1"/>
  <c r="I46" i="4"/>
  <c r="I31" i="4"/>
  <c r="L95" i="2"/>
  <c r="F7" i="5"/>
  <c r="F48" i="3"/>
  <c r="B48" i="3" s="1"/>
  <c r="D48" i="3" s="1"/>
  <c r="F52" i="3"/>
  <c r="B52" i="3" s="1"/>
  <c r="D52" i="3" s="1"/>
  <c r="F47" i="3"/>
  <c r="B47" i="3" s="1"/>
  <c r="D47" i="3" s="1"/>
  <c r="F45" i="3"/>
  <c r="B45" i="3" s="1"/>
  <c r="D45" i="3" s="1"/>
  <c r="F49" i="3"/>
  <c r="B49" i="3" s="1"/>
  <c r="D49" i="3" s="1"/>
  <c r="F54" i="3"/>
  <c r="B54" i="3" s="1"/>
  <c r="D54" i="3" s="1"/>
  <c r="F51" i="3"/>
  <c r="B51" i="3" s="1"/>
  <c r="D51" i="3" s="1"/>
  <c r="F43" i="3"/>
  <c r="F53" i="3"/>
  <c r="B53" i="3" s="1"/>
  <c r="D53" i="3" s="1"/>
  <c r="F44" i="3"/>
  <c r="B44" i="3" s="1"/>
  <c r="D44" i="3" s="1"/>
  <c r="F50" i="3"/>
  <c r="B50" i="3" s="1"/>
  <c r="D50" i="3" s="1"/>
  <c r="F46" i="3"/>
  <c r="B46" i="3" s="1"/>
  <c r="D46" i="3" s="1"/>
  <c r="AU13" i="2"/>
  <c r="BB13" i="2"/>
  <c r="AT13" i="2"/>
  <c r="AZ13" i="2"/>
  <c r="AR13" i="2"/>
  <c r="AY13" i="2"/>
  <c r="AQ13" i="2"/>
  <c r="BA13" i="2"/>
  <c r="AS13" i="2"/>
  <c r="AX13" i="2"/>
  <c r="AW13" i="2"/>
  <c r="AV13" i="2"/>
  <c r="BV69" i="4"/>
  <c r="BV52" i="4"/>
  <c r="X28" i="4"/>
  <c r="X30" i="4" s="1"/>
  <c r="F24" i="4"/>
  <c r="F28" i="4" s="1"/>
  <c r="F30" i="4" s="1"/>
  <c r="F32" i="4" s="1"/>
  <c r="Z52" i="4"/>
  <c r="AJ28" i="4"/>
  <c r="AJ30" i="4" s="1"/>
  <c r="J28" i="4"/>
  <c r="J30" i="4" s="1"/>
  <c r="Q28" i="4"/>
  <c r="Q30" i="4" s="1"/>
  <c r="K28" i="4"/>
  <c r="K30" i="4" s="1"/>
  <c r="I67" i="4"/>
  <c r="S28" i="4"/>
  <c r="S30" i="4" s="1"/>
  <c r="F15" i="5"/>
  <c r="N78" i="3"/>
  <c r="R75" i="3"/>
  <c r="N70" i="3"/>
  <c r="J63" i="3"/>
  <c r="N77" i="3"/>
  <c r="R74" i="3"/>
  <c r="N69" i="3"/>
  <c r="N76" i="3"/>
  <c r="R73" i="3"/>
  <c r="N79" i="3"/>
  <c r="R78" i="3"/>
  <c r="R77" i="3"/>
  <c r="J65" i="3"/>
  <c r="J62" i="3"/>
  <c r="N80" i="3"/>
  <c r="R79" i="3"/>
  <c r="N72" i="3"/>
  <c r="R71" i="3"/>
  <c r="J56" i="3"/>
  <c r="N74" i="3"/>
  <c r="J67" i="3"/>
  <c r="R69" i="3"/>
  <c r="J66" i="3"/>
  <c r="N75" i="3"/>
  <c r="J61" i="3"/>
  <c r="J57" i="3"/>
  <c r="R80" i="3"/>
  <c r="J64" i="3"/>
  <c r="N73" i="3"/>
  <c r="J59" i="3"/>
  <c r="J58" i="3"/>
  <c r="R72" i="3"/>
  <c r="J60" i="3"/>
  <c r="R76" i="3"/>
  <c r="N71" i="3"/>
  <c r="R70" i="3"/>
  <c r="BS37" i="2"/>
  <c r="BY29" i="2"/>
  <c r="BQ29" i="2"/>
  <c r="BM21" i="2"/>
  <c r="BE21" i="2"/>
  <c r="BX29" i="2"/>
  <c r="BP29" i="2"/>
  <c r="BJ21" i="2"/>
  <c r="BZ37" i="2"/>
  <c r="BR37" i="2"/>
  <c r="BL21" i="2"/>
  <c r="BD21" i="2"/>
  <c r="BY37" i="2"/>
  <c r="BQ37" i="2"/>
  <c r="BW29" i="2"/>
  <c r="BO29" i="2"/>
  <c r="BK21" i="2"/>
  <c r="BC21" i="2"/>
  <c r="BV29" i="2"/>
  <c r="BX37" i="2"/>
  <c r="BP37" i="2"/>
  <c r="BW37" i="2"/>
  <c r="BO37" i="2"/>
  <c r="BU29" i="2"/>
  <c r="BI21" i="2"/>
  <c r="BV37" i="2"/>
  <c r="BT29" i="2"/>
  <c r="BH21" i="2"/>
  <c r="BT37" i="2"/>
  <c r="BZ29" i="2"/>
  <c r="BR29" i="2"/>
  <c r="BN21" i="2"/>
  <c r="BF21" i="2"/>
  <c r="BG21" i="2"/>
  <c r="BS29" i="2"/>
  <c r="BU37" i="2"/>
  <c r="AP69" i="4"/>
  <c r="AP52" i="4"/>
  <c r="AO52" i="4"/>
  <c r="CE69" i="4"/>
  <c r="CE52" i="4"/>
  <c r="R28" i="4"/>
  <c r="R30" i="4" s="1"/>
  <c r="AI28" i="4"/>
  <c r="AI30" i="4" s="1"/>
  <c r="V28" i="4"/>
  <c r="V30" i="4" s="1"/>
  <c r="W69" i="4"/>
  <c r="W52" i="4"/>
  <c r="V24" i="4"/>
  <c r="B29" i="3"/>
  <c r="D17" i="3"/>
  <c r="D29" i="3" s="1"/>
  <c r="AE69" i="4"/>
  <c r="AE52" i="4"/>
  <c r="G15" i="5"/>
  <c r="R93" i="3"/>
  <c r="J91" i="3"/>
  <c r="V90" i="3"/>
  <c r="N88" i="3"/>
  <c r="Z87" i="3"/>
  <c r="R85" i="3"/>
  <c r="J83" i="3"/>
  <c r="V82" i="3"/>
  <c r="J73" i="3"/>
  <c r="R92" i="3"/>
  <c r="J90" i="3"/>
  <c r="V89" i="3"/>
  <c r="N87" i="3"/>
  <c r="Z86" i="3"/>
  <c r="R84" i="3"/>
  <c r="J82" i="3"/>
  <c r="J80" i="3"/>
  <c r="J72" i="3"/>
  <c r="Z93" i="3"/>
  <c r="R91" i="3"/>
  <c r="J89" i="3"/>
  <c r="V88" i="3"/>
  <c r="N86" i="3"/>
  <c r="Z85" i="3"/>
  <c r="R83" i="3"/>
  <c r="J79" i="3"/>
  <c r="J71" i="3"/>
  <c r="J92" i="3"/>
  <c r="V91" i="3"/>
  <c r="N89" i="3"/>
  <c r="Z88" i="3"/>
  <c r="R86" i="3"/>
  <c r="J84" i="3"/>
  <c r="V83" i="3"/>
  <c r="Z92" i="3"/>
  <c r="N91" i="3"/>
  <c r="N90" i="3"/>
  <c r="R89" i="3"/>
  <c r="V84" i="3"/>
  <c r="V93" i="3"/>
  <c r="N85" i="3"/>
  <c r="J69" i="3"/>
  <c r="Z91" i="3"/>
  <c r="Z90" i="3"/>
  <c r="J88" i="3"/>
  <c r="R82" i="3"/>
  <c r="J75" i="3"/>
  <c r="V92" i="3"/>
  <c r="J87" i="3"/>
  <c r="N93" i="3"/>
  <c r="Z89" i="3"/>
  <c r="V87" i="3"/>
  <c r="J86" i="3"/>
  <c r="J85" i="3"/>
  <c r="N84" i="3"/>
  <c r="J77" i="3"/>
  <c r="R90" i="3"/>
  <c r="Z84" i="3"/>
  <c r="N83" i="3"/>
  <c r="N82" i="3"/>
  <c r="J74" i="3"/>
  <c r="J93" i="3"/>
  <c r="N92" i="3"/>
  <c r="R88" i="3"/>
  <c r="R87" i="3"/>
  <c r="Z83" i="3"/>
  <c r="Z82" i="3"/>
  <c r="J76" i="3"/>
  <c r="J70" i="3"/>
  <c r="J78" i="3"/>
  <c r="V86" i="3"/>
  <c r="V85" i="3"/>
  <c r="CL53" i="2"/>
  <c r="CD53" i="2"/>
  <c r="CE45" i="2"/>
  <c r="CK53" i="2"/>
  <c r="CC53" i="2"/>
  <c r="CJ53" i="2"/>
  <c r="CB53" i="2"/>
  <c r="CH53" i="2"/>
  <c r="CG53" i="2"/>
  <c r="CK45" i="2"/>
  <c r="CB45" i="2"/>
  <c r="CI37" i="2"/>
  <c r="CA37" i="2"/>
  <c r="CG29" i="2"/>
  <c r="CK21" i="2"/>
  <c r="CC21" i="2"/>
  <c r="BU21" i="2"/>
  <c r="CF29" i="2"/>
  <c r="CF53" i="2"/>
  <c r="CJ45" i="2"/>
  <c r="CA45" i="2"/>
  <c r="CH37" i="2"/>
  <c r="CJ21" i="2"/>
  <c r="CB21" i="2"/>
  <c r="BT21" i="2"/>
  <c r="CH21" i="2"/>
  <c r="BZ21" i="2"/>
  <c r="BR21" i="2"/>
  <c r="CE53" i="2"/>
  <c r="CI45" i="2"/>
  <c r="CG37" i="2"/>
  <c r="CE29" i="2"/>
  <c r="CI21" i="2"/>
  <c r="CA21" i="2"/>
  <c r="BS21" i="2"/>
  <c r="CL29" i="2"/>
  <c r="CD29" i="2"/>
  <c r="CA53" i="2"/>
  <c r="CH45" i="2"/>
  <c r="CF37" i="2"/>
  <c r="CG45" i="2"/>
  <c r="CE37" i="2"/>
  <c r="CK29" i="2"/>
  <c r="CC29" i="2"/>
  <c r="CG21" i="2"/>
  <c r="BY21" i="2"/>
  <c r="BQ21" i="2"/>
  <c r="CF45" i="2"/>
  <c r="CL37" i="2"/>
  <c r="CD37" i="2"/>
  <c r="CJ29" i="2"/>
  <c r="CB29" i="2"/>
  <c r="CF21" i="2"/>
  <c r="BX21" i="2"/>
  <c r="BP21" i="2"/>
  <c r="CI53" i="2"/>
  <c r="CL45" i="2"/>
  <c r="CC45" i="2"/>
  <c r="CJ37" i="2"/>
  <c r="CB37" i="2"/>
  <c r="CH29" i="2"/>
  <c r="CL21" i="2"/>
  <c r="CD21" i="2"/>
  <c r="BV21" i="2"/>
  <c r="CI29" i="2"/>
  <c r="CA29" i="2"/>
  <c r="CD45" i="2"/>
  <c r="BO21" i="2"/>
  <c r="CE21" i="2"/>
  <c r="BW21" i="2"/>
  <c r="CK37" i="2"/>
  <c r="CC37" i="2"/>
  <c r="T28" i="4"/>
  <c r="T30" i="4" s="1"/>
  <c r="AU69" i="4"/>
  <c r="AU52" i="4"/>
  <c r="M24" i="4"/>
  <c r="M28" i="4" s="1"/>
  <c r="M30" i="4" s="1"/>
  <c r="AC73" i="4"/>
  <c r="AC74" i="4" s="1"/>
  <c r="AM45" i="4"/>
  <c r="AN73" i="4" s="1"/>
  <c r="AN74" i="4" s="1"/>
  <c r="AE45" i="4"/>
  <c r="AF73" i="4" s="1"/>
  <c r="AF74" i="4" s="1"/>
  <c r="AL45" i="4"/>
  <c r="AM73" i="4" s="1"/>
  <c r="AM74" i="4" s="1"/>
  <c r="AD45" i="4"/>
  <c r="AK45" i="4"/>
  <c r="AC45" i="4"/>
  <c r="AD73" i="4" s="1"/>
  <c r="AD74" i="4" s="1"/>
  <c r="AN45" i="4"/>
  <c r="AF45" i="4"/>
  <c r="AI45" i="4"/>
  <c r="AJ73" i="4" s="1"/>
  <c r="AJ74" i="4" s="1"/>
  <c r="AH45" i="4"/>
  <c r="AI73" i="4" s="1"/>
  <c r="AI74" i="4" s="1"/>
  <c r="AG45" i="4"/>
  <c r="AJ45" i="4"/>
  <c r="BE114" i="2"/>
  <c r="BC51" i="4" s="1"/>
  <c r="Y28" i="4"/>
  <c r="Y30" i="4" s="1"/>
  <c r="AA73" i="4"/>
  <c r="AA74" i="4" s="1"/>
  <c r="G77" i="4"/>
  <c r="G78" i="4" s="1"/>
  <c r="I69" i="4"/>
  <c r="I52" i="4"/>
  <c r="AI114" i="2"/>
  <c r="AG51" i="4" s="1"/>
  <c r="P69" i="4"/>
  <c r="P52" i="4"/>
  <c r="H55" i="4"/>
  <c r="K128" i="2"/>
  <c r="AG28" i="4"/>
  <c r="AG30" i="4" s="1"/>
  <c r="CF69" i="4"/>
  <c r="Z73" i="4"/>
  <c r="Z74" i="4" s="1"/>
  <c r="O28" i="4"/>
  <c r="O30" i="4" s="1"/>
  <c r="BQ52" i="4"/>
  <c r="BQ69" i="4"/>
  <c r="N24" i="4"/>
  <c r="N28" i="4" s="1"/>
  <c r="N30" i="4" s="1"/>
  <c r="AZ114" i="2"/>
  <c r="AX51" i="4" s="1"/>
  <c r="H28" i="4"/>
  <c r="H30" i="4" s="1"/>
  <c r="H32" i="4" s="1"/>
  <c r="Z114" i="2"/>
  <c r="X51" i="4" s="1"/>
  <c r="CC114" i="2"/>
  <c r="CA51" i="4" s="1"/>
  <c r="H67" i="4"/>
  <c r="AH114" i="2"/>
  <c r="AF51" i="4" s="1"/>
  <c r="G52" i="4"/>
  <c r="G69" i="4"/>
  <c r="BM114" i="2"/>
  <c r="BK51" i="4" s="1"/>
  <c r="AW52" i="4"/>
  <c r="CB52" i="4"/>
  <c r="O69" i="4"/>
  <c r="O52" i="4"/>
  <c r="AO114" i="2"/>
  <c r="AM51" i="4" s="1"/>
  <c r="L28" i="4"/>
  <c r="L30" i="4" s="1"/>
  <c r="BT52" i="4"/>
  <c r="CG52" i="4"/>
  <c r="CG69" i="4"/>
  <c r="P28" i="4"/>
  <c r="U73" i="4"/>
  <c r="U74" i="4" s="1"/>
  <c r="X73" i="4"/>
  <c r="X74" i="4" s="1"/>
  <c r="B16" i="3"/>
  <c r="D4" i="3"/>
  <c r="D16" i="3" s="1"/>
  <c r="AE28" i="4"/>
  <c r="AE30" i="4" s="1"/>
  <c r="AQ69" i="4"/>
  <c r="BU114" i="2"/>
  <c r="BS51" i="4" s="1"/>
  <c r="BT69" i="4" s="1"/>
  <c r="AP114" i="2"/>
  <c r="AN51" i="4" s="1"/>
  <c r="AO69" i="4" s="1"/>
  <c r="AL28" i="4"/>
  <c r="AL30" i="4" s="1"/>
  <c r="U28" i="4"/>
  <c r="U30" i="4" s="1"/>
  <c r="CD69" i="4"/>
  <c r="CD52" i="4"/>
  <c r="BX69" i="4"/>
  <c r="BX52" i="4"/>
  <c r="C4" i="11"/>
  <c r="C12" i="11" s="1"/>
  <c r="D227" i="5"/>
  <c r="L114" i="2"/>
  <c r="J51" i="4" s="1"/>
  <c r="AK24" i="4"/>
  <c r="AK28" i="4" s="1"/>
  <c r="AK30" i="4" s="1"/>
  <c r="AB28" i="4"/>
  <c r="AB30" i="4" s="1"/>
  <c r="AM24" i="4"/>
  <c r="AM28" i="4" s="1"/>
  <c r="AM30" i="4" s="1"/>
  <c r="AD69" i="4"/>
  <c r="AD52" i="4"/>
  <c r="I28" i="4"/>
  <c r="I30" i="4" s="1"/>
  <c r="I32" i="4" s="1"/>
  <c r="BM69" i="4"/>
  <c r="BM52" i="4"/>
  <c r="AA114" i="2"/>
  <c r="Y51" i="4" s="1"/>
  <c r="AH28" i="4"/>
  <c r="AH30" i="4" s="1"/>
  <c r="CK114" i="2"/>
  <c r="CI51" i="4" s="1"/>
  <c r="B42" i="3"/>
  <c r="D30" i="3"/>
  <c r="D42" i="3" s="1"/>
  <c r="BD69" i="4"/>
  <c r="BD52" i="4"/>
  <c r="BP114" i="2"/>
  <c r="BN51" i="4" s="1"/>
  <c r="R73" i="4"/>
  <c r="R74" i="4" s="1"/>
  <c r="AD28" i="4"/>
  <c r="AD30" i="4" s="1"/>
  <c r="AH69" i="4"/>
  <c r="AH52" i="4"/>
  <c r="W28" i="4"/>
  <c r="W30" i="4" s="1"/>
  <c r="BW69" i="4"/>
  <c r="G24" i="4"/>
  <c r="G28" i="4" s="1"/>
  <c r="G30" i="4" s="1"/>
  <c r="G32" i="4" s="1"/>
  <c r="BI114" i="2"/>
  <c r="BG51" i="4" s="1"/>
  <c r="BR69" i="4"/>
  <c r="AX114" i="2"/>
  <c r="AV51" i="4" s="1"/>
  <c r="BE69" i="4"/>
  <c r="BE52" i="4"/>
  <c r="T114" i="2"/>
  <c r="R51" i="4" s="1"/>
  <c r="BH114" i="2"/>
  <c r="BF51" i="4" s="1"/>
  <c r="Z28" i="4"/>
  <c r="Z30" i="4" s="1"/>
  <c r="AF28" i="4"/>
  <c r="AF30" i="4" s="1"/>
  <c r="AA69" i="4"/>
  <c r="G33" i="4" l="1"/>
  <c r="G34" i="4"/>
  <c r="F33" i="4"/>
  <c r="F34" i="4" s="1"/>
  <c r="BN69" i="4"/>
  <c r="BN52" i="4"/>
  <c r="BO69" i="4"/>
  <c r="H77" i="4"/>
  <c r="H78" i="4" s="1"/>
  <c r="CA69" i="4"/>
  <c r="CA52" i="4"/>
  <c r="Z94" i="3"/>
  <c r="R81" i="3"/>
  <c r="AO24" i="4"/>
  <c r="AO23" i="4"/>
  <c r="AQ7" i="2"/>
  <c r="AQ9" i="2" s="1"/>
  <c r="BZ23" i="4"/>
  <c r="CB7" i="2"/>
  <c r="CB9" i="2" s="1"/>
  <c r="CI24" i="4"/>
  <c r="CI23" i="4"/>
  <c r="CK7" i="2"/>
  <c r="CK9" i="2" s="1"/>
  <c r="CB23" i="4"/>
  <c r="CB24" i="4" s="1"/>
  <c r="CD7" i="2"/>
  <c r="CD9" i="2" s="1"/>
  <c r="BV23" i="4"/>
  <c r="BV24" i="4"/>
  <c r="BX7" i="2"/>
  <c r="BX9" i="2" s="1"/>
  <c r="BQ23" i="4"/>
  <c r="BS7" i="2"/>
  <c r="BS9" i="2" s="1"/>
  <c r="F81" i="3"/>
  <c r="B69" i="3"/>
  <c r="B80" i="3"/>
  <c r="D80" i="3" s="1"/>
  <c r="F94" i="3"/>
  <c r="H97" i="3" s="1"/>
  <c r="B82" i="3"/>
  <c r="B75" i="3"/>
  <c r="D75" i="3" s="1"/>
  <c r="CI69" i="4"/>
  <c r="CI52" i="4"/>
  <c r="X69" i="4"/>
  <c r="X52" i="4"/>
  <c r="BC69" i="4"/>
  <c r="BC52" i="4"/>
  <c r="AL73" i="4"/>
  <c r="AL74" i="4" s="1"/>
  <c r="J81" i="3"/>
  <c r="AW24" i="4"/>
  <c r="AW23" i="4"/>
  <c r="AY7" i="2"/>
  <c r="AY9" i="2" s="1"/>
  <c r="E33" i="4"/>
  <c r="E34" i="4" s="1"/>
  <c r="CH23" i="4"/>
  <c r="CJ7" i="2"/>
  <c r="CJ9" i="2" s="1"/>
  <c r="BS23" i="4"/>
  <c r="BS24" i="4" s="1"/>
  <c r="BU7" i="2"/>
  <c r="BU9" i="2" s="1"/>
  <c r="BE23" i="4"/>
  <c r="BE24" i="4"/>
  <c r="BG7" i="2"/>
  <c r="BG9" i="2" s="1"/>
  <c r="CD23" i="4"/>
  <c r="CD24" i="4" s="1"/>
  <c r="CF7" i="2"/>
  <c r="CF9" i="2" s="1"/>
  <c r="BY23" i="4"/>
  <c r="CA7" i="2"/>
  <c r="CA9" i="2" s="1"/>
  <c r="B59" i="3"/>
  <c r="D59" i="3" s="1"/>
  <c r="B88" i="3"/>
  <c r="D88" i="3" s="1"/>
  <c r="B71" i="3"/>
  <c r="D71" i="3" s="1"/>
  <c r="B85" i="3"/>
  <c r="D85" i="3" s="1"/>
  <c r="AV69" i="4"/>
  <c r="AV52" i="4"/>
  <c r="AW69" i="4"/>
  <c r="H34" i="4"/>
  <c r="H33" i="4"/>
  <c r="AK73" i="4"/>
  <c r="AK74" i="4" s="1"/>
  <c r="AE73" i="4"/>
  <c r="AE74" i="4" s="1"/>
  <c r="AP23" i="4"/>
  <c r="AP24" i="4" s="1"/>
  <c r="AR7" i="2"/>
  <c r="AR9" i="2" s="1"/>
  <c r="BD23" i="4"/>
  <c r="BD24" i="4"/>
  <c r="BF7" i="2"/>
  <c r="BF9" i="2" s="1"/>
  <c r="BB23" i="4"/>
  <c r="BD7" i="2"/>
  <c r="BD9" i="2" s="1"/>
  <c r="BU24" i="4"/>
  <c r="BU23" i="4"/>
  <c r="BW7" i="2"/>
  <c r="BW9" i="2" s="1"/>
  <c r="BH23" i="4"/>
  <c r="BJ7" i="2"/>
  <c r="BJ9" i="2" s="1"/>
  <c r="CG24" i="4"/>
  <c r="CG23" i="4"/>
  <c r="CI7" i="2"/>
  <c r="CI9" i="2" s="1"/>
  <c r="B77" i="3"/>
  <c r="D77" i="3" s="1"/>
  <c r="B90" i="3"/>
  <c r="D90" i="3" s="1"/>
  <c r="B83" i="3"/>
  <c r="D83" i="3" s="1"/>
  <c r="B93" i="3"/>
  <c r="D93" i="3" s="1"/>
  <c r="Y69" i="4"/>
  <c r="Y52" i="4"/>
  <c r="AM69" i="4"/>
  <c r="AM52" i="4"/>
  <c r="BK69" i="4"/>
  <c r="BK52" i="4"/>
  <c r="AX69" i="4"/>
  <c r="AX52" i="4"/>
  <c r="AY69" i="4"/>
  <c r="I55" i="4"/>
  <c r="L128" i="2"/>
  <c r="AH73" i="4"/>
  <c r="AH74" i="4" s="1"/>
  <c r="J94" i="3"/>
  <c r="V94" i="3"/>
  <c r="J68" i="3"/>
  <c r="J32" i="4"/>
  <c r="AT24" i="4"/>
  <c r="AT23" i="4"/>
  <c r="AV7" i="2"/>
  <c r="AV9" i="2" s="1"/>
  <c r="AX23" i="4"/>
  <c r="AX24" i="4"/>
  <c r="AZ7" i="2"/>
  <c r="AZ9" i="2" s="1"/>
  <c r="F55" i="3"/>
  <c r="B43" i="3"/>
  <c r="CA23" i="4"/>
  <c r="CC7" i="2"/>
  <c r="CC9" i="2" s="1"/>
  <c r="BT23" i="4"/>
  <c r="BT24" i="4"/>
  <c r="BV7" i="2"/>
  <c r="BV9" i="2" s="1"/>
  <c r="CJ23" i="4"/>
  <c r="CL7" i="2"/>
  <c r="CL9" i="2" s="1"/>
  <c r="BP24" i="4"/>
  <c r="BP23" i="4"/>
  <c r="BR7" i="2"/>
  <c r="BR9" i="2" s="1"/>
  <c r="B78" i="3"/>
  <c r="D78" i="3" s="1"/>
  <c r="B79" i="3"/>
  <c r="D79" i="3" s="1"/>
  <c r="B91" i="3"/>
  <c r="D91" i="3" s="1"/>
  <c r="B87" i="3"/>
  <c r="D87" i="3" s="1"/>
  <c r="B58" i="3"/>
  <c r="D58" i="3" s="1"/>
  <c r="AU23" i="4"/>
  <c r="AW7" i="2"/>
  <c r="AW9" i="2" s="1"/>
  <c r="AR23" i="4"/>
  <c r="AR24" i="4" s="1"/>
  <c r="AT7" i="2"/>
  <c r="AT9" i="2" s="1"/>
  <c r="J46" i="4"/>
  <c r="J31" i="4"/>
  <c r="M95" i="2"/>
  <c r="CJ69" i="4"/>
  <c r="BL23" i="4"/>
  <c r="BL24" i="4"/>
  <c r="BN7" i="2"/>
  <c r="BN9" i="2" s="1"/>
  <c r="BG24" i="4"/>
  <c r="BG23" i="4"/>
  <c r="BI7" i="2"/>
  <c r="BI9" i="2" s="1"/>
  <c r="BM23" i="4"/>
  <c r="BM24" i="4"/>
  <c r="BO7" i="2"/>
  <c r="BO9" i="2" s="1"/>
  <c r="BX24" i="4"/>
  <c r="BX23" i="4"/>
  <c r="BZ7" i="2"/>
  <c r="BZ9" i="2" s="1"/>
  <c r="B57" i="3"/>
  <c r="D57" i="3" s="1"/>
  <c r="B61" i="3"/>
  <c r="D61" i="3" s="1"/>
  <c r="B74" i="3"/>
  <c r="D74" i="3" s="1"/>
  <c r="B66" i="3"/>
  <c r="D66" i="3" s="1"/>
  <c r="D236" i="5"/>
  <c r="D129" i="5"/>
  <c r="AN69" i="4"/>
  <c r="AN52" i="4"/>
  <c r="R94" i="3"/>
  <c r="Z69" i="4"/>
  <c r="AV24" i="4"/>
  <c r="AV23" i="4"/>
  <c r="AX7" i="2"/>
  <c r="AX9" i="2" s="1"/>
  <c r="AZ23" i="4"/>
  <c r="AZ24" i="4"/>
  <c r="BB7" i="2"/>
  <c r="BB9" i="2" s="1"/>
  <c r="BL69" i="4"/>
  <c r="BR23" i="4"/>
  <c r="BT7" i="2"/>
  <c r="BT9" i="2" s="1"/>
  <c r="BO24" i="4"/>
  <c r="BO23" i="4"/>
  <c r="BQ7" i="2"/>
  <c r="BQ9" i="2" s="1"/>
  <c r="CC23" i="4"/>
  <c r="CE7" i="2"/>
  <c r="CE9" i="2" s="1"/>
  <c r="CF23" i="4"/>
  <c r="CH7" i="2"/>
  <c r="CH9" i="2" s="1"/>
  <c r="B62" i="3"/>
  <c r="D62" i="3" s="1"/>
  <c r="B63" i="3"/>
  <c r="D63" i="3" s="1"/>
  <c r="B70" i="3"/>
  <c r="D70" i="3" s="1"/>
  <c r="B84" i="3"/>
  <c r="D84" i="3" s="1"/>
  <c r="B76" i="3"/>
  <c r="D76" i="3" s="1"/>
  <c r="BG52" i="4"/>
  <c r="BG69" i="4"/>
  <c r="BH69" i="4"/>
  <c r="J69" i="4"/>
  <c r="J52" i="4"/>
  <c r="K69" i="4"/>
  <c r="AF69" i="4"/>
  <c r="AF52" i="4"/>
  <c r="AG73" i="4"/>
  <c r="AG74" i="4" s="1"/>
  <c r="AQ23" i="4"/>
  <c r="AQ24" i="4" s="1"/>
  <c r="AS7" i="2"/>
  <c r="AS9" i="2" s="1"/>
  <c r="AS24" i="4"/>
  <c r="AS23" i="4"/>
  <c r="AU7" i="2"/>
  <c r="AU9" i="2" s="1"/>
  <c r="J67" i="4"/>
  <c r="BJ23" i="4"/>
  <c r="BJ24" i="4" s="1"/>
  <c r="BL7" i="2"/>
  <c r="BL9" i="2" s="1"/>
  <c r="BW23" i="4"/>
  <c r="BW24" i="4"/>
  <c r="BY7" i="2"/>
  <c r="BY9" i="2" s="1"/>
  <c r="BF23" i="4"/>
  <c r="BF24" i="4" s="1"/>
  <c r="BH7" i="2"/>
  <c r="BH9" i="2" s="1"/>
  <c r="BA23" i="4"/>
  <c r="BC7" i="2"/>
  <c r="BC9" i="2" s="1"/>
  <c r="B89" i="3"/>
  <c r="D89" i="3" s="1"/>
  <c r="B67" i="3"/>
  <c r="D67" i="3" s="1"/>
  <c r="B73" i="3"/>
  <c r="D73" i="3" s="1"/>
  <c r="B92" i="3"/>
  <c r="D92" i="3" s="1"/>
  <c r="B86" i="3"/>
  <c r="D86" i="3" s="1"/>
  <c r="BF52" i="4"/>
  <c r="BF69" i="4"/>
  <c r="I34" i="4"/>
  <c r="I33" i="4"/>
  <c r="D12" i="11"/>
  <c r="E12" i="11"/>
  <c r="BS52" i="4"/>
  <c r="BS69" i="4"/>
  <c r="R69" i="4"/>
  <c r="R52" i="4"/>
  <c r="S69" i="4"/>
  <c r="CB69" i="4"/>
  <c r="AG69" i="4"/>
  <c r="AG52" i="4"/>
  <c r="AU45" i="4"/>
  <c r="AV73" i="4" s="1"/>
  <c r="AV74" i="4" s="1"/>
  <c r="AT45" i="4"/>
  <c r="AU73" i="4" s="1"/>
  <c r="AU74" i="4" s="1"/>
  <c r="AS45" i="4"/>
  <c r="AV45" i="4"/>
  <c r="AY45" i="4"/>
  <c r="AX45" i="4"/>
  <c r="AY73" i="4" s="1"/>
  <c r="AY74" i="4" s="1"/>
  <c r="AW45" i="4"/>
  <c r="AX73" i="4" s="1"/>
  <c r="AX74" i="4" s="1"/>
  <c r="AZ45" i="4"/>
  <c r="AR45" i="4"/>
  <c r="AS73" i="4" s="1"/>
  <c r="AS74" i="4" s="1"/>
  <c r="AQ45" i="4"/>
  <c r="AR73" i="4" s="1"/>
  <c r="AR74" i="4" s="1"/>
  <c r="AO73" i="4"/>
  <c r="AO74" i="4" s="1"/>
  <c r="AO45" i="4"/>
  <c r="AP45" i="4"/>
  <c r="N94" i="3"/>
  <c r="N81" i="3"/>
  <c r="AY24" i="4"/>
  <c r="AY23" i="4"/>
  <c r="BA7" i="2"/>
  <c r="BA9" i="2" s="1"/>
  <c r="CC69" i="4"/>
  <c r="CC52" i="4"/>
  <c r="BC24" i="4"/>
  <c r="BC23" i="4"/>
  <c r="BE7" i="2"/>
  <c r="BE9" i="2" s="1"/>
  <c r="BK23" i="4"/>
  <c r="BM7" i="2"/>
  <c r="BM9" i="2" s="1"/>
  <c r="CE23" i="4"/>
  <c r="CE24" i="4"/>
  <c r="CG7" i="2"/>
  <c r="CG9" i="2" s="1"/>
  <c r="BN23" i="4"/>
  <c r="BN24" i="4"/>
  <c r="BP7" i="2"/>
  <c r="BP9" i="2" s="1"/>
  <c r="BI23" i="4"/>
  <c r="BK7" i="2"/>
  <c r="BK9" i="2" s="1"/>
  <c r="F68" i="3"/>
  <c r="B56" i="3"/>
  <c r="B72" i="3"/>
  <c r="D72" i="3" s="1"/>
  <c r="B60" i="3"/>
  <c r="D60" i="3" s="1"/>
  <c r="B65" i="3"/>
  <c r="D65" i="3" s="1"/>
  <c r="F35" i="4" l="1"/>
  <c r="E56" i="4"/>
  <c r="E35" i="4"/>
  <c r="CC28" i="4"/>
  <c r="CC30" i="4" s="1"/>
  <c r="BG28" i="4"/>
  <c r="BG30" i="4" s="1"/>
  <c r="K67" i="4"/>
  <c r="I77" i="4"/>
  <c r="I78" i="4" s="1"/>
  <c r="CG28" i="4"/>
  <c r="CG30" i="4" s="1"/>
  <c r="H35" i="4"/>
  <c r="BQ28" i="4"/>
  <c r="BQ30" i="4" s="1"/>
  <c r="AO28" i="4"/>
  <c r="AO30" i="4" s="1"/>
  <c r="BN28" i="4"/>
  <c r="BN30" i="4" s="1"/>
  <c r="BW28" i="4"/>
  <c r="BW30" i="4" s="1"/>
  <c r="B55" i="3"/>
  <c r="D43" i="3"/>
  <c r="D55" i="3" s="1"/>
  <c r="J33" i="4"/>
  <c r="J34" i="4"/>
  <c r="BB28" i="4"/>
  <c r="BB30" i="4" s="1"/>
  <c r="AP28" i="4"/>
  <c r="AP30" i="4" s="1"/>
  <c r="CD28" i="4"/>
  <c r="CD30" i="4" s="1"/>
  <c r="BQ24" i="4"/>
  <c r="CI28" i="4"/>
  <c r="CI30" i="4" s="1"/>
  <c r="BC28" i="4"/>
  <c r="BC30" i="4" s="1"/>
  <c r="B68" i="3"/>
  <c r="D56" i="3"/>
  <c r="D68" i="3" s="1"/>
  <c r="BO28" i="4"/>
  <c r="BO30" i="4" s="1"/>
  <c r="AZ28" i="4"/>
  <c r="AZ30" i="4" s="1"/>
  <c r="BX28" i="4"/>
  <c r="BX30" i="4" s="1"/>
  <c r="CJ24" i="4"/>
  <c r="CJ28" i="4" s="1"/>
  <c r="CJ30" i="4" s="1"/>
  <c r="BB24" i="4"/>
  <c r="CH24" i="4"/>
  <c r="CH28" i="4" s="1"/>
  <c r="CH30" i="4" s="1"/>
  <c r="B94" i="3"/>
  <c r="D82" i="3"/>
  <c r="D94" i="3" s="1"/>
  <c r="AV28" i="4"/>
  <c r="AV30" i="4" s="1"/>
  <c r="C5" i="11"/>
  <c r="C13" i="11" s="1"/>
  <c r="D239" i="5"/>
  <c r="BL28" i="4"/>
  <c r="BL30" i="4" s="1"/>
  <c r="BH24" i="4"/>
  <c r="BH28" i="4" s="1"/>
  <c r="BH30" i="4" s="1"/>
  <c r="BE28" i="4"/>
  <c r="BE30" i="4" s="1"/>
  <c r="BV28" i="4"/>
  <c r="BV30" i="4" s="1"/>
  <c r="CF24" i="4"/>
  <c r="CF28" i="4" s="1"/>
  <c r="CF30" i="4" s="1"/>
  <c r="AU28" i="4"/>
  <c r="AU30" i="4" s="1"/>
  <c r="BT28" i="4"/>
  <c r="BT30" i="4" s="1"/>
  <c r="AX28" i="4"/>
  <c r="AX30" i="4" s="1"/>
  <c r="BD28" i="4"/>
  <c r="BD30" i="4" s="1"/>
  <c r="B81" i="3"/>
  <c r="D69" i="3"/>
  <c r="D81" i="3" s="1"/>
  <c r="BZ24" i="4"/>
  <c r="BZ28" i="4" s="1"/>
  <c r="BZ30" i="4" s="1"/>
  <c r="BA73" i="4"/>
  <c r="BA74" i="4" s="1"/>
  <c r="BK45" i="4"/>
  <c r="BL73" i="4" s="1"/>
  <c r="BL74" i="4" s="1"/>
  <c r="BC45" i="4"/>
  <c r="BD73" i="4" s="1"/>
  <c r="BD74" i="4" s="1"/>
  <c r="BJ45" i="4"/>
  <c r="BB45" i="4"/>
  <c r="BI45" i="4"/>
  <c r="BJ73" i="4" s="1"/>
  <c r="BJ74" i="4" s="1"/>
  <c r="BA45" i="4"/>
  <c r="BB73" i="4" s="1"/>
  <c r="BB74" i="4" s="1"/>
  <c r="BL45" i="4"/>
  <c r="BD45" i="4"/>
  <c r="BE45" i="4"/>
  <c r="BF45" i="4"/>
  <c r="BG73" i="4" s="1"/>
  <c r="BG74" i="4" s="1"/>
  <c r="BH45" i="4"/>
  <c r="BG45" i="4"/>
  <c r="BH73" i="4" s="1"/>
  <c r="BH74" i="4" s="1"/>
  <c r="BJ28" i="4"/>
  <c r="BJ30" i="4" s="1"/>
  <c r="AP73" i="4"/>
  <c r="AP74" i="4" s="1"/>
  <c r="AW73" i="4"/>
  <c r="AW74" i="4" s="1"/>
  <c r="BF28" i="4"/>
  <c r="BF30" i="4" s="1"/>
  <c r="BR24" i="4"/>
  <c r="BR28" i="4" s="1"/>
  <c r="BR30" i="4" s="1"/>
  <c r="BM28" i="4"/>
  <c r="BM30" i="4" s="1"/>
  <c r="K46" i="4"/>
  <c r="K31" i="4"/>
  <c r="K32" i="4" s="1"/>
  <c r="N95" i="2"/>
  <c r="AU24" i="4"/>
  <c r="BP28" i="4"/>
  <c r="BP30" i="4" s="1"/>
  <c r="BU28" i="4"/>
  <c r="BU30" i="4" s="1"/>
  <c r="BY24" i="4"/>
  <c r="BY28" i="4" s="1"/>
  <c r="BY30" i="4" s="1"/>
  <c r="AW28" i="4"/>
  <c r="AW30" i="4" s="1"/>
  <c r="G35" i="4"/>
  <c r="BA24" i="4"/>
  <c r="BA28" i="4" s="1"/>
  <c r="BA30" i="4" s="1"/>
  <c r="AQ28" i="4"/>
  <c r="AQ30" i="4" s="1"/>
  <c r="AR28" i="4"/>
  <c r="AR30" i="4" s="1"/>
  <c r="CE28" i="4"/>
  <c r="CE30" i="4" s="1"/>
  <c r="BI28" i="4"/>
  <c r="BI30" i="4" s="1"/>
  <c r="AQ73" i="4"/>
  <c r="AQ74" i="4" s="1"/>
  <c r="AZ73" i="4"/>
  <c r="AZ74" i="4" s="1"/>
  <c r="BI24" i="4"/>
  <c r="BK24" i="4"/>
  <c r="BK28" i="4" s="1"/>
  <c r="BK30" i="4" s="1"/>
  <c r="AY28" i="4"/>
  <c r="AY30" i="4" s="1"/>
  <c r="AT73" i="4"/>
  <c r="AT74" i="4" s="1"/>
  <c r="I35" i="4"/>
  <c r="AS28" i="4"/>
  <c r="AS30" i="4" s="1"/>
  <c r="CC24" i="4"/>
  <c r="CA24" i="4"/>
  <c r="CA28" i="4" s="1"/>
  <c r="CA30" i="4" s="1"/>
  <c r="AT28" i="4"/>
  <c r="AT30" i="4" s="1"/>
  <c r="J55" i="4"/>
  <c r="M128" i="2"/>
  <c r="BS28" i="4"/>
  <c r="BS30" i="4" s="1"/>
  <c r="CB28" i="4"/>
  <c r="CB30" i="4" s="1"/>
  <c r="K55" i="4" l="1"/>
  <c r="N128" i="2"/>
  <c r="J77" i="4"/>
  <c r="J78" i="4" s="1"/>
  <c r="L46" i="4"/>
  <c r="L67" i="4" s="1"/>
  <c r="L31" i="4"/>
  <c r="L32" i="4" s="1"/>
  <c r="O95" i="2"/>
  <c r="K33" i="4"/>
  <c r="K34" i="4" s="1"/>
  <c r="E66" i="4"/>
  <c r="E70" i="4" s="1"/>
  <c r="E82" i="4" s="1"/>
  <c r="E84" i="4" s="1"/>
  <c r="E57" i="4"/>
  <c r="E59" i="4" s="1"/>
  <c r="BC73" i="4"/>
  <c r="BC74" i="4" s="1"/>
  <c r="BF73" i="4"/>
  <c r="BF74" i="4" s="1"/>
  <c r="BE73" i="4"/>
  <c r="BE74" i="4" s="1"/>
  <c r="D131" i="5"/>
  <c r="D249" i="5"/>
  <c r="J35" i="4"/>
  <c r="CI45" i="4"/>
  <c r="CA45" i="4"/>
  <c r="BS45" i="4"/>
  <c r="CH45" i="4"/>
  <c r="CI73" i="4" s="1"/>
  <c r="CI74" i="4" s="1"/>
  <c r="BZ45" i="4"/>
  <c r="CA73" i="4" s="1"/>
  <c r="CA74" i="4" s="1"/>
  <c r="BR45" i="4"/>
  <c r="BS73" i="4" s="1"/>
  <c r="BS74" i="4" s="1"/>
  <c r="CG45" i="4"/>
  <c r="CH73" i="4" s="1"/>
  <c r="CH74" i="4" s="1"/>
  <c r="BY45" i="4"/>
  <c r="BQ45" i="4"/>
  <c r="CJ45" i="4"/>
  <c r="CB45" i="4"/>
  <c r="CC73" i="4" s="1"/>
  <c r="CC74" i="4" s="1"/>
  <c r="BT45" i="4"/>
  <c r="BU73" i="4" s="1"/>
  <c r="BU74" i="4" s="1"/>
  <c r="CE45" i="4"/>
  <c r="CF73" i="4" s="1"/>
  <c r="CF74" i="4" s="1"/>
  <c r="BO45" i="4"/>
  <c r="BP73" i="4" s="1"/>
  <c r="BP74" i="4" s="1"/>
  <c r="CD45" i="4"/>
  <c r="CE73" i="4" s="1"/>
  <c r="CE74" i="4" s="1"/>
  <c r="BN45" i="4"/>
  <c r="CC45" i="4"/>
  <c r="BM45" i="4"/>
  <c r="BN73" i="4" s="1"/>
  <c r="BN74" i="4" s="1"/>
  <c r="CF45" i="4"/>
  <c r="BP45" i="4"/>
  <c r="BQ73" i="4" s="1"/>
  <c r="BQ74" i="4" s="1"/>
  <c r="BX45" i="4"/>
  <c r="BY73" i="4" s="1"/>
  <c r="BY74" i="4" s="1"/>
  <c r="BW45" i="4"/>
  <c r="BX73" i="4" s="1"/>
  <c r="BX74" i="4" s="1"/>
  <c r="BV45" i="4"/>
  <c r="BW73" i="4" s="1"/>
  <c r="BW74" i="4" s="1"/>
  <c r="BU45" i="4"/>
  <c r="D13" i="11"/>
  <c r="E13" i="11"/>
  <c r="BI73" i="4"/>
  <c r="BI74" i="4" s="1"/>
  <c r="BK73" i="4"/>
  <c r="BK74" i="4" s="1"/>
  <c r="F56" i="4"/>
  <c r="K35" i="4" l="1"/>
  <c r="L33" i="4"/>
  <c r="L34" i="4"/>
  <c r="L55" i="4"/>
  <c r="O128" i="2"/>
  <c r="K77" i="4"/>
  <c r="K78" i="4" s="1"/>
  <c r="BT73" i="4"/>
  <c r="BT74" i="4" s="1"/>
  <c r="CB73" i="4"/>
  <c r="CB74" i="4" s="1"/>
  <c r="C6" i="11"/>
  <c r="C14" i="11" s="1"/>
  <c r="D252" i="5"/>
  <c r="M67" i="4"/>
  <c r="CG73" i="4"/>
  <c r="CG74" i="4" s="1"/>
  <c r="CD73" i="4"/>
  <c r="CD74" i="4" s="1"/>
  <c r="BR73" i="4"/>
  <c r="BR74" i="4" s="1"/>
  <c r="CJ73" i="4"/>
  <c r="CJ74" i="4" s="1"/>
  <c r="F80" i="4"/>
  <c r="E41" i="4"/>
  <c r="E43" i="4" s="1"/>
  <c r="E47" i="4" s="1"/>
  <c r="E61" i="4" s="1"/>
  <c r="F66" i="4"/>
  <c r="F70" i="4" s="1"/>
  <c r="F82" i="4" s="1"/>
  <c r="F84" i="4" s="1"/>
  <c r="F57" i="4"/>
  <c r="F59" i="4" s="1"/>
  <c r="G56" i="4"/>
  <c r="BV73" i="4"/>
  <c r="BV74" i="4" s="1"/>
  <c r="BO73" i="4"/>
  <c r="BO74" i="4" s="1"/>
  <c r="BZ73" i="4"/>
  <c r="BZ74" i="4" s="1"/>
  <c r="BM73" i="4"/>
  <c r="BM74" i="4" s="1"/>
  <c r="M46" i="4"/>
  <c r="M31" i="4"/>
  <c r="M32" i="4" s="1"/>
  <c r="P95" i="2"/>
  <c r="M55" i="4" l="1"/>
  <c r="P128" i="2"/>
  <c r="L35" i="4"/>
  <c r="G66" i="4"/>
  <c r="G70" i="4" s="1"/>
  <c r="G82" i="4" s="1"/>
  <c r="G57" i="4"/>
  <c r="G59" i="4" s="1"/>
  <c r="H56" i="4"/>
  <c r="G80" i="4"/>
  <c r="F41" i="4"/>
  <c r="F43" i="4" s="1"/>
  <c r="F47" i="4" s="1"/>
  <c r="F61" i="4" s="1"/>
  <c r="E14" i="11"/>
  <c r="D14" i="11"/>
  <c r="N46" i="4"/>
  <c r="N67" i="4" s="1"/>
  <c r="N31" i="4"/>
  <c r="N32" i="4" s="1"/>
  <c r="Q95" i="2"/>
  <c r="M33" i="4"/>
  <c r="M34" i="4"/>
  <c r="L77" i="4"/>
  <c r="L78" i="4" s="1"/>
  <c r="D132" i="5"/>
  <c r="D264" i="5"/>
  <c r="G84" i="4" l="1"/>
  <c r="D267" i="5"/>
  <c r="D274" i="5" s="1"/>
  <c r="C7" i="11"/>
  <c r="C15" i="11" s="1"/>
  <c r="D133" i="5"/>
  <c r="H80" i="4"/>
  <c r="G41" i="4"/>
  <c r="G43" i="4" s="1"/>
  <c r="G47" i="4" s="1"/>
  <c r="G61" i="4" s="1"/>
  <c r="O67" i="4"/>
  <c r="N55" i="4"/>
  <c r="Q128" i="2"/>
  <c r="M77" i="4"/>
  <c r="M78" i="4" s="1"/>
  <c r="N33" i="4"/>
  <c r="N34" i="4" s="1"/>
  <c r="H66" i="4"/>
  <c r="H70" i="4" s="1"/>
  <c r="H82" i="4" s="1"/>
  <c r="H84" i="4" s="1"/>
  <c r="H57" i="4"/>
  <c r="H59" i="4" s="1"/>
  <c r="I56" i="4"/>
  <c r="M35" i="4"/>
  <c r="O46" i="4"/>
  <c r="O31" i="4"/>
  <c r="O32" i="4" s="1"/>
  <c r="R95" i="2"/>
  <c r="N35" i="4" l="1"/>
  <c r="I80" i="4"/>
  <c r="H41" i="4"/>
  <c r="H43" i="4" s="1"/>
  <c r="H47" i="4" s="1"/>
  <c r="H61" i="4" s="1"/>
  <c r="P67" i="4"/>
  <c r="I66" i="4"/>
  <c r="I70" i="4" s="1"/>
  <c r="I82" i="4" s="1"/>
  <c r="I84" i="4" s="1"/>
  <c r="I57" i="4"/>
  <c r="I59" i="4" s="1"/>
  <c r="J56" i="4"/>
  <c r="P31" i="4"/>
  <c r="P32" i="4" s="1"/>
  <c r="P46" i="4"/>
  <c r="S95" i="2"/>
  <c r="E15" i="11"/>
  <c r="D15" i="11"/>
  <c r="N77" i="4"/>
  <c r="N78" i="4" s="1"/>
  <c r="O33" i="4"/>
  <c r="O34" i="4"/>
  <c r="O55" i="4"/>
  <c r="R128" i="2"/>
  <c r="C16" i="11"/>
  <c r="C8" i="11"/>
  <c r="O77" i="4" l="1"/>
  <c r="O78" i="4" s="1"/>
  <c r="E16" i="11"/>
  <c r="D16" i="11"/>
  <c r="P55" i="4"/>
  <c r="S128" i="2"/>
  <c r="P34" i="4"/>
  <c r="P33" i="4"/>
  <c r="J80" i="4"/>
  <c r="I41" i="4"/>
  <c r="I43" i="4" s="1"/>
  <c r="I47" i="4" s="1"/>
  <c r="I61" i="4" s="1"/>
  <c r="Q46" i="4"/>
  <c r="Q31" i="4"/>
  <c r="Q32" i="4" s="1"/>
  <c r="T95" i="2"/>
  <c r="O35" i="4"/>
  <c r="J66" i="4"/>
  <c r="J70" i="4" s="1"/>
  <c r="J82" i="4" s="1"/>
  <c r="J57" i="4"/>
  <c r="J59" i="4" s="1"/>
  <c r="K56" i="4"/>
  <c r="J84" i="4" l="1"/>
  <c r="P35" i="4"/>
  <c r="Q33" i="4"/>
  <c r="Q34" i="4" s="1"/>
  <c r="K66" i="4"/>
  <c r="K70" i="4" s="1"/>
  <c r="K82" i="4" s="1"/>
  <c r="K84" i="4" s="1"/>
  <c r="K57" i="4"/>
  <c r="K59" i="4" s="1"/>
  <c r="L56" i="4"/>
  <c r="J61" i="4"/>
  <c r="R46" i="4"/>
  <c r="R31" i="4"/>
  <c r="R32" i="4" s="1"/>
  <c r="U95" i="2"/>
  <c r="P77" i="4"/>
  <c r="P78" i="4" s="1"/>
  <c r="Q55" i="4"/>
  <c r="T128" i="2"/>
  <c r="R67" i="4"/>
  <c r="K80" i="4"/>
  <c r="J41" i="4"/>
  <c r="J43" i="4" s="1"/>
  <c r="J47" i="4" s="1"/>
  <c r="Q67" i="4"/>
  <c r="Q35" i="4" l="1"/>
  <c r="R55" i="4"/>
  <c r="U128" i="2"/>
  <c r="L66" i="4"/>
  <c r="L70" i="4" s="1"/>
  <c r="L82" i="4" s="1"/>
  <c r="L57" i="4"/>
  <c r="L59" i="4" s="1"/>
  <c r="M56" i="4"/>
  <c r="L80" i="4"/>
  <c r="K41" i="4"/>
  <c r="K43" i="4" s="1"/>
  <c r="K47" i="4" s="1"/>
  <c r="K61" i="4" s="1"/>
  <c r="R34" i="4"/>
  <c r="R33" i="4"/>
  <c r="Q77" i="4"/>
  <c r="Q78" i="4" s="1"/>
  <c r="S46" i="4"/>
  <c r="S67" i="4" s="1"/>
  <c r="S31" i="4"/>
  <c r="S32" i="4" s="1"/>
  <c r="V95" i="2"/>
  <c r="M66" i="4" l="1"/>
  <c r="M70" i="4" s="1"/>
  <c r="M82" i="4" s="1"/>
  <c r="M57" i="4"/>
  <c r="M59" i="4" s="1"/>
  <c r="N56" i="4"/>
  <c r="L84" i="4"/>
  <c r="S55" i="4"/>
  <c r="V128" i="2"/>
  <c r="R77" i="4"/>
  <c r="R78" i="4" s="1"/>
  <c r="R35" i="4"/>
  <c r="T46" i="4"/>
  <c r="T67" i="4" s="1"/>
  <c r="T31" i="4"/>
  <c r="T32" i="4" s="1"/>
  <c r="W95" i="2"/>
  <c r="S33" i="4"/>
  <c r="S34" i="4" s="1"/>
  <c r="S35" i="4" l="1"/>
  <c r="T33" i="4"/>
  <c r="T34" i="4"/>
  <c r="U46" i="4"/>
  <c r="U31" i="4"/>
  <c r="U32" i="4" s="1"/>
  <c r="X95" i="2"/>
  <c r="S77" i="4"/>
  <c r="S78" i="4" s="1"/>
  <c r="M80" i="4"/>
  <c r="M84" i="4" s="1"/>
  <c r="L41" i="4"/>
  <c r="L43" i="4" s="1"/>
  <c r="L47" i="4" s="1"/>
  <c r="L61" i="4" s="1"/>
  <c r="N66" i="4"/>
  <c r="N70" i="4" s="1"/>
  <c r="N82" i="4" s="1"/>
  <c r="N57" i="4"/>
  <c r="N59" i="4" s="1"/>
  <c r="O56" i="4"/>
  <c r="U67" i="4"/>
  <c r="T55" i="4"/>
  <c r="W128" i="2"/>
  <c r="N80" i="4" l="1"/>
  <c r="M41" i="4"/>
  <c r="M43" i="4" s="1"/>
  <c r="M47" i="4" s="1"/>
  <c r="M61" i="4" s="1"/>
  <c r="O66" i="4"/>
  <c r="O70" i="4" s="1"/>
  <c r="O82" i="4" s="1"/>
  <c r="O57" i="4"/>
  <c r="O59" i="4" s="1"/>
  <c r="P56" i="4"/>
  <c r="U55" i="4"/>
  <c r="X128" i="2"/>
  <c r="U33" i="4"/>
  <c r="U34" i="4"/>
  <c r="V31" i="4"/>
  <c r="V32" i="4" s="1"/>
  <c r="V46" i="4"/>
  <c r="Y95" i="2"/>
  <c r="V67" i="4"/>
  <c r="N84" i="4"/>
  <c r="T35" i="4"/>
  <c r="T77" i="4"/>
  <c r="T78" i="4" s="1"/>
  <c r="W31" i="4" l="1"/>
  <c r="W32" i="4" s="1"/>
  <c r="W46" i="4"/>
  <c r="Z95" i="2"/>
  <c r="W67" i="4"/>
  <c r="O80" i="4"/>
  <c r="N41" i="4"/>
  <c r="N43" i="4" s="1"/>
  <c r="N47" i="4" s="1"/>
  <c r="N61" i="4" s="1"/>
  <c r="U77" i="4"/>
  <c r="U78" i="4" s="1"/>
  <c r="P66" i="4"/>
  <c r="P70" i="4" s="1"/>
  <c r="P82" i="4" s="1"/>
  <c r="P57" i="4"/>
  <c r="P59" i="4" s="1"/>
  <c r="Q56" i="4"/>
  <c r="O84" i="4"/>
  <c r="V33" i="4"/>
  <c r="V34" i="4" s="1"/>
  <c r="U35" i="4"/>
  <c r="V55" i="4"/>
  <c r="Y128" i="2"/>
  <c r="V35" i="4" l="1"/>
  <c r="P80" i="4"/>
  <c r="P84" i="4" s="1"/>
  <c r="O41" i="4"/>
  <c r="O43" i="4" s="1"/>
  <c r="O47" i="4" s="1"/>
  <c r="O61" i="4" s="1"/>
  <c r="X31" i="4"/>
  <c r="X32" i="4" s="1"/>
  <c r="X46" i="4"/>
  <c r="AA95" i="2"/>
  <c r="Q66" i="4"/>
  <c r="Q70" i="4" s="1"/>
  <c r="Q82" i="4" s="1"/>
  <c r="Q59" i="4"/>
  <c r="R56" i="4"/>
  <c r="W55" i="4"/>
  <c r="Z128" i="2"/>
  <c r="V77" i="4"/>
  <c r="V78" i="4" s="1"/>
  <c r="W33" i="4"/>
  <c r="W34" i="4" s="1"/>
  <c r="W35" i="4" l="1"/>
  <c r="Q80" i="4"/>
  <c r="P41" i="4"/>
  <c r="P43" i="4" s="1"/>
  <c r="P47" i="4" s="1"/>
  <c r="P61" i="4" s="1"/>
  <c r="X33" i="4"/>
  <c r="X34" i="4"/>
  <c r="X55" i="4"/>
  <c r="AA128" i="2"/>
  <c r="R66" i="4"/>
  <c r="R70" i="4" s="1"/>
  <c r="R82" i="4" s="1"/>
  <c r="R57" i="4"/>
  <c r="R59" i="4" s="1"/>
  <c r="S56" i="4"/>
  <c r="Y46" i="4"/>
  <c r="Y31" i="4"/>
  <c r="Y32" i="4" s="1"/>
  <c r="AB95" i="2"/>
  <c r="W77" i="4"/>
  <c r="W78" i="4" s="1"/>
  <c r="X67" i="4"/>
  <c r="Q84" i="4"/>
  <c r="Q41" i="4" s="1"/>
  <c r="Z46" i="4" l="1"/>
  <c r="Z31" i="4"/>
  <c r="Z32" i="4" s="1"/>
  <c r="AC95" i="2"/>
  <c r="X77" i="4"/>
  <c r="X78" i="4" s="1"/>
  <c r="Z67" i="4"/>
  <c r="Y33" i="4"/>
  <c r="Y34" i="4" s="1"/>
  <c r="X35" i="4"/>
  <c r="R80" i="4"/>
  <c r="R84" i="4" s="1"/>
  <c r="Q43" i="4"/>
  <c r="S66" i="4"/>
  <c r="S70" i="4" s="1"/>
  <c r="S82" i="4" s="1"/>
  <c r="S57" i="4"/>
  <c r="S59" i="4" s="1"/>
  <c r="T56" i="4"/>
  <c r="Y67" i="4"/>
  <c r="Y55" i="4"/>
  <c r="AB128" i="2"/>
  <c r="Q47" i="4" l="1"/>
  <c r="S80" i="4"/>
  <c r="S84" i="4" s="1"/>
  <c r="R41" i="4"/>
  <c r="R43" i="4" s="1"/>
  <c r="R47" i="4" s="1"/>
  <c r="R61" i="4" s="1"/>
  <c r="Y35" i="4"/>
  <c r="Y77" i="4"/>
  <c r="Y78" i="4" s="1"/>
  <c r="Z33" i="4"/>
  <c r="Z34" i="4" s="1"/>
  <c r="Z55" i="4"/>
  <c r="AC128" i="2"/>
  <c r="AA46" i="4"/>
  <c r="AA67" i="4" s="1"/>
  <c r="AA31" i="4"/>
  <c r="AA32" i="4" s="1"/>
  <c r="AD95" i="2"/>
  <c r="T66" i="4"/>
  <c r="T70" i="4" s="1"/>
  <c r="T82" i="4" s="1"/>
  <c r="T57" i="4"/>
  <c r="T59" i="4" s="1"/>
  <c r="U56" i="4"/>
  <c r="Q61" i="4" l="1"/>
  <c r="Q60" i="4"/>
  <c r="Z35" i="4"/>
  <c r="AA33" i="4"/>
  <c r="AA34" i="4" s="1"/>
  <c r="AA55" i="4"/>
  <c r="AD128" i="2"/>
  <c r="AB46" i="4"/>
  <c r="AB31" i="4"/>
  <c r="AB32" i="4" s="1"/>
  <c r="AE95" i="2"/>
  <c r="T80" i="4"/>
  <c r="T84" i="4" s="1"/>
  <c r="S41" i="4"/>
  <c r="S43" i="4" s="1"/>
  <c r="S47" i="4" s="1"/>
  <c r="S61" i="4" s="1"/>
  <c r="Z77" i="4"/>
  <c r="Z78" i="4" s="1"/>
  <c r="U66" i="4"/>
  <c r="U70" i="4" s="1"/>
  <c r="U82" i="4" s="1"/>
  <c r="U57" i="4"/>
  <c r="U59" i="4" s="1"/>
  <c r="V56" i="4"/>
  <c r="AA35" i="4" l="1"/>
  <c r="AB55" i="4"/>
  <c r="AE128" i="2"/>
  <c r="AA77" i="4"/>
  <c r="AA78" i="4" s="1"/>
  <c r="AC67" i="4"/>
  <c r="AC46" i="4"/>
  <c r="AC31" i="4"/>
  <c r="AC32" i="4" s="1"/>
  <c r="AF95" i="2"/>
  <c r="U80" i="4"/>
  <c r="U84" i="4" s="1"/>
  <c r="T41" i="4"/>
  <c r="T43" i="4" s="1"/>
  <c r="T47" i="4" s="1"/>
  <c r="T61" i="4" s="1"/>
  <c r="AB67" i="4"/>
  <c r="V66" i="4"/>
  <c r="V70" i="4" s="1"/>
  <c r="V82" i="4" s="1"/>
  <c r="V57" i="4"/>
  <c r="V59" i="4" s="1"/>
  <c r="W56" i="4"/>
  <c r="AB33" i="4"/>
  <c r="AB34" i="4" s="1"/>
  <c r="AB35" i="4" l="1"/>
  <c r="V80" i="4"/>
  <c r="V84" i="4" s="1"/>
  <c r="U41" i="4"/>
  <c r="U43" i="4" s="1"/>
  <c r="U47" i="4" s="1"/>
  <c r="U61" i="4" s="1"/>
  <c r="AD46" i="4"/>
  <c r="AD31" i="4"/>
  <c r="AD32" i="4" s="1"/>
  <c r="AG95" i="2"/>
  <c r="AC33" i="4"/>
  <c r="AC34" i="4" s="1"/>
  <c r="AC55" i="4"/>
  <c r="AF128" i="2"/>
  <c r="AB77" i="4"/>
  <c r="AB78" i="4" s="1"/>
  <c r="W66" i="4"/>
  <c r="W70" i="4" s="1"/>
  <c r="W82" i="4" s="1"/>
  <c r="W57" i="4"/>
  <c r="W59" i="4" s="1"/>
  <c r="X56" i="4"/>
  <c r="AC35" i="4" l="1"/>
  <c r="W80" i="4"/>
  <c r="V41" i="4"/>
  <c r="V43" i="4" s="1"/>
  <c r="V47" i="4" s="1"/>
  <c r="V61" i="4" s="1"/>
  <c r="AD33" i="4"/>
  <c r="AD34" i="4"/>
  <c r="AE46" i="4"/>
  <c r="AE67" i="4" s="1"/>
  <c r="AE31" i="4"/>
  <c r="AE32" i="4" s="1"/>
  <c r="AH95" i="2"/>
  <c r="AD55" i="4"/>
  <c r="AG128" i="2"/>
  <c r="W84" i="4"/>
  <c r="AD67" i="4"/>
  <c r="AC77" i="4"/>
  <c r="AC78" i="4" s="1"/>
  <c r="X66" i="4"/>
  <c r="X70" i="4" s="1"/>
  <c r="X82" i="4" s="1"/>
  <c r="X57" i="4"/>
  <c r="X59" i="4" s="1"/>
  <c r="Y56" i="4"/>
  <c r="AD35" i="4" l="1"/>
  <c r="AE55" i="4"/>
  <c r="AH128" i="2"/>
  <c r="AE33" i="4"/>
  <c r="AE34" i="4" s="1"/>
  <c r="AD77" i="4"/>
  <c r="AD78" i="4" s="1"/>
  <c r="Y66" i="4"/>
  <c r="Y70" i="4" s="1"/>
  <c r="Y82" i="4" s="1"/>
  <c r="Y57" i="4"/>
  <c r="Y59" i="4" s="1"/>
  <c r="Z56" i="4"/>
  <c r="X80" i="4"/>
  <c r="X84" i="4" s="1"/>
  <c r="W41" i="4"/>
  <c r="W43" i="4" s="1"/>
  <c r="W47" i="4" s="1"/>
  <c r="W61" i="4" s="1"/>
  <c r="AF31" i="4"/>
  <c r="AF32" i="4" s="1"/>
  <c r="AF46" i="4"/>
  <c r="AI95" i="2"/>
  <c r="AE35" i="4" l="1"/>
  <c r="Y80" i="4"/>
  <c r="X41" i="4"/>
  <c r="X43" i="4" s="1"/>
  <c r="X47" i="4" s="1"/>
  <c r="X61" i="4" s="1"/>
  <c r="Z66" i="4"/>
  <c r="Z70" i="4" s="1"/>
  <c r="Z82" i="4" s="1"/>
  <c r="Z57" i="4"/>
  <c r="Z59" i="4" s="1"/>
  <c r="AA56" i="4"/>
  <c r="AF55" i="4"/>
  <c r="AI128" i="2"/>
  <c r="Y84" i="4"/>
  <c r="AF67" i="4"/>
  <c r="AG46" i="4"/>
  <c r="AG31" i="4"/>
  <c r="AG32" i="4" s="1"/>
  <c r="AJ95" i="2"/>
  <c r="AE77" i="4"/>
  <c r="AE78" i="4" s="1"/>
  <c r="AF33" i="4"/>
  <c r="AF34" i="4"/>
  <c r="AH46" i="4" l="1"/>
  <c r="AH31" i="4"/>
  <c r="AH32" i="4" s="1"/>
  <c r="AK95" i="2"/>
  <c r="AF77" i="4"/>
  <c r="AF78" i="4" s="1"/>
  <c r="AH67" i="4"/>
  <c r="Z84" i="4"/>
  <c r="AG34" i="4"/>
  <c r="AG33" i="4"/>
  <c r="AA66" i="4"/>
  <c r="AA70" i="4" s="1"/>
  <c r="AA82" i="4" s="1"/>
  <c r="AA57" i="4"/>
  <c r="AA59" i="4" s="1"/>
  <c r="AB56" i="4"/>
  <c r="AF35" i="4"/>
  <c r="AG67" i="4"/>
  <c r="Z80" i="4"/>
  <c r="Y41" i="4"/>
  <c r="Y43" i="4" s="1"/>
  <c r="Y47" i="4" s="1"/>
  <c r="Y61" i="4" s="1"/>
  <c r="AG55" i="4"/>
  <c r="AJ128" i="2"/>
  <c r="AH55" i="4" l="1"/>
  <c r="AK128" i="2"/>
  <c r="AG35" i="4"/>
  <c r="AB66" i="4"/>
  <c r="AB70" i="4" s="1"/>
  <c r="AB82" i="4" s="1"/>
  <c r="AB57" i="4"/>
  <c r="AB59" i="4" s="1"/>
  <c r="AC56" i="4"/>
  <c r="AI46" i="4"/>
  <c r="AI31" i="4"/>
  <c r="AI32" i="4" s="1"/>
  <c r="AL95" i="2"/>
  <c r="AH33" i="4"/>
  <c r="AH34" i="4" s="1"/>
  <c r="AA80" i="4"/>
  <c r="AA84" i="4" s="1"/>
  <c r="Z41" i="4"/>
  <c r="Z43" i="4" s="1"/>
  <c r="Z47" i="4" s="1"/>
  <c r="Z61" i="4" s="1"/>
  <c r="AG77" i="4"/>
  <c r="AG78" i="4" s="1"/>
  <c r="AI67" i="4"/>
  <c r="AB80" i="4" l="1"/>
  <c r="AA41" i="4"/>
  <c r="AA43" i="4" s="1"/>
  <c r="AA47" i="4" s="1"/>
  <c r="AA61" i="4" s="1"/>
  <c r="AH35" i="4"/>
  <c r="AC66" i="4"/>
  <c r="AC70" i="4" s="1"/>
  <c r="AC82" i="4" s="1"/>
  <c r="AC57" i="4"/>
  <c r="AC59" i="4" s="1"/>
  <c r="AD56" i="4"/>
  <c r="AJ46" i="4"/>
  <c r="AJ31" i="4"/>
  <c r="AJ32" i="4" s="1"/>
  <c r="AM95" i="2"/>
  <c r="AI55" i="4"/>
  <c r="AL128" i="2"/>
  <c r="AB84" i="4"/>
  <c r="AI34" i="4"/>
  <c r="AI33" i="4"/>
  <c r="AJ67" i="4"/>
  <c r="AH77" i="4"/>
  <c r="AH78" i="4" s="1"/>
  <c r="AI35" i="4" l="1"/>
  <c r="AC80" i="4"/>
  <c r="AC84" i="4" s="1"/>
  <c r="AB41" i="4"/>
  <c r="AB43" i="4" s="1"/>
  <c r="AB47" i="4" s="1"/>
  <c r="AB61" i="4" s="1"/>
  <c r="AD66" i="4"/>
  <c r="AD70" i="4" s="1"/>
  <c r="AD82" i="4" s="1"/>
  <c r="AD57" i="4"/>
  <c r="AD59" i="4" s="1"/>
  <c r="AE56" i="4"/>
  <c r="AI77" i="4"/>
  <c r="AI78" i="4" s="1"/>
  <c r="AJ33" i="4"/>
  <c r="AJ34" i="4" s="1"/>
  <c r="AJ55" i="4"/>
  <c r="AM128" i="2"/>
  <c r="AK46" i="4"/>
  <c r="AK31" i="4"/>
  <c r="AK32" i="4" s="1"/>
  <c r="AN95" i="2"/>
  <c r="AK67" i="4"/>
  <c r="AJ35" i="4" l="1"/>
  <c r="AD80" i="4"/>
  <c r="AD84" i="4" s="1"/>
  <c r="AC41" i="4"/>
  <c r="AC43" i="4" s="1"/>
  <c r="AC47" i="4" s="1"/>
  <c r="AC61" i="4" s="1"/>
  <c r="AK55" i="4"/>
  <c r="AN128" i="2"/>
  <c r="AJ77" i="4"/>
  <c r="AJ78" i="4" s="1"/>
  <c r="AL31" i="4"/>
  <c r="AL32" i="4" s="1"/>
  <c r="AL46" i="4"/>
  <c r="AO95" i="2"/>
  <c r="AK33" i="4"/>
  <c r="AK34" i="4" s="1"/>
  <c r="AE66" i="4"/>
  <c r="AE70" i="4" s="1"/>
  <c r="AE82" i="4" s="1"/>
  <c r="AE57" i="4"/>
  <c r="AE59" i="4" s="1"/>
  <c r="AF56" i="4"/>
  <c r="AK35" i="4" l="1"/>
  <c r="AE80" i="4"/>
  <c r="AD41" i="4"/>
  <c r="AD43" i="4" s="1"/>
  <c r="AD47" i="4" s="1"/>
  <c r="AD61" i="4" s="1"/>
  <c r="AM67" i="4"/>
  <c r="AF66" i="4"/>
  <c r="AF70" i="4" s="1"/>
  <c r="AF82" i="4" s="1"/>
  <c r="AF57" i="4"/>
  <c r="AF59" i="4" s="1"/>
  <c r="AG56" i="4"/>
  <c r="AM31" i="4"/>
  <c r="AM32" i="4" s="1"/>
  <c r="AM46" i="4"/>
  <c r="AP95" i="2"/>
  <c r="AL55" i="4"/>
  <c r="AO128" i="2"/>
  <c r="AK77" i="4"/>
  <c r="AK78" i="4" s="1"/>
  <c r="AL33" i="4"/>
  <c r="AL34" i="4"/>
  <c r="AE84" i="4"/>
  <c r="AL67" i="4"/>
  <c r="AL77" i="4" l="1"/>
  <c r="AL78" i="4" s="1"/>
  <c r="AF80" i="4"/>
  <c r="AF84" i="4" s="1"/>
  <c r="AE41" i="4"/>
  <c r="AE43" i="4" s="1"/>
  <c r="AE47" i="4" s="1"/>
  <c r="AE61" i="4" s="1"/>
  <c r="AN31" i="4"/>
  <c r="AN32" i="4" s="1"/>
  <c r="AN46" i="4"/>
  <c r="AN67" i="4" s="1"/>
  <c r="AQ95" i="2"/>
  <c r="AL35" i="4"/>
  <c r="AM55" i="4"/>
  <c r="AP128" i="2"/>
  <c r="AM33" i="4"/>
  <c r="AM34" i="4" s="1"/>
  <c r="AG66" i="4"/>
  <c r="AG70" i="4" s="1"/>
  <c r="AG82" i="4" s="1"/>
  <c r="AG57" i="4"/>
  <c r="AG59" i="4" s="1"/>
  <c r="AH56" i="4"/>
  <c r="AM35" i="4" l="1"/>
  <c r="AG80" i="4"/>
  <c r="AG84" i="4" s="1"/>
  <c r="AF41" i="4"/>
  <c r="AF43" i="4" s="1"/>
  <c r="AF47" i="4" s="1"/>
  <c r="AF61" i="4" s="1"/>
  <c r="AN33" i="4"/>
  <c r="AN34" i="4"/>
  <c r="AH66" i="4"/>
  <c r="AH70" i="4" s="1"/>
  <c r="AH82" i="4" s="1"/>
  <c r="AH57" i="4"/>
  <c r="AH59" i="4" s="1"/>
  <c r="AI56" i="4"/>
  <c r="AN55" i="4"/>
  <c r="AQ128" i="2"/>
  <c r="AM77" i="4"/>
  <c r="AM78" i="4" s="1"/>
  <c r="AO67" i="4"/>
  <c r="AO46" i="4"/>
  <c r="AO31" i="4"/>
  <c r="AO32" i="4" s="1"/>
  <c r="AR95" i="2"/>
  <c r="AH80" i="4" l="1"/>
  <c r="AG41" i="4"/>
  <c r="AG43" i="4" s="1"/>
  <c r="AG47" i="4" s="1"/>
  <c r="AG61" i="4" s="1"/>
  <c r="AP46" i="4"/>
  <c r="AP31" i="4"/>
  <c r="AP32" i="4" s="1"/>
  <c r="AS95" i="2"/>
  <c r="AH84" i="4"/>
  <c r="AN35" i="4"/>
  <c r="AO33" i="4"/>
  <c r="AO34" i="4" s="1"/>
  <c r="AO55" i="4"/>
  <c r="AR128" i="2"/>
  <c r="AP67" i="4"/>
  <c r="AN77" i="4"/>
  <c r="AN78" i="4" s="1"/>
  <c r="AI66" i="4"/>
  <c r="AI70" i="4" s="1"/>
  <c r="AI82" i="4" s="1"/>
  <c r="AI57" i="4"/>
  <c r="AI59" i="4" s="1"/>
  <c r="AJ56" i="4"/>
  <c r="AO35" i="4" l="1"/>
  <c r="AQ46" i="4"/>
  <c r="AQ31" i="4"/>
  <c r="AQ32" i="4" s="1"/>
  <c r="AT95" i="2"/>
  <c r="AI80" i="4"/>
  <c r="AH41" i="4"/>
  <c r="AH43" i="4" s="1"/>
  <c r="AH47" i="4" s="1"/>
  <c r="AH61" i="4" s="1"/>
  <c r="AO77" i="4"/>
  <c r="AO78" i="4" s="1"/>
  <c r="AJ66" i="4"/>
  <c r="AJ70" i="4" s="1"/>
  <c r="AJ82" i="4" s="1"/>
  <c r="AJ57" i="4"/>
  <c r="AJ59" i="4" s="1"/>
  <c r="AK56" i="4"/>
  <c r="AI84" i="4"/>
  <c r="AP55" i="4"/>
  <c r="AS128" i="2"/>
  <c r="AP33" i="4"/>
  <c r="AP34" i="4" s="1"/>
  <c r="AQ67" i="4"/>
  <c r="AP35" i="4" l="1"/>
  <c r="AP77" i="4"/>
  <c r="AP78" i="4" s="1"/>
  <c r="AK66" i="4"/>
  <c r="AK70" i="4" s="1"/>
  <c r="AK82" i="4" s="1"/>
  <c r="AK57" i="4"/>
  <c r="AK59" i="4" s="1"/>
  <c r="AL56" i="4"/>
  <c r="AQ33" i="4"/>
  <c r="AQ34" i="4" s="1"/>
  <c r="AJ80" i="4"/>
  <c r="AJ84" i="4" s="1"/>
  <c r="AI41" i="4"/>
  <c r="AI43" i="4" s="1"/>
  <c r="AI47" i="4" s="1"/>
  <c r="AI61" i="4" s="1"/>
  <c r="AR46" i="4"/>
  <c r="AR31" i="4"/>
  <c r="AR32" i="4" s="1"/>
  <c r="AU95" i="2"/>
  <c r="AQ55" i="4"/>
  <c r="AT128" i="2"/>
  <c r="AK80" i="4" l="1"/>
  <c r="AJ41" i="4"/>
  <c r="AJ43" i="4" s="1"/>
  <c r="AJ47" i="4" s="1"/>
  <c r="AJ61" i="4" s="1"/>
  <c r="AQ35" i="4"/>
  <c r="AR33" i="4"/>
  <c r="AR34" i="4" s="1"/>
  <c r="AL66" i="4"/>
  <c r="AL70" i="4" s="1"/>
  <c r="AL82" i="4" s="1"/>
  <c r="AL57" i="4"/>
  <c r="AL59" i="4" s="1"/>
  <c r="AM56" i="4"/>
  <c r="AK84" i="4"/>
  <c r="AS46" i="4"/>
  <c r="AS31" i="4"/>
  <c r="AS32" i="4" s="1"/>
  <c r="AV95" i="2"/>
  <c r="AR55" i="4"/>
  <c r="AU128" i="2"/>
  <c r="AQ77" i="4"/>
  <c r="AQ78" i="4" s="1"/>
  <c r="AR67" i="4"/>
  <c r="AR35" i="4" l="1"/>
  <c r="AT46" i="4"/>
  <c r="AT31" i="4"/>
  <c r="AT32" i="4" s="1"/>
  <c r="AW95" i="2"/>
  <c r="AT67" i="4"/>
  <c r="AM66" i="4"/>
  <c r="AM70" i="4" s="1"/>
  <c r="AM82" i="4" s="1"/>
  <c r="AM57" i="4"/>
  <c r="AM59" i="4" s="1"/>
  <c r="AN56" i="4"/>
  <c r="AS33" i="4"/>
  <c r="AS34" i="4" s="1"/>
  <c r="AS67" i="4"/>
  <c r="AL80" i="4"/>
  <c r="AL84" i="4" s="1"/>
  <c r="AK41" i="4"/>
  <c r="AK43" i="4" s="1"/>
  <c r="AK47" i="4" s="1"/>
  <c r="AK61" i="4" s="1"/>
  <c r="AS55" i="4"/>
  <c r="AV128" i="2"/>
  <c r="AR77" i="4"/>
  <c r="AR78" i="4" s="1"/>
  <c r="AM80" i="4" l="1"/>
  <c r="AM84" i="4" s="1"/>
  <c r="AL41" i="4"/>
  <c r="AL43" i="4" s="1"/>
  <c r="AL47" i="4" s="1"/>
  <c r="AL61" i="4" s="1"/>
  <c r="AS35" i="4"/>
  <c r="AS77" i="4"/>
  <c r="AS78" i="4" s="1"/>
  <c r="AT34" i="4"/>
  <c r="AT33" i="4"/>
  <c r="AU46" i="4"/>
  <c r="AU31" i="4"/>
  <c r="AU32" i="4" s="1"/>
  <c r="AX95" i="2"/>
  <c r="AT55" i="4"/>
  <c r="AW128" i="2"/>
  <c r="AN66" i="4"/>
  <c r="AN70" i="4" s="1"/>
  <c r="AN82" i="4" s="1"/>
  <c r="AN57" i="4"/>
  <c r="AN59" i="4" s="1"/>
  <c r="AO56" i="4"/>
  <c r="AV31" i="4" l="1"/>
  <c r="AV32" i="4" s="1"/>
  <c r="AV46" i="4"/>
  <c r="AY95" i="2"/>
  <c r="AV67" i="4"/>
  <c r="AT35" i="4"/>
  <c r="AU33" i="4"/>
  <c r="AU34" i="4"/>
  <c r="AO66" i="4"/>
  <c r="AO70" i="4" s="1"/>
  <c r="AO82" i="4" s="1"/>
  <c r="AO57" i="4"/>
  <c r="AO59" i="4" s="1"/>
  <c r="AP56" i="4"/>
  <c r="AN84" i="4"/>
  <c r="AU67" i="4"/>
  <c r="AT77" i="4"/>
  <c r="AT78" i="4" s="1"/>
  <c r="AM41" i="4"/>
  <c r="AM43" i="4" s="1"/>
  <c r="AM47" i="4" s="1"/>
  <c r="AM61" i="4" s="1"/>
  <c r="AN80" i="4"/>
  <c r="AU55" i="4"/>
  <c r="AX128" i="2"/>
  <c r="AW46" i="4" l="1"/>
  <c r="AW31" i="4"/>
  <c r="AW32" i="4" s="1"/>
  <c r="AZ95" i="2"/>
  <c r="AU77" i="4"/>
  <c r="AU78" i="4" s="1"/>
  <c r="AP66" i="4"/>
  <c r="AP70" i="4" s="1"/>
  <c r="AP82" i="4" s="1"/>
  <c r="AP57" i="4"/>
  <c r="AP59" i="4" s="1"/>
  <c r="AQ56" i="4"/>
  <c r="AW67" i="4"/>
  <c r="AU35" i="4"/>
  <c r="AV55" i="4"/>
  <c r="AY128" i="2"/>
  <c r="AO80" i="4"/>
  <c r="AO84" i="4" s="1"/>
  <c r="AN41" i="4"/>
  <c r="AN43" i="4" s="1"/>
  <c r="AN47" i="4" s="1"/>
  <c r="AN61" i="4" s="1"/>
  <c r="AV33" i="4"/>
  <c r="AV34" i="4"/>
  <c r="AP80" i="4" l="1"/>
  <c r="AO41" i="4"/>
  <c r="AO43" i="4" s="1"/>
  <c r="AO47" i="4" s="1"/>
  <c r="AO61" i="4" s="1"/>
  <c r="AW55" i="4"/>
  <c r="AZ128" i="2"/>
  <c r="AV77" i="4"/>
  <c r="AV78" i="4" s="1"/>
  <c r="AV35" i="4"/>
  <c r="AP84" i="4"/>
  <c r="AX46" i="4"/>
  <c r="AX31" i="4"/>
  <c r="AX32" i="4" s="1"/>
  <c r="BA95" i="2"/>
  <c r="AW33" i="4"/>
  <c r="AW34" i="4" s="1"/>
  <c r="AQ66" i="4"/>
  <c r="AQ70" i="4" s="1"/>
  <c r="AQ82" i="4" s="1"/>
  <c r="AQ57" i="4"/>
  <c r="AQ59" i="4" s="1"/>
  <c r="AR56" i="4"/>
  <c r="AW35" i="4" l="1"/>
  <c r="AX33" i="4"/>
  <c r="AX34" i="4"/>
  <c r="AR66" i="4"/>
  <c r="AR70" i="4" s="1"/>
  <c r="AR82" i="4" s="1"/>
  <c r="AR57" i="4"/>
  <c r="AR59" i="4" s="1"/>
  <c r="AS56" i="4"/>
  <c r="AX55" i="4"/>
  <c r="BA128" i="2"/>
  <c r="AY46" i="4"/>
  <c r="AY31" i="4"/>
  <c r="AY32" i="4" s="1"/>
  <c r="BB95" i="2"/>
  <c r="AY67" i="4"/>
  <c r="AQ80" i="4"/>
  <c r="AQ84" i="4" s="1"/>
  <c r="AP41" i="4"/>
  <c r="AP43" i="4" s="1"/>
  <c r="AP47" i="4" s="1"/>
  <c r="AP61" i="4" s="1"/>
  <c r="AX67" i="4"/>
  <c r="AW77" i="4"/>
  <c r="AW78" i="4" s="1"/>
  <c r="AR80" i="4" l="1"/>
  <c r="AQ41" i="4"/>
  <c r="AQ43" i="4" s="1"/>
  <c r="AQ47" i="4" s="1"/>
  <c r="AQ61" i="4" s="1"/>
  <c r="AZ46" i="4"/>
  <c r="AZ31" i="4"/>
  <c r="AZ32" i="4" s="1"/>
  <c r="BC95" i="2"/>
  <c r="AR84" i="4"/>
  <c r="AS66" i="4"/>
  <c r="AS70" i="4" s="1"/>
  <c r="AS82" i="4" s="1"/>
  <c r="AS57" i="4"/>
  <c r="AS59" i="4" s="1"/>
  <c r="AT56" i="4"/>
  <c r="AY55" i="4"/>
  <c r="BB128" i="2"/>
  <c r="AY33" i="4"/>
  <c r="AY34" i="4" s="1"/>
  <c r="AX35" i="4"/>
  <c r="AX77" i="4"/>
  <c r="AX78" i="4" s="1"/>
  <c r="AY35" i="4" l="1"/>
  <c r="AS80" i="4"/>
  <c r="AS84" i="4" s="1"/>
  <c r="AR41" i="4"/>
  <c r="AR43" i="4" s="1"/>
  <c r="AR47" i="4" s="1"/>
  <c r="AR61" i="4" s="1"/>
  <c r="AZ55" i="4"/>
  <c r="BC128" i="2"/>
  <c r="AZ34" i="4"/>
  <c r="AZ33" i="4"/>
  <c r="BA46" i="4"/>
  <c r="BA31" i="4"/>
  <c r="BA32" i="4" s="1"/>
  <c r="BD95" i="2"/>
  <c r="AY77" i="4"/>
  <c r="AY78" i="4" s="1"/>
  <c r="AZ67" i="4"/>
  <c r="AT66" i="4"/>
  <c r="AT70" i="4" s="1"/>
  <c r="AT82" i="4" s="1"/>
  <c r="AT57" i="4"/>
  <c r="AT59" i="4" s="1"/>
  <c r="AU56" i="4"/>
  <c r="AT80" i="4" l="1"/>
  <c r="AS41" i="4"/>
  <c r="AS43" i="4" s="1"/>
  <c r="AS47" i="4" s="1"/>
  <c r="AS61" i="4" s="1"/>
  <c r="BB31" i="4"/>
  <c r="BB32" i="4" s="1"/>
  <c r="BB46" i="4"/>
  <c r="BE95" i="2"/>
  <c r="AZ77" i="4"/>
  <c r="AZ78" i="4" s="1"/>
  <c r="AU66" i="4"/>
  <c r="AU70" i="4" s="1"/>
  <c r="AU82" i="4" s="1"/>
  <c r="AU57" i="4"/>
  <c r="AU59" i="4" s="1"/>
  <c r="AV56" i="4"/>
  <c r="AZ35" i="4"/>
  <c r="BB67" i="4"/>
  <c r="BA55" i="4"/>
  <c r="BD128" i="2"/>
  <c r="BA33" i="4"/>
  <c r="BA34" i="4" s="1"/>
  <c r="AT84" i="4"/>
  <c r="BA67" i="4"/>
  <c r="BA35" i="4" l="1"/>
  <c r="BB55" i="4"/>
  <c r="BE128" i="2"/>
  <c r="BC31" i="4"/>
  <c r="BC32" i="4" s="1"/>
  <c r="BC46" i="4"/>
  <c r="BF95" i="2"/>
  <c r="AU80" i="4"/>
  <c r="AU84" i="4" s="1"/>
  <c r="AT41" i="4"/>
  <c r="AT43" i="4" s="1"/>
  <c r="AT47" i="4" s="1"/>
  <c r="AT61" i="4" s="1"/>
  <c r="BB33" i="4"/>
  <c r="BB34" i="4" s="1"/>
  <c r="AV66" i="4"/>
  <c r="AV70" i="4" s="1"/>
  <c r="AV82" i="4" s="1"/>
  <c r="AV57" i="4"/>
  <c r="AV59" i="4" s="1"/>
  <c r="AW56" i="4"/>
  <c r="BA77" i="4"/>
  <c r="BA78" i="4" s="1"/>
  <c r="BB35" i="4" l="1"/>
  <c r="BD31" i="4"/>
  <c r="BD32" i="4" s="1"/>
  <c r="BD46" i="4"/>
  <c r="BG95" i="2"/>
  <c r="AW66" i="4"/>
  <c r="AW70" i="4" s="1"/>
  <c r="AW82" i="4" s="1"/>
  <c r="AW57" i="4"/>
  <c r="AW59" i="4" s="1"/>
  <c r="AX56" i="4"/>
  <c r="BC33" i="4"/>
  <c r="BC34" i="4"/>
  <c r="AV80" i="4"/>
  <c r="AV84" i="4" s="1"/>
  <c r="AU41" i="4"/>
  <c r="AU43" i="4" s="1"/>
  <c r="AU47" i="4" s="1"/>
  <c r="AU61" i="4" s="1"/>
  <c r="BD67" i="4"/>
  <c r="BB77" i="4"/>
  <c r="BB78" i="4" s="1"/>
  <c r="BC55" i="4"/>
  <c r="BF128" i="2"/>
  <c r="BC67" i="4"/>
  <c r="BE46" i="4" l="1"/>
  <c r="BE31" i="4"/>
  <c r="BE32" i="4" s="1"/>
  <c r="BH95" i="2"/>
  <c r="BD55" i="4"/>
  <c r="BG128" i="2"/>
  <c r="AX66" i="4"/>
  <c r="AX70" i="4" s="1"/>
  <c r="AX82" i="4" s="1"/>
  <c r="AX57" i="4"/>
  <c r="AX59" i="4" s="1"/>
  <c r="AY56" i="4"/>
  <c r="AW80" i="4"/>
  <c r="AW84" i="4" s="1"/>
  <c r="AV41" i="4"/>
  <c r="AV43" i="4" s="1"/>
  <c r="AV47" i="4" s="1"/>
  <c r="AV61" i="4" s="1"/>
  <c r="BE67" i="4"/>
  <c r="BD33" i="4"/>
  <c r="BD34" i="4"/>
  <c r="BC77" i="4"/>
  <c r="BC78" i="4" s="1"/>
  <c r="BC35" i="4"/>
  <c r="AX80" i="4" l="1"/>
  <c r="AW41" i="4"/>
  <c r="AW43" i="4" s="1"/>
  <c r="AW47" i="4" s="1"/>
  <c r="AW61" i="4" s="1"/>
  <c r="BE55" i="4"/>
  <c r="BH128" i="2"/>
  <c r="BD77" i="4"/>
  <c r="BD78" i="4" s="1"/>
  <c r="AX84" i="4"/>
  <c r="BF46" i="4"/>
  <c r="BF31" i="4"/>
  <c r="BF32" i="4" s="1"/>
  <c r="BI95" i="2"/>
  <c r="BD35" i="4"/>
  <c r="BE33" i="4"/>
  <c r="BE34" i="4"/>
  <c r="AY66" i="4"/>
  <c r="AY70" i="4" s="1"/>
  <c r="AY82" i="4" s="1"/>
  <c r="AY57" i="4"/>
  <c r="AY59" i="4" s="1"/>
  <c r="AZ56" i="4"/>
  <c r="AY80" i="4" l="1"/>
  <c r="AX41" i="4"/>
  <c r="AX43" i="4" s="1"/>
  <c r="AX47" i="4" s="1"/>
  <c r="AX61" i="4" s="1"/>
  <c r="BF55" i="4"/>
  <c r="BI128" i="2"/>
  <c r="BF67" i="4"/>
  <c r="AZ66" i="4"/>
  <c r="AZ70" i="4" s="1"/>
  <c r="AZ82" i="4" s="1"/>
  <c r="AZ57" i="4"/>
  <c r="AZ59" i="4" s="1"/>
  <c r="BA56" i="4"/>
  <c r="AY84" i="4"/>
  <c r="BE35" i="4"/>
  <c r="BE77" i="4"/>
  <c r="BE78" i="4" s="1"/>
  <c r="BG46" i="4"/>
  <c r="BG31" i="4"/>
  <c r="BG32" i="4" s="1"/>
  <c r="BJ95" i="2"/>
  <c r="BF33" i="4"/>
  <c r="BF34" i="4"/>
  <c r="BF35" i="4" l="1"/>
  <c r="BF77" i="4"/>
  <c r="BF78" i="4" s="1"/>
  <c r="BH46" i="4"/>
  <c r="BH31" i="4"/>
  <c r="BH32" i="4" s="1"/>
  <c r="BK95" i="2"/>
  <c r="BG55" i="4"/>
  <c r="BJ128" i="2"/>
  <c r="AZ80" i="4"/>
  <c r="AZ84" i="4" s="1"/>
  <c r="AY41" i="4"/>
  <c r="AY43" i="4" s="1"/>
  <c r="AY47" i="4" s="1"/>
  <c r="AY61" i="4" s="1"/>
  <c r="BG34" i="4"/>
  <c r="BG33" i="4"/>
  <c r="BA66" i="4"/>
  <c r="BA70" i="4" s="1"/>
  <c r="BA82" i="4" s="1"/>
  <c r="BA57" i="4"/>
  <c r="BA59" i="4" s="1"/>
  <c r="BB56" i="4"/>
  <c r="BG67" i="4"/>
  <c r="BA80" i="4" l="1"/>
  <c r="AZ41" i="4"/>
  <c r="AZ43" i="4" s="1"/>
  <c r="AZ47" i="4" s="1"/>
  <c r="AZ61" i="4" s="1"/>
  <c r="BI67" i="4"/>
  <c r="BG35" i="4"/>
  <c r="BG77" i="4"/>
  <c r="BG78" i="4" s="1"/>
  <c r="BI46" i="4"/>
  <c r="BI31" i="4"/>
  <c r="BI32" i="4" s="1"/>
  <c r="BL95" i="2"/>
  <c r="BH55" i="4"/>
  <c r="BK128" i="2"/>
  <c r="BB66" i="4"/>
  <c r="BB70" i="4" s="1"/>
  <c r="BB82" i="4" s="1"/>
  <c r="BB57" i="4"/>
  <c r="BB59" i="4" s="1"/>
  <c r="BC56" i="4"/>
  <c r="BH67" i="4"/>
  <c r="BA84" i="4"/>
  <c r="BH33" i="4"/>
  <c r="BH34" i="4" s="1"/>
  <c r="BH35" i="4" l="1"/>
  <c r="BJ46" i="4"/>
  <c r="BJ31" i="4"/>
  <c r="BJ32" i="4" s="1"/>
  <c r="BM95" i="2"/>
  <c r="BC66" i="4"/>
  <c r="BC70" i="4" s="1"/>
  <c r="BC82" i="4" s="1"/>
  <c r="BC57" i="4"/>
  <c r="BC59" i="4" s="1"/>
  <c r="BD56" i="4"/>
  <c r="BI55" i="4"/>
  <c r="BL128" i="2"/>
  <c r="BH77" i="4"/>
  <c r="BH78" i="4" s="1"/>
  <c r="BB80" i="4"/>
  <c r="BB84" i="4" s="1"/>
  <c r="BA41" i="4"/>
  <c r="BA43" i="4" s="1"/>
  <c r="BA47" i="4" s="1"/>
  <c r="BA61" i="4" s="1"/>
  <c r="BI33" i="4"/>
  <c r="BI34" i="4"/>
  <c r="BJ67" i="4"/>
  <c r="BC80" i="4" l="1"/>
  <c r="BB41" i="4"/>
  <c r="BB43" i="4" s="1"/>
  <c r="BB47" i="4" s="1"/>
  <c r="BB61" i="4" s="1"/>
  <c r="BK46" i="4"/>
  <c r="BN95" i="2"/>
  <c r="BK31" i="4"/>
  <c r="BK32" i="4" s="1"/>
  <c r="BJ33" i="4"/>
  <c r="BJ34" i="4" s="1"/>
  <c r="BJ55" i="4"/>
  <c r="BM128" i="2"/>
  <c r="BI35" i="4"/>
  <c r="BC84" i="4"/>
  <c r="BK67" i="4"/>
  <c r="BI77" i="4"/>
  <c r="BI78" i="4" s="1"/>
  <c r="BD66" i="4"/>
  <c r="BD70" i="4" s="1"/>
  <c r="BD82" i="4" s="1"/>
  <c r="BD57" i="4"/>
  <c r="BD59" i="4" s="1"/>
  <c r="BE56" i="4"/>
  <c r="BJ35" i="4" l="1"/>
  <c r="BD80" i="4"/>
  <c r="BC41" i="4"/>
  <c r="BC43" i="4" s="1"/>
  <c r="BC47" i="4" s="1"/>
  <c r="BC61" i="4" s="1"/>
  <c r="BE66" i="4"/>
  <c r="BE70" i="4" s="1"/>
  <c r="BE82" i="4" s="1"/>
  <c r="BE57" i="4"/>
  <c r="BE59" i="4" s="1"/>
  <c r="BF56" i="4"/>
  <c r="BK33" i="4"/>
  <c r="BK34" i="4"/>
  <c r="BD84" i="4"/>
  <c r="BK55" i="4"/>
  <c r="BN128" i="2"/>
  <c r="BL31" i="4"/>
  <c r="BL32" i="4" s="1"/>
  <c r="BL46" i="4"/>
  <c r="BL67" i="4" s="1"/>
  <c r="BO95" i="2"/>
  <c r="BJ77" i="4"/>
  <c r="BJ78" i="4" s="1"/>
  <c r="BL33" i="4" l="1"/>
  <c r="BL34" i="4" s="1"/>
  <c r="BL55" i="4"/>
  <c r="BO128" i="2"/>
  <c r="BK35" i="4"/>
  <c r="BM67" i="4"/>
  <c r="BF66" i="4"/>
  <c r="BF70" i="4" s="1"/>
  <c r="BF82" i="4" s="1"/>
  <c r="BF57" i="4"/>
  <c r="BF59" i="4" s="1"/>
  <c r="BG56" i="4"/>
  <c r="BK77" i="4"/>
  <c r="BK78" i="4" s="1"/>
  <c r="BE80" i="4"/>
  <c r="BE84" i="4" s="1"/>
  <c r="BD41" i="4"/>
  <c r="BD43" i="4" s="1"/>
  <c r="BD47" i="4" s="1"/>
  <c r="BD61" i="4" s="1"/>
  <c r="BM46" i="4"/>
  <c r="BM31" i="4"/>
  <c r="BM32" i="4" s="1"/>
  <c r="BP95" i="2"/>
  <c r="BF80" i="4" l="1"/>
  <c r="BE41" i="4"/>
  <c r="BE43" i="4" s="1"/>
  <c r="BE47" i="4" s="1"/>
  <c r="BE61" i="4" s="1"/>
  <c r="BL35" i="4"/>
  <c r="BM55" i="4"/>
  <c r="BP128" i="2"/>
  <c r="BL77" i="4"/>
  <c r="BL78" i="4" s="1"/>
  <c r="BN46" i="4"/>
  <c r="BN31" i="4"/>
  <c r="BN32" i="4" s="1"/>
  <c r="BQ95" i="2"/>
  <c r="BG66" i="4"/>
  <c r="BG70" i="4" s="1"/>
  <c r="BG82" i="4" s="1"/>
  <c r="BG57" i="4"/>
  <c r="BG59" i="4" s="1"/>
  <c r="BH56" i="4"/>
  <c r="BM33" i="4"/>
  <c r="BM34" i="4" s="1"/>
  <c r="BN67" i="4"/>
  <c r="BF84" i="4"/>
  <c r="BM35" i="4" l="1"/>
  <c r="BH66" i="4"/>
  <c r="BH70" i="4" s="1"/>
  <c r="BH82" i="4" s="1"/>
  <c r="BH57" i="4"/>
  <c r="BH59" i="4" s="1"/>
  <c r="BI56" i="4"/>
  <c r="BG84" i="4"/>
  <c r="BO46" i="4"/>
  <c r="BO31" i="4"/>
  <c r="BO32" i="4" s="1"/>
  <c r="BR95" i="2"/>
  <c r="BN33" i="4"/>
  <c r="BN34" i="4"/>
  <c r="BN55" i="4"/>
  <c r="BQ128" i="2"/>
  <c r="BM77" i="4"/>
  <c r="BM78" i="4" s="1"/>
  <c r="BG80" i="4"/>
  <c r="BF41" i="4"/>
  <c r="BF43" i="4" s="1"/>
  <c r="BF47" i="4" s="1"/>
  <c r="BF61" i="4" s="1"/>
  <c r="BO67" i="4"/>
  <c r="BH80" i="4" l="1"/>
  <c r="BG41" i="4"/>
  <c r="BG43" i="4" s="1"/>
  <c r="BG47" i="4" s="1"/>
  <c r="BG61" i="4" s="1"/>
  <c r="BI66" i="4"/>
  <c r="BI70" i="4" s="1"/>
  <c r="BI82" i="4" s="1"/>
  <c r="BI57" i="4"/>
  <c r="BI59" i="4" s="1"/>
  <c r="BJ56" i="4"/>
  <c r="BH84" i="4"/>
  <c r="BO55" i="4"/>
  <c r="BR128" i="2"/>
  <c r="BN77" i="4"/>
  <c r="BN78" i="4" s="1"/>
  <c r="BN35" i="4"/>
  <c r="BP46" i="4"/>
  <c r="BP31" i="4"/>
  <c r="BP32" i="4" s="1"/>
  <c r="BS95" i="2"/>
  <c r="BO33" i="4"/>
  <c r="BO34" i="4" s="1"/>
  <c r="BO35" i="4" l="1"/>
  <c r="BQ67" i="4"/>
  <c r="BP33" i="4"/>
  <c r="BP34" i="4"/>
  <c r="BH41" i="4"/>
  <c r="BH43" i="4" s="1"/>
  <c r="BH47" i="4" s="1"/>
  <c r="BH61" i="4" s="1"/>
  <c r="BI80" i="4"/>
  <c r="BI84" i="4" s="1"/>
  <c r="BJ66" i="4"/>
  <c r="BJ70" i="4" s="1"/>
  <c r="BJ82" i="4" s="1"/>
  <c r="BJ57" i="4"/>
  <c r="BJ59" i="4" s="1"/>
  <c r="BK56" i="4"/>
  <c r="BP67" i="4"/>
  <c r="BO77" i="4"/>
  <c r="BO78" i="4" s="1"/>
  <c r="BQ46" i="4"/>
  <c r="BQ31" i="4"/>
  <c r="BQ32" i="4" s="1"/>
  <c r="BT95" i="2"/>
  <c r="BP55" i="4"/>
  <c r="BS128" i="2"/>
  <c r="BJ80" i="4" l="1"/>
  <c r="BI41" i="4"/>
  <c r="BI43" i="4" s="1"/>
  <c r="BI47" i="4" s="1"/>
  <c r="BI61" i="4" s="1"/>
  <c r="BP77" i="4"/>
  <c r="BP78" i="4" s="1"/>
  <c r="BP35" i="4"/>
  <c r="BR31" i="4"/>
  <c r="BR32" i="4" s="1"/>
  <c r="BR46" i="4"/>
  <c r="BU95" i="2"/>
  <c r="BK66" i="4"/>
  <c r="BK70" i="4" s="1"/>
  <c r="BK82" i="4" s="1"/>
  <c r="BK57" i="4"/>
  <c r="BK59" i="4" s="1"/>
  <c r="BL56" i="4"/>
  <c r="BQ55" i="4"/>
  <c r="BT128" i="2"/>
  <c r="BQ33" i="4"/>
  <c r="BQ34" i="4" s="1"/>
  <c r="BR67" i="4"/>
  <c r="BJ84" i="4"/>
  <c r="BQ35" i="4" l="1"/>
  <c r="BL66" i="4"/>
  <c r="BL70" i="4" s="1"/>
  <c r="BL82" i="4" s="1"/>
  <c r="BL57" i="4"/>
  <c r="BL59" i="4" s="1"/>
  <c r="BM56" i="4"/>
  <c r="BJ41" i="4"/>
  <c r="BJ43" i="4" s="1"/>
  <c r="BJ47" i="4" s="1"/>
  <c r="BJ61" i="4" s="1"/>
  <c r="BK80" i="4"/>
  <c r="BK84" i="4" s="1"/>
  <c r="BR34" i="4"/>
  <c r="BR33" i="4"/>
  <c r="BS31" i="4"/>
  <c r="BS32" i="4" s="1"/>
  <c r="BS46" i="4"/>
  <c r="BV95" i="2"/>
  <c r="BR55" i="4"/>
  <c r="BU128" i="2"/>
  <c r="BQ77" i="4"/>
  <c r="BQ78" i="4" s="1"/>
  <c r="BL80" i="4" l="1"/>
  <c r="BK41" i="4"/>
  <c r="BK43" i="4" s="1"/>
  <c r="BK47" i="4" s="1"/>
  <c r="BK61" i="4" s="1"/>
  <c r="BT31" i="4"/>
  <c r="BT32" i="4" s="1"/>
  <c r="BT46" i="4"/>
  <c r="BW95" i="2"/>
  <c r="BS55" i="4"/>
  <c r="BV128" i="2"/>
  <c r="BR77" i="4"/>
  <c r="BR78" i="4" s="1"/>
  <c r="BS33" i="4"/>
  <c r="BS34" i="4"/>
  <c r="BR35" i="4"/>
  <c r="BM66" i="4"/>
  <c r="BM70" i="4" s="1"/>
  <c r="BM82" i="4" s="1"/>
  <c r="BM57" i="4"/>
  <c r="BM59" i="4" s="1"/>
  <c r="BN56" i="4"/>
  <c r="BS67" i="4"/>
  <c r="BL84" i="4"/>
  <c r="BT55" i="4" l="1"/>
  <c r="BW128" i="2"/>
  <c r="BS77" i="4"/>
  <c r="BS78" i="4" s="1"/>
  <c r="BU67" i="4"/>
  <c r="BT33" i="4"/>
  <c r="BT34" i="4" s="1"/>
  <c r="BT67" i="4"/>
  <c r="BU46" i="4"/>
  <c r="BU31" i="4"/>
  <c r="BU32" i="4" s="1"/>
  <c r="BX95" i="2"/>
  <c r="BM80" i="4"/>
  <c r="BM84" i="4" s="1"/>
  <c r="BL41" i="4"/>
  <c r="BL43" i="4" s="1"/>
  <c r="BL47" i="4" s="1"/>
  <c r="BL61" i="4" s="1"/>
  <c r="BS35" i="4"/>
  <c r="BN66" i="4"/>
  <c r="BN70" i="4" s="1"/>
  <c r="BN82" i="4" s="1"/>
  <c r="BN57" i="4"/>
  <c r="BN59" i="4" s="1"/>
  <c r="BO56" i="4"/>
  <c r="BT35" i="4" l="1"/>
  <c r="BN80" i="4"/>
  <c r="BN84" i="4" s="1"/>
  <c r="BM41" i="4"/>
  <c r="BM43" i="4" s="1"/>
  <c r="BM47" i="4" s="1"/>
  <c r="BM61" i="4" s="1"/>
  <c r="BU33" i="4"/>
  <c r="BU34" i="4" s="1"/>
  <c r="BU55" i="4"/>
  <c r="BX128" i="2"/>
  <c r="BV46" i="4"/>
  <c r="BV31" i="4"/>
  <c r="BV32" i="4" s="1"/>
  <c r="BY95" i="2"/>
  <c r="BO66" i="4"/>
  <c r="BO70" i="4" s="1"/>
  <c r="BO82" i="4" s="1"/>
  <c r="BO57" i="4"/>
  <c r="BO59" i="4" s="1"/>
  <c r="BP56" i="4"/>
  <c r="BT77" i="4"/>
  <c r="BT78" i="4" s="1"/>
  <c r="BU35" i="4" l="1"/>
  <c r="BO80" i="4"/>
  <c r="BN41" i="4"/>
  <c r="BN43" i="4" s="1"/>
  <c r="BN47" i="4" s="1"/>
  <c r="BN61" i="4" s="1"/>
  <c r="BU77" i="4"/>
  <c r="BU78" i="4" s="1"/>
  <c r="BO84" i="4"/>
  <c r="BP66" i="4"/>
  <c r="BP70" i="4" s="1"/>
  <c r="BP82" i="4" s="1"/>
  <c r="BP57" i="4"/>
  <c r="BP59" i="4" s="1"/>
  <c r="BQ56" i="4"/>
  <c r="BW46" i="4"/>
  <c r="BW31" i="4"/>
  <c r="BW32" i="4" s="1"/>
  <c r="BZ95" i="2"/>
  <c r="BW67" i="4"/>
  <c r="BV33" i="4"/>
  <c r="BV34" i="4"/>
  <c r="BV67" i="4"/>
  <c r="BV55" i="4"/>
  <c r="BY128" i="2"/>
  <c r="BX46" i="4" l="1"/>
  <c r="BX31" i="4"/>
  <c r="BX32" i="4" s="1"/>
  <c r="CA95" i="2"/>
  <c r="BW55" i="4"/>
  <c r="BZ128" i="2"/>
  <c r="BV77" i="4"/>
  <c r="BV78" i="4" s="1"/>
  <c r="BP80" i="4"/>
  <c r="BP84" i="4" s="1"/>
  <c r="BO41" i="4"/>
  <c r="BO43" i="4" s="1"/>
  <c r="BO47" i="4" s="1"/>
  <c r="BO61" i="4" s="1"/>
  <c r="BX67" i="4"/>
  <c r="BW33" i="4"/>
  <c r="BW34" i="4" s="1"/>
  <c r="BQ66" i="4"/>
  <c r="BQ70" i="4" s="1"/>
  <c r="BQ82" i="4" s="1"/>
  <c r="BQ57" i="4"/>
  <c r="BQ59" i="4" s="1"/>
  <c r="BR56" i="4"/>
  <c r="BV35" i="4"/>
  <c r="BQ80" i="4" l="1"/>
  <c r="BP41" i="4"/>
  <c r="BP43" i="4" s="1"/>
  <c r="BP47" i="4" s="1"/>
  <c r="BP61" i="4" s="1"/>
  <c r="BW35" i="4"/>
  <c r="BW77" i="4"/>
  <c r="BW78" i="4" s="1"/>
  <c r="BX55" i="4"/>
  <c r="CA128" i="2"/>
  <c r="BX33" i="4"/>
  <c r="BX34" i="4"/>
  <c r="BQ84" i="4"/>
  <c r="BY46" i="4"/>
  <c r="BY67" i="4" s="1"/>
  <c r="BY31" i="4"/>
  <c r="BY32" i="4" s="1"/>
  <c r="CB95" i="2"/>
  <c r="BR66" i="4"/>
  <c r="BR70" i="4" s="1"/>
  <c r="BR82" i="4" s="1"/>
  <c r="BR57" i="4"/>
  <c r="BR59" i="4" s="1"/>
  <c r="BS56" i="4"/>
  <c r="BY33" i="4" l="1"/>
  <c r="BY34" i="4" s="1"/>
  <c r="BY55" i="4"/>
  <c r="CB128" i="2"/>
  <c r="BZ46" i="4"/>
  <c r="BZ31" i="4"/>
  <c r="BZ32" i="4" s="1"/>
  <c r="CC95" i="2"/>
  <c r="BR80" i="4"/>
  <c r="BR84" i="4" s="1"/>
  <c r="BQ41" i="4"/>
  <c r="BQ43" i="4" s="1"/>
  <c r="BQ47" i="4" s="1"/>
  <c r="BQ61" i="4" s="1"/>
  <c r="BX35" i="4"/>
  <c r="BS66" i="4"/>
  <c r="BS70" i="4" s="1"/>
  <c r="BS82" i="4" s="1"/>
  <c r="BS57" i="4"/>
  <c r="BS59" i="4" s="1"/>
  <c r="BT56" i="4"/>
  <c r="BX77" i="4"/>
  <c r="BX78" i="4" s="1"/>
  <c r="BY35" i="4" l="1"/>
  <c r="CA46" i="4"/>
  <c r="CA67" i="4" s="1"/>
  <c r="CA31" i="4"/>
  <c r="CA32" i="4" s="1"/>
  <c r="CD95" i="2"/>
  <c r="BT66" i="4"/>
  <c r="BT70" i="4" s="1"/>
  <c r="BT82" i="4" s="1"/>
  <c r="BT57" i="4"/>
  <c r="BT59" i="4" s="1"/>
  <c r="BU56" i="4"/>
  <c r="BY77" i="4"/>
  <c r="BY78" i="4" s="1"/>
  <c r="BZ33" i="4"/>
  <c r="BZ34" i="4" s="1"/>
  <c r="BZ55" i="4"/>
  <c r="CC128" i="2"/>
  <c r="BS80" i="4"/>
  <c r="BS84" i="4" s="1"/>
  <c r="BR41" i="4"/>
  <c r="BR43" i="4" s="1"/>
  <c r="BR47" i="4" s="1"/>
  <c r="BR61" i="4" s="1"/>
  <c r="BZ67" i="4"/>
  <c r="BZ35" i="4" l="1"/>
  <c r="CB31" i="4"/>
  <c r="CB32" i="4" s="1"/>
  <c r="CB46" i="4"/>
  <c r="CE95" i="2"/>
  <c r="CA33" i="4"/>
  <c r="CA34" i="4"/>
  <c r="BT80" i="4"/>
  <c r="BT84" i="4" s="1"/>
  <c r="BS41" i="4"/>
  <c r="BS43" i="4" s="1"/>
  <c r="BS47" i="4" s="1"/>
  <c r="BS61" i="4" s="1"/>
  <c r="CA55" i="4"/>
  <c r="CD128" i="2"/>
  <c r="BZ77" i="4"/>
  <c r="BZ78" i="4" s="1"/>
  <c r="BU66" i="4"/>
  <c r="BU70" i="4" s="1"/>
  <c r="BU82" i="4" s="1"/>
  <c r="BU57" i="4"/>
  <c r="BU59" i="4" s="1"/>
  <c r="BV56" i="4"/>
  <c r="BU80" i="4" l="1"/>
  <c r="BT41" i="4"/>
  <c r="BT43" i="4" s="1"/>
  <c r="BT47" i="4" s="1"/>
  <c r="BT61" i="4" s="1"/>
  <c r="CC46" i="4"/>
  <c r="CC31" i="4"/>
  <c r="CC32" i="4" s="1"/>
  <c r="CF95" i="2"/>
  <c r="BV66" i="4"/>
  <c r="BV70" i="4" s="1"/>
  <c r="BV82" i="4" s="1"/>
  <c r="BV57" i="4"/>
  <c r="BV59" i="4" s="1"/>
  <c r="BW56" i="4"/>
  <c r="CB55" i="4"/>
  <c r="CE128" i="2"/>
  <c r="CC67" i="4"/>
  <c r="CA35" i="4"/>
  <c r="CA77" i="4"/>
  <c r="CA78" i="4" s="1"/>
  <c r="CB67" i="4"/>
  <c r="CB33" i="4"/>
  <c r="CB34" i="4" s="1"/>
  <c r="BU84" i="4"/>
  <c r="CB35" i="4" l="1"/>
  <c r="BV80" i="4"/>
  <c r="BU41" i="4"/>
  <c r="BU43" i="4" s="1"/>
  <c r="BU47" i="4" s="1"/>
  <c r="BU61" i="4" s="1"/>
  <c r="BW66" i="4"/>
  <c r="BW70" i="4" s="1"/>
  <c r="BW82" i="4" s="1"/>
  <c r="BW57" i="4"/>
  <c r="BW59" i="4" s="1"/>
  <c r="BX56" i="4"/>
  <c r="CD46" i="4"/>
  <c r="CD67" i="4" s="1"/>
  <c r="CD31" i="4"/>
  <c r="CD32" i="4" s="1"/>
  <c r="CG95" i="2"/>
  <c r="CC55" i="4"/>
  <c r="CF128" i="2"/>
  <c r="BV84" i="4"/>
  <c r="CC34" i="4"/>
  <c r="CC33" i="4"/>
  <c r="CB77" i="4"/>
  <c r="CB78" i="4" s="1"/>
  <c r="BX66" i="4" l="1"/>
  <c r="BX70" i="4" s="1"/>
  <c r="BX82" i="4" s="1"/>
  <c r="BX57" i="4"/>
  <c r="BX59" i="4" s="1"/>
  <c r="BY56" i="4"/>
  <c r="CD55" i="4"/>
  <c r="CG128" i="2"/>
  <c r="CE46" i="4"/>
  <c r="CE31" i="4"/>
  <c r="CE32" i="4" s="1"/>
  <c r="CH95" i="2"/>
  <c r="CC35" i="4"/>
  <c r="BW80" i="4"/>
  <c r="BV41" i="4"/>
  <c r="BV43" i="4" s="1"/>
  <c r="BV47" i="4" s="1"/>
  <c r="BV61" i="4" s="1"/>
  <c r="BW84" i="4"/>
  <c r="CC77" i="4"/>
  <c r="CC78" i="4" s="1"/>
  <c r="CD33" i="4"/>
  <c r="CD34" i="4" s="1"/>
  <c r="CD35" i="4" l="1"/>
  <c r="CE33" i="4"/>
  <c r="CE34" i="4" s="1"/>
  <c r="CF67" i="4"/>
  <c r="CD77" i="4"/>
  <c r="CD78" i="4" s="1"/>
  <c r="BX80" i="4"/>
  <c r="BX84" i="4" s="1"/>
  <c r="BW41" i="4"/>
  <c r="BW43" i="4" s="1"/>
  <c r="BW47" i="4" s="1"/>
  <c r="BW61" i="4" s="1"/>
  <c r="CE55" i="4"/>
  <c r="CH128" i="2"/>
  <c r="CE67" i="4"/>
  <c r="BY66" i="4"/>
  <c r="BY70" i="4" s="1"/>
  <c r="BY82" i="4" s="1"/>
  <c r="BY57" i="4"/>
  <c r="BY59" i="4" s="1"/>
  <c r="BZ56" i="4"/>
  <c r="CF46" i="4"/>
  <c r="CF31" i="4"/>
  <c r="CF32" i="4" s="1"/>
  <c r="CI95" i="2"/>
  <c r="CE35" i="4" l="1"/>
  <c r="CG46" i="4"/>
  <c r="CG31" i="4"/>
  <c r="CG32" i="4" s="1"/>
  <c r="CJ95" i="2"/>
  <c r="CF55" i="4"/>
  <c r="CI128" i="2"/>
  <c r="CF33" i="4"/>
  <c r="CF34" i="4"/>
  <c r="CG67" i="4"/>
  <c r="BY80" i="4"/>
  <c r="BY84" i="4" s="1"/>
  <c r="BX41" i="4"/>
  <c r="BX43" i="4" s="1"/>
  <c r="BX47" i="4" s="1"/>
  <c r="BX61" i="4" s="1"/>
  <c r="CE77" i="4"/>
  <c r="CE78" i="4" s="1"/>
  <c r="BZ66" i="4"/>
  <c r="BZ70" i="4" s="1"/>
  <c r="BZ82" i="4" s="1"/>
  <c r="BZ57" i="4"/>
  <c r="BZ59" i="4" s="1"/>
  <c r="CA56" i="4"/>
  <c r="BZ80" i="4" l="1"/>
  <c r="BY41" i="4"/>
  <c r="BY43" i="4" s="1"/>
  <c r="BY47" i="4" s="1"/>
  <c r="BY61" i="4" s="1"/>
  <c r="CG55" i="4"/>
  <c r="CJ128" i="2"/>
  <c r="CF77" i="4"/>
  <c r="CF78" i="4" s="1"/>
  <c r="CG33" i="4"/>
  <c r="CG34" i="4"/>
  <c r="CH31" i="4"/>
  <c r="CH32" i="4" s="1"/>
  <c r="CH46" i="4"/>
  <c r="CK95" i="2"/>
  <c r="CA66" i="4"/>
  <c r="CA70" i="4" s="1"/>
  <c r="CA82" i="4" s="1"/>
  <c r="CA57" i="4"/>
  <c r="CA59" i="4" s="1"/>
  <c r="CB56" i="4"/>
  <c r="BZ84" i="4"/>
  <c r="CF35" i="4"/>
  <c r="CG35" i="4" l="1"/>
  <c r="CI31" i="4"/>
  <c r="CI32" i="4" s="1"/>
  <c r="CI46" i="4"/>
  <c r="CL95" i="2"/>
  <c r="CI67" i="4"/>
  <c r="CH55" i="4"/>
  <c r="CK128" i="2"/>
  <c r="CB66" i="4"/>
  <c r="CB70" i="4" s="1"/>
  <c r="CB82" i="4" s="1"/>
  <c r="CB57" i="4"/>
  <c r="CB59" i="4" s="1"/>
  <c r="CC56" i="4"/>
  <c r="CA84" i="4"/>
  <c r="CH33" i="4"/>
  <c r="CH34" i="4" s="1"/>
  <c r="CG77" i="4"/>
  <c r="CG78" i="4" s="1"/>
  <c r="CA80" i="4"/>
  <c r="BZ41" i="4"/>
  <c r="BZ43" i="4" s="1"/>
  <c r="BZ47" i="4" s="1"/>
  <c r="BZ61" i="4" s="1"/>
  <c r="CH67" i="4"/>
  <c r="CH35" i="4" l="1"/>
  <c r="CJ31" i="4"/>
  <c r="CJ32" i="4" s="1"/>
  <c r="CJ46" i="4"/>
  <c r="CC66" i="4"/>
  <c r="CC70" i="4" s="1"/>
  <c r="CC82" i="4" s="1"/>
  <c r="CC57" i="4"/>
  <c r="CC59" i="4" s="1"/>
  <c r="CD56" i="4"/>
  <c r="CH77" i="4"/>
  <c r="CH78" i="4" s="1"/>
  <c r="CB80" i="4"/>
  <c r="CB84" i="4" s="1"/>
  <c r="CA41" i="4"/>
  <c r="CA43" i="4" s="1"/>
  <c r="CA47" i="4" s="1"/>
  <c r="CA61" i="4" s="1"/>
  <c r="CJ67" i="4"/>
  <c r="CI33" i="4"/>
  <c r="CI34" i="4"/>
  <c r="CI55" i="4"/>
  <c r="CL128" i="2"/>
  <c r="CJ55" i="4" s="1"/>
  <c r="CC80" i="4" l="1"/>
  <c r="CB41" i="4"/>
  <c r="CB43" i="4" s="1"/>
  <c r="CB47" i="4" s="1"/>
  <c r="CB61" i="4" s="1"/>
  <c r="CJ77" i="4"/>
  <c r="CJ78" i="4" s="1"/>
  <c r="CC84" i="4"/>
  <c r="CJ33" i="4"/>
  <c r="CJ34" i="4" s="1"/>
  <c r="CI77" i="4"/>
  <c r="CI78" i="4" s="1"/>
  <c r="CI35" i="4"/>
  <c r="CD66" i="4"/>
  <c r="CD70" i="4" s="1"/>
  <c r="CD82" i="4" s="1"/>
  <c r="CD57" i="4"/>
  <c r="CD59" i="4" s="1"/>
  <c r="CE56" i="4"/>
  <c r="CJ35" i="4" l="1"/>
  <c r="CE66" i="4"/>
  <c r="CE70" i="4" s="1"/>
  <c r="CE82" i="4" s="1"/>
  <c r="CE57" i="4"/>
  <c r="CE59" i="4" s="1"/>
  <c r="CF56" i="4"/>
  <c r="CD80" i="4"/>
  <c r="CD84" i="4" s="1"/>
  <c r="CC41" i="4"/>
  <c r="CC43" i="4" s="1"/>
  <c r="CC47" i="4" s="1"/>
  <c r="CC61" i="4" s="1"/>
  <c r="CE80" i="4" l="1"/>
  <c r="CD41" i="4"/>
  <c r="CD43" i="4" s="1"/>
  <c r="CD47" i="4" s="1"/>
  <c r="CD61" i="4" s="1"/>
  <c r="CF66" i="4"/>
  <c r="CF70" i="4" s="1"/>
  <c r="CF82" i="4" s="1"/>
  <c r="CF57" i="4"/>
  <c r="CF59" i="4" s="1"/>
  <c r="CG56" i="4"/>
  <c r="CE84" i="4"/>
  <c r="CG66" i="4" l="1"/>
  <c r="CG70" i="4" s="1"/>
  <c r="CG82" i="4" s="1"/>
  <c r="CG57" i="4"/>
  <c r="CG59" i="4" s="1"/>
  <c r="CH56" i="4"/>
  <c r="CF80" i="4"/>
  <c r="CE41" i="4"/>
  <c r="CE43" i="4" s="1"/>
  <c r="CE47" i="4" s="1"/>
  <c r="CE61" i="4" s="1"/>
  <c r="CF84" i="4"/>
  <c r="CG80" i="4" l="1"/>
  <c r="CF41" i="4"/>
  <c r="CF43" i="4" s="1"/>
  <c r="CF47" i="4" s="1"/>
  <c r="CF61" i="4" s="1"/>
  <c r="CH66" i="4"/>
  <c r="CH70" i="4" s="1"/>
  <c r="CH82" i="4" s="1"/>
  <c r="CH57" i="4"/>
  <c r="CH59" i="4" s="1"/>
  <c r="CI56" i="4"/>
  <c r="CG84" i="4"/>
  <c r="CH80" i="4" l="1"/>
  <c r="CG41" i="4"/>
  <c r="CG43" i="4" s="1"/>
  <c r="CG47" i="4" s="1"/>
  <c r="CG61" i="4" s="1"/>
  <c r="CI66" i="4"/>
  <c r="CI70" i="4" s="1"/>
  <c r="CI82" i="4" s="1"/>
  <c r="CI57" i="4"/>
  <c r="CI59" i="4" s="1"/>
  <c r="CJ56" i="4"/>
  <c r="CH84" i="4"/>
  <c r="CI80" i="4" l="1"/>
  <c r="CH41" i="4"/>
  <c r="CH43" i="4" s="1"/>
  <c r="CH47" i="4" s="1"/>
  <c r="CH61" i="4" s="1"/>
  <c r="CJ66" i="4"/>
  <c r="CJ70" i="4" s="1"/>
  <c r="CJ82" i="4" s="1"/>
  <c r="CJ57" i="4"/>
  <c r="CJ59" i="4" s="1"/>
  <c r="CI84" i="4"/>
  <c r="CJ80" i="4" l="1"/>
  <c r="CJ84" i="4" s="1"/>
  <c r="CJ41" i="4" s="1"/>
  <c r="CJ43" i="4" s="1"/>
  <c r="CJ47" i="4" s="1"/>
  <c r="CJ61" i="4" s="1"/>
  <c r="CI41" i="4"/>
  <c r="CI43" i="4" s="1"/>
  <c r="CI47" i="4" s="1"/>
  <c r="CI61" i="4" s="1"/>
</calcChain>
</file>

<file path=xl/sharedStrings.xml><?xml version="1.0" encoding="utf-8"?>
<sst xmlns="http://schemas.openxmlformats.org/spreadsheetml/2006/main" count="2075" uniqueCount="831">
  <si>
    <t>Financial Model</t>
  </si>
  <si>
    <t>https://tobe.energy</t>
  </si>
  <si>
    <t>Table of Contents</t>
  </si>
  <si>
    <t>Model Assumptions</t>
  </si>
  <si>
    <t>Financials</t>
  </si>
  <si>
    <t>Project Overview</t>
  </si>
  <si>
    <t>H2 Cost Assumptions</t>
  </si>
  <si>
    <t>H2 Production Costs</t>
  </si>
  <si>
    <t>Personnel</t>
  </si>
  <si>
    <t>Volumes at Electric Loads</t>
  </si>
  <si>
    <t>Facility AFE</t>
  </si>
  <si>
    <t>Additional Engineering Detail</t>
  </si>
  <si>
    <t>Year Counter</t>
  </si>
  <si>
    <t>Year</t>
  </si>
  <si>
    <t>Month Counter</t>
  </si>
  <si>
    <t>Date</t>
  </si>
  <si>
    <t>Tobe Energy Corp. Overall</t>
  </si>
  <si>
    <t>Total Cost</t>
  </si>
  <si>
    <t>Total Production</t>
  </si>
  <si>
    <t>Total Profit</t>
  </si>
  <si>
    <t>GH2x - OKC</t>
  </si>
  <si>
    <t>kg Opex</t>
  </si>
  <si>
    <t>Capital Costs</t>
  </si>
  <si>
    <t>kg Market</t>
  </si>
  <si>
    <t>Production</t>
  </si>
  <si>
    <t>Revenue</t>
  </si>
  <si>
    <t>COGS</t>
  </si>
  <si>
    <t>Gross Profit</t>
  </si>
  <si>
    <t>GH2x2 - Tulsa</t>
  </si>
  <si>
    <t>GH2x3 - Seattle</t>
  </si>
  <si>
    <t>GH2x4 - Spokane</t>
  </si>
  <si>
    <t>GH2x5 - Albuquerque</t>
  </si>
  <si>
    <t>GH2x6 - Des Moines</t>
  </si>
  <si>
    <t>GH2x7-12</t>
  </si>
  <si>
    <t>Income Tax Rate</t>
  </si>
  <si>
    <t>Balance Sheet:</t>
  </si>
  <si>
    <t>Assets</t>
  </si>
  <si>
    <t>Starting Cash Balance</t>
  </si>
  <si>
    <t xml:space="preserve">Average days Receivable </t>
  </si>
  <si>
    <t>(payment terms for customers)</t>
  </si>
  <si>
    <t>Fixed Assets</t>
  </si>
  <si>
    <t>Cost</t>
  </si>
  <si>
    <t xml:space="preserve">Purchase date </t>
  </si>
  <si>
    <t>Useful Life (yrs)</t>
  </si>
  <si>
    <t xml:space="preserve">Fixed Assets ---&gt; </t>
  </si>
  <si>
    <t>Facility 1 Assets</t>
  </si>
  <si>
    <t>Facility 1 Assets Expansion 1</t>
  </si>
  <si>
    <t>Facility 1 Assets Expansion 2</t>
  </si>
  <si>
    <t>Facility 2 Assets</t>
  </si>
  <si>
    <t>Facility 2 Assets Expansion 1</t>
  </si>
  <si>
    <t>Facility 3 Assets</t>
  </si>
  <si>
    <t>Facility 3 Assets Expansion 1</t>
  </si>
  <si>
    <t>Facility 4 Assets</t>
  </si>
  <si>
    <t>Facility 4 Assets Expansion 1</t>
  </si>
  <si>
    <t>Facility 5 Assets</t>
  </si>
  <si>
    <t>Facility 5 Assets Expansion 1</t>
  </si>
  <si>
    <t>Facility 6 Assets</t>
  </si>
  <si>
    <t>Facility 6 Assets Expansion 1</t>
  </si>
  <si>
    <t>Facility 7-12 Assets</t>
  </si>
  <si>
    <t>Facility 7-12 Assets Expansion 1</t>
  </si>
  <si>
    <t xml:space="preserve">Accumulated Depreciation ---&gt; </t>
  </si>
  <si>
    <t>Liabilities</t>
  </si>
  <si>
    <t xml:space="preserve">Average days Payable </t>
  </si>
  <si>
    <t>(payment terms for you)</t>
  </si>
  <si>
    <t>Equity</t>
  </si>
  <si>
    <t>Starting Paid in Capital</t>
  </si>
  <si>
    <t>Current Equity Dilution</t>
  </si>
  <si>
    <t>New Equity</t>
  </si>
  <si>
    <t xml:space="preserve">Name of Round </t>
  </si>
  <si>
    <t>Amount</t>
  </si>
  <si>
    <t>Seed</t>
  </si>
  <si>
    <t>Series A</t>
  </si>
  <si>
    <t>-</t>
  </si>
  <si>
    <t>Month</t>
  </si>
  <si>
    <t>Profit</t>
  </si>
  <si>
    <t>Total</t>
  </si>
  <si>
    <t>8/1/0202</t>
  </si>
  <si>
    <t>Income Statement</t>
  </si>
  <si>
    <t>Gross Margin</t>
  </si>
  <si>
    <t>Operating Expenses</t>
  </si>
  <si>
    <t>Salaries &amp; Benefits</t>
  </si>
  <si>
    <t>General &amp; Admin</t>
  </si>
  <si>
    <t>Facility Lease</t>
  </si>
  <si>
    <t xml:space="preserve">Professional Fees + Sales &amp; Marketing </t>
  </si>
  <si>
    <t>Other</t>
  </si>
  <si>
    <t>Total Operating Expenses</t>
  </si>
  <si>
    <t>EBITDA</t>
  </si>
  <si>
    <t>Depreciation</t>
  </si>
  <si>
    <t>EBIT</t>
  </si>
  <si>
    <t>Taxes</t>
  </si>
  <si>
    <t>Net Income</t>
  </si>
  <si>
    <t>Net Margin</t>
  </si>
  <si>
    <t>Current Assets</t>
  </si>
  <si>
    <t>Cash</t>
  </si>
  <si>
    <t>Accounts Receivable</t>
  </si>
  <si>
    <t>Total Current Assets</t>
  </si>
  <si>
    <t>Accumulated Depreciation</t>
  </si>
  <si>
    <t>Total Assets</t>
  </si>
  <si>
    <t>Liabilities &amp; Owner's Equity</t>
  </si>
  <si>
    <t>Accounts payable</t>
  </si>
  <si>
    <t>Total Liabilities</t>
  </si>
  <si>
    <t>Paid In Capital</t>
  </si>
  <si>
    <t>Accumulated Retained Earnings</t>
  </si>
  <si>
    <t>Total Equity</t>
  </si>
  <si>
    <t>Total Liabilities &amp; Owner's Equity</t>
  </si>
  <si>
    <t>Balance Check</t>
  </si>
  <si>
    <t>Statement of Cash Flows:</t>
  </si>
  <si>
    <t>Operating Cash Flows</t>
  </si>
  <si>
    <t>Change in Accounts Receivable</t>
  </si>
  <si>
    <t>Change in Accounts Payable</t>
  </si>
  <si>
    <t>Total Operating Cash Flows</t>
  </si>
  <si>
    <t>Investing Cash Flows</t>
  </si>
  <si>
    <t>Changes in Fixed Assets</t>
  </si>
  <si>
    <t>Total Investing Cash Flows</t>
  </si>
  <si>
    <t>Financing Cash Flows</t>
  </si>
  <si>
    <t>Changes in Paid in Capital</t>
  </si>
  <si>
    <t>Total Financing Cash Flows</t>
  </si>
  <si>
    <t>Beginning Cash</t>
  </si>
  <si>
    <t>Change in Cash</t>
  </si>
  <si>
    <t>Ending Cash</t>
  </si>
  <si>
    <t>Pilot Facility Summary</t>
  </si>
  <si>
    <t>Year 0</t>
  </si>
  <si>
    <t>Year 1</t>
  </si>
  <si>
    <t>Year 2</t>
  </si>
  <si>
    <t>Year 3</t>
  </si>
  <si>
    <t>Year 4+</t>
  </si>
  <si>
    <t>Project Cost</t>
  </si>
  <si>
    <t>Personnel Cost</t>
  </si>
  <si>
    <t>Additional Facility Summary</t>
  </si>
  <si>
    <t>Phase</t>
  </si>
  <si>
    <t>Monthly H₂ Output</t>
  </si>
  <si>
    <t>Peak Power</t>
  </si>
  <si>
    <t>Service Type</t>
  </si>
  <si>
    <t>Initial (2025)</t>
  </si>
  <si>
    <t>~7,500 kg</t>
  </si>
  <si>
    <t>~0.6 MW</t>
  </si>
  <si>
    <t>Standard 1-2 MVA 480V service</t>
  </si>
  <si>
    <t>Intermediate</t>
  </si>
  <si>
    <t>~37,500 kg</t>
  </si>
  <si>
    <t>~2.65 MW</t>
  </si>
  <si>
    <t>3–4 MVA primary service</t>
  </si>
  <si>
    <t>Full Build-Out</t>
  </si>
  <si>
    <t>~75,000 kg</t>
  </si>
  <si>
    <t>~5.2 MW</t>
  </si>
  <si>
    <t>Dedicated substation (6–8 MVA)</t>
  </si>
  <si>
    <t>Scenario</t>
  </si>
  <si>
    <t>Price per kg (30% margin)</t>
  </si>
  <si>
    <t>Delivered (within 50 miles, ~200 bar)</t>
  </si>
  <si>
    <t>At-the-gate</t>
  </si>
  <si>
    <t>At-the-gate (no R&amp;D costs)</t>
  </si>
  <si>
    <t>Anticipated Funding</t>
  </si>
  <si>
    <t>Item</t>
  </si>
  <si>
    <t>Amount (USD)</t>
  </si>
  <si>
    <t>Notes</t>
  </si>
  <si>
    <t>Year 0 Sources of Funds</t>
  </si>
  <si>
    <t>Equity (VC)</t>
  </si>
  <si>
    <t>Equity financing from venture capital</t>
  </si>
  <si>
    <t>Non-Dilutive (OCAST)</t>
  </si>
  <si>
    <t>Grant funding</t>
  </si>
  <si>
    <t>Non-Dilutive (ITC/IRA)</t>
  </si>
  <si>
    <t>Federal Inflation Reduction Act credit</t>
  </si>
  <si>
    <t>Sum of all funding sources</t>
  </si>
  <si>
    <t>Additional Years Funding</t>
  </si>
  <si>
    <t>Year 1 Source of Funds</t>
  </si>
  <si>
    <t>Year 0 Profit</t>
  </si>
  <si>
    <t>Leftover Funds from Seed</t>
  </si>
  <si>
    <t>Series A Equity</t>
  </si>
  <si>
    <t>Raising $7.5M at $45M</t>
  </si>
  <si>
    <t>Year 2 Source of Funds</t>
  </si>
  <si>
    <t>Year 1 Profit</t>
  </si>
  <si>
    <t>Debt Financing</t>
  </si>
  <si>
    <t>Debt Financed</t>
  </si>
  <si>
    <t>Year 3 Source of Funds</t>
  </si>
  <si>
    <t>Year 2 Profit</t>
  </si>
  <si>
    <t>Year 4 Source of Funds</t>
  </si>
  <si>
    <t>Year 3 Profit</t>
  </si>
  <si>
    <t>Year 5 Source of Funds</t>
  </si>
  <si>
    <t>Year 4 Profit</t>
  </si>
  <si>
    <t>Cost of Facility Construction</t>
  </si>
  <si>
    <t>Uses of Funds, Pilot Plant</t>
  </si>
  <si>
    <t>Equipment Costs</t>
  </si>
  <si>
    <t>Electrolyzers, compressors, storage tanks, etc.</t>
  </si>
  <si>
    <t>compressors</t>
  </si>
  <si>
    <t>Labor (Salaries + Contracted Construction)</t>
  </si>
  <si>
    <t>Site prep and installation</t>
  </si>
  <si>
    <t>Material Costs</t>
  </si>
  <si>
    <t xml:space="preserve">Steel piping, wiring, etc. </t>
  </si>
  <si>
    <t>Construction Costs</t>
  </si>
  <si>
    <t>Facility build-out civil works</t>
  </si>
  <si>
    <t>civil works</t>
  </si>
  <si>
    <t>Contingency (10%)</t>
  </si>
  <si>
    <t>Safety net for overruns</t>
  </si>
  <si>
    <t>Subtotal (Direct Project Costs)</t>
  </si>
  <si>
    <t>Sum of above FEED study line items</t>
  </si>
  <si>
    <t>Year 0 Manufacturing, R&amp;D, &amp; Personnel</t>
  </si>
  <si>
    <t>Uses of Funds, Operating Capital</t>
  </si>
  <si>
    <t>Manufacturing Equipment for in-House Electrolyzer Production</t>
  </si>
  <si>
    <t xml:space="preserve">Setting up in-house line, cnc winder, 3d printing, ect. </t>
  </si>
  <si>
    <t>Continued R&amp;D on scale up sizing</t>
  </si>
  <si>
    <t>Prototype improvements, new tech dev, scale up</t>
  </si>
  <si>
    <t>new tech dev</t>
  </si>
  <si>
    <t>Salaries, benefits, G&amp;A</t>
  </si>
  <si>
    <t>Subtotal (Manufacturing, R&amp;D, &amp; Personnel)</t>
  </si>
  <si>
    <t>Year 0 Misc. Costs</t>
  </si>
  <si>
    <t xml:space="preserve">Use of Funds, Misc. </t>
  </si>
  <si>
    <t>Facility Overheads; Insurance, minor repairs, utilities buffer</t>
  </si>
  <si>
    <t>Facility coverage, unexpected overhead</t>
  </si>
  <si>
    <t>Consumables &amp; Spare Parts; Filters, membranes, sensors</t>
  </si>
  <si>
    <t>Regular replacements to ensure uptime</t>
  </si>
  <si>
    <t>Administrative &amp; Professional Services; Legal, accounting, consulting</t>
  </si>
  <si>
    <t>Basic corporate and compliance needs</t>
  </si>
  <si>
    <t>Biz Dev &amp; Marketing; Conferences, advertising, travel</t>
  </si>
  <si>
    <t>Customer acquisition, partnership development</t>
  </si>
  <si>
    <t>Licensing &amp; Certification; Annual fees, safety certs</t>
  </si>
  <si>
    <t>Renewal fees, specialized certs</t>
  </si>
  <si>
    <t>IT &amp; Software; Engineering/SCADA licenses, cloud storage</t>
  </si>
  <si>
    <t>Essential digital infrastructure</t>
  </si>
  <si>
    <t>Contingency; General buffer for unforeseen costs</t>
  </si>
  <si>
    <t>At least 10% of total operating expenses</t>
  </si>
  <si>
    <t>Subtotal (Misc.)</t>
  </si>
  <si>
    <t>Facility / Materials (Non-Personnel)</t>
  </si>
  <si>
    <t>Year 0, Total Use of Funds</t>
  </si>
  <si>
    <t>Facility Construction + Year 0 Mfg, R&amp;D, &amp; Personnel + Misc. Costs</t>
  </si>
  <si>
    <t>Year 1 Manufacturing, R&amp;D, &amp; Personnel</t>
  </si>
  <si>
    <t>Year 1 Uses of Funds, Operating Capital</t>
  </si>
  <si>
    <t>Personnel (50% Growth Year 1)</t>
  </si>
  <si>
    <t xml:space="preserve">Year 1 Use of Funds, Misc. </t>
  </si>
  <si>
    <t>Use of Funds (50% Growth)</t>
  </si>
  <si>
    <t>Year 1 Total</t>
  </si>
  <si>
    <t>Year 2 Manufacturing, R&amp;D, &amp; Personnel</t>
  </si>
  <si>
    <t>Year 2 Uses of Funds, Operating Capital</t>
  </si>
  <si>
    <t>Personnel (25% Growth Year 2)</t>
  </si>
  <si>
    <t xml:space="preserve">Year 2 Use of Funds, Misc. </t>
  </si>
  <si>
    <t>Total Year 2</t>
  </si>
  <si>
    <t>Year 3+ Manufacturing, R&amp;D, &amp; Personnel</t>
  </si>
  <si>
    <t>Year 3+ Uses of Funds, Operating Capital</t>
  </si>
  <si>
    <t xml:space="preserve">Year 3+ Use of Funds, Misc. </t>
  </si>
  <si>
    <t>Total Year 3+</t>
  </si>
  <si>
    <t>Per site example economics</t>
  </si>
  <si>
    <t>Profitability</t>
  </si>
  <si>
    <t>Market Price of H₂ ($/kg)</t>
  </si>
  <si>
    <t>Cost of Delivered Hydrogen, Conservatively Low</t>
  </si>
  <si>
    <t>Production Cost of H₂ ($/kg)</t>
  </si>
  <si>
    <t>Includes electricity and overhead</t>
  </si>
  <si>
    <t>Gross Margin ($/kg)</t>
  </si>
  <si>
    <t>(Price - Cost)</t>
  </si>
  <si>
    <t>Initial Scale Monthly Output</t>
  </si>
  <si>
    <t>Months 1-12</t>
  </si>
  <si>
    <t>Intermediate Scale Monthly Output</t>
  </si>
  <si>
    <t>Months 13-18</t>
  </si>
  <si>
    <t>Full-Scale Monthly Output (kg)</t>
  </si>
  <si>
    <t>After Month 18</t>
  </si>
  <si>
    <t>Initial Scale Monthly Gross Profit</t>
  </si>
  <si>
    <t>Intermediate Scale Monthly Gross Profit</t>
  </si>
  <si>
    <t>*First Year for Subsequent Facilities</t>
  </si>
  <si>
    <t>Full-Scale Monthly Gross Profit</t>
  </si>
  <si>
    <t>*Second year for subsequent facilities</t>
  </si>
  <si>
    <t>Year 0 Annual Gross Profit</t>
  </si>
  <si>
    <t>Year 1 Annual Gross Profit</t>
  </si>
  <si>
    <t>Year 1 Electrical Infrastructure Upgrades</t>
  </si>
  <si>
    <t>At Month 12 only for OKC</t>
  </si>
  <si>
    <t>Year 2 Annual Gross Profit</t>
  </si>
  <si>
    <t>*Year 1 for subsequent facilities</t>
  </si>
  <si>
    <t>Year 2 Electrical Infrastructure Upgrades</t>
  </si>
  <si>
    <t>At Month 24 for OKC At Month 12 for all other Sites</t>
  </si>
  <si>
    <t>Year 3+ Annual Gross Profit</t>
  </si>
  <si>
    <t>Year 2 for subsequent facilities</t>
  </si>
  <si>
    <t>Production Metrics</t>
  </si>
  <si>
    <t>Monthly Year 0 H2 Production</t>
  </si>
  <si>
    <t>No Facilities Operating, Building OKC Facility</t>
  </si>
  <si>
    <t>kg/month</t>
  </si>
  <si>
    <t>Monthly Year 1 H2 Production</t>
  </si>
  <si>
    <t>OKC Facility Operating, Constructing Tulsa Facility</t>
  </si>
  <si>
    <t>Monthly Year 2 H2 Production</t>
  </si>
  <si>
    <t>OKC Facility Operating avg. 37.5k Tulsa Facility Operating at 25k</t>
  </si>
  <si>
    <t>Monthly Year 3 H2 Production</t>
  </si>
  <si>
    <t>OKC 50k, Tulsa 50k, Washington 2 sites at 25k</t>
  </si>
  <si>
    <t>Monthly Year 4 H2 Production</t>
  </si>
  <si>
    <t>OKC 50k, Tulsa 50k, Washington 2 sites at 50k, Iowa 2 sites at 25k</t>
  </si>
  <si>
    <t>Monthly Year 5 H2 Production</t>
  </si>
  <si>
    <t>6 Facilities at 50k each, building 12 facilites</t>
  </si>
  <si>
    <t>Monthly Year 6 H2 Production</t>
  </si>
  <si>
    <t>6 Facilities at 50k each, 6 facilities at 25k each</t>
  </si>
  <si>
    <t>Yearly production Year 0</t>
  </si>
  <si>
    <t>Total Production for year 0</t>
  </si>
  <si>
    <t>kg/year</t>
  </si>
  <si>
    <t>Yearly production Year 1</t>
  </si>
  <si>
    <t>Total Production for year 1</t>
  </si>
  <si>
    <t>Yearly production Year 2</t>
  </si>
  <si>
    <t>Total Production for year 2</t>
  </si>
  <si>
    <t>Yearly production Year 3</t>
  </si>
  <si>
    <t>Total Production for year 3</t>
  </si>
  <si>
    <t>Yearly production Year 4</t>
  </si>
  <si>
    <t>Total Production for year 4</t>
  </si>
  <si>
    <t>Yearly production Year 5</t>
  </si>
  <si>
    <t>Total Production for year 5</t>
  </si>
  <si>
    <t>Yealy production Year 6</t>
  </si>
  <si>
    <t>Total Production for year 6</t>
  </si>
  <si>
    <t>Total Cash Flow by Year</t>
  </si>
  <si>
    <t>Seed Round + Non-Dillutive Funding</t>
  </si>
  <si>
    <t>Carryover funding from year 0</t>
  </si>
  <si>
    <t>Series A Raise for Year + 1 Tulsa Facility</t>
  </si>
  <si>
    <t>OKC Profit</t>
  </si>
  <si>
    <t>OKC Costs</t>
  </si>
  <si>
    <t>OKC Site Upgrades</t>
  </si>
  <si>
    <t>Tulsa Facility Costs</t>
  </si>
  <si>
    <t>Profit from Year 1</t>
  </si>
  <si>
    <t>Debt Financing for Washington Facilities</t>
  </si>
  <si>
    <t>Washington Facilities</t>
  </si>
  <si>
    <t>Tulsa Profit</t>
  </si>
  <si>
    <t>Tulsa Costs</t>
  </si>
  <si>
    <t>Tulsa Site Upgrades</t>
  </si>
  <si>
    <t>Profit from Year 2</t>
  </si>
  <si>
    <t>Washington Profit</t>
  </si>
  <si>
    <t>Washington Costs</t>
  </si>
  <si>
    <t>Washing Site Upgrades</t>
  </si>
  <si>
    <t>Equipment Sales Facility + Iowa</t>
  </si>
  <si>
    <t>Year 4</t>
  </si>
  <si>
    <t>Profit from Year 3</t>
  </si>
  <si>
    <t>Iowa Profit</t>
  </si>
  <si>
    <t>Iowa Costs</t>
  </si>
  <si>
    <t>Equipment Sales Costs</t>
  </si>
  <si>
    <t>Equipment Sales Profit</t>
  </si>
  <si>
    <t>Year 5</t>
  </si>
  <si>
    <t>Profit from Year 4</t>
  </si>
  <si>
    <t>Building 12 New Facilities</t>
  </si>
  <si>
    <t>Profit from 6 Facilities</t>
  </si>
  <si>
    <t>Cost of Operating 6 Facilities</t>
  </si>
  <si>
    <t>Iowa Site Upgrades</t>
  </si>
  <si>
    <t>Year 0 Salaries per Facility</t>
  </si>
  <si>
    <t>Category</t>
  </si>
  <si>
    <t>Role</t>
  </si>
  <si>
    <t>Headcount</t>
  </si>
  <si>
    <t>Base Salary (USD)</t>
  </si>
  <si>
    <t>Subtotal Base (USD)</t>
  </si>
  <si>
    <t>Management</t>
  </si>
  <si>
    <t>CEO / Facility Director</t>
  </si>
  <si>
    <t>Oversees facility strategy and daily ops</t>
  </si>
  <si>
    <t>Engineering</t>
  </si>
  <si>
    <t>Senior Engineer</t>
  </si>
  <si>
    <t>Leads design, R&amp;D, troubleshooting</t>
  </si>
  <si>
    <t>Engineer / Technician</t>
  </si>
  <si>
    <t>Helps build/maintain systems, handle R&amp;D tasks</t>
  </si>
  <si>
    <t>Operator / Maintenance (Day)</t>
  </si>
  <si>
    <t>Manages daytime production, maintenance</t>
  </si>
  <si>
    <t>Operator / Maintenance (Night)</t>
  </si>
  <si>
    <t>Ensures 24/7 operation</t>
  </si>
  <si>
    <t>Business</t>
  </si>
  <si>
    <t>Biz Dev / Marketing</t>
  </si>
  <si>
    <t>Develops partnerships, handles sales/marketing</t>
  </si>
  <si>
    <t>Admin</t>
  </si>
  <si>
    <t>Office Administrator</t>
  </si>
  <si>
    <t>Admin tasks, purchasing, scheduling, documentation</t>
  </si>
  <si>
    <t>Manufacturing / R&amp;D</t>
  </si>
  <si>
    <t>Assembly Lead or Additional Technician</t>
  </si>
  <si>
    <t>Focus on in-house electrolyzer assembly</t>
  </si>
  <si>
    <t>Engineering / R&amp;D</t>
  </si>
  <si>
    <t>Junior Engineer</t>
  </si>
  <si>
    <t>Additional engineering help for R&amp;D</t>
  </si>
  <si>
    <t/>
  </si>
  <si>
    <t>Total Base Salaries</t>
  </si>
  <si>
    <t>Sum of all base salaries above</t>
  </si>
  <si>
    <t>Overhead &amp; Benefits (~53.4%)</t>
  </si>
  <si>
    <t>Increased overhead to reach total of $1,250,000</t>
  </si>
  <si>
    <t>Grand Total (Personnel Budget)</t>
  </si>
  <si>
    <t>Full-year budget, salaries + overhead</t>
  </si>
  <si>
    <t>Yearly Salaries + Overhead and Benefits Growth per Facility</t>
  </si>
  <si>
    <t>Description</t>
  </si>
  <si>
    <t>Base Salaries + Overhead and Benefits</t>
  </si>
  <si>
    <t>Year 1 Base Salaries + Overhead and Benefits 50% Growth from Year 0</t>
  </si>
  <si>
    <t>Year 2 Base Salaries + Overhead and Benefits 25% Growth from Year 1</t>
  </si>
  <si>
    <t>Year 3+</t>
  </si>
  <si>
    <t>Year 3 Base Salaries + Overhead and Benefits 25% Growth from Year 2</t>
  </si>
  <si>
    <t>Purchase Type</t>
  </si>
  <si>
    <t>Volume (kg)</t>
  </si>
  <si>
    <t>Price per kg (USD)</t>
  </si>
  <si>
    <t>Bulk Purchase</t>
  </si>
  <si>
    <t>Large Contract (&gt;3x per week deliveries)</t>
  </si>
  <si>
    <t>Varies</t>
  </si>
  <si>
    <t>Multi-year contract, high volume, near facility</t>
  </si>
  <si>
    <t>Industrial (1,000 kg quote)</t>
  </si>
  <si>
    <t>Quote received in Oklahoma</t>
  </si>
  <si>
    <t>Industrial (Other Companies)</t>
  </si>
  <si>
    <t>General range (LOW) of industrial quotes</t>
  </si>
  <si>
    <t>General range (HIGH) of industrial quotes</t>
  </si>
  <si>
    <t>Mid-Scale Purchase</t>
  </si>
  <si>
    <t>Hydrogen Pump (California)</t>
  </si>
  <si>
    <t>6kg</t>
  </si>
  <si>
    <t>Public hydrogen fueling stations (LOW)</t>
  </si>
  <si>
    <t>Public hydrogen fueling stations (HIGH)</t>
  </si>
  <si>
    <t>15-Pack Cylinders</t>
  </si>
  <si>
    <t>19 kg</t>
  </si>
  <si>
    <t>Typical cost per kg based on $760 per 15-pack</t>
  </si>
  <si>
    <t>Small-Scale Purchase</t>
  </si>
  <si>
    <t>Single CGA 350 Cylinder</t>
  </si>
  <si>
    <t>1 kg</t>
  </si>
  <si>
    <t>Highest price scenario for specialty applications</t>
  </si>
  <si>
    <t>Low (Best Case)</t>
  </si>
  <si>
    <t>Bulk industrial contract (large volume long-term)</t>
  </si>
  <si>
    <t>Average (Most Likely)</t>
  </si>
  <si>
    <t>Industrial &amp; public hydrogen blend (typical real-world prices)</t>
  </si>
  <si>
    <t>High (Worst Case)</t>
  </si>
  <si>
    <t>Retail or small-batch industrial purchase</t>
  </si>
  <si>
    <t>Basis / Assumptions</t>
  </si>
  <si>
    <t>Cost ($/kg H₂)</t>
  </si>
  <si>
    <t>Note</t>
  </si>
  <si>
    <t>Electrical Cost</t>
  </si>
  <si>
    <t>Industrial Rate in OK</t>
  </si>
  <si>
    <t>$ / kWh</t>
  </si>
  <si>
    <t>Water Cost per Liter</t>
  </si>
  <si>
    <t>$ / Liter</t>
  </si>
  <si>
    <t>Electricity for H₂ production</t>
  </si>
  <si>
    <t>42 kWh/kg (95% sys eff.)</t>
  </si>
  <si>
    <t>Compression &amp; purification</t>
  </si>
  <si>
    <t>~3 kWh/kg for 200 bar</t>
  </si>
  <si>
    <t>Transport (50-mile tube trailer)</t>
  </si>
  <si>
    <t>~0.9–1.0/kg for ~50 miles</t>
  </si>
  <si>
    <t>RO water (consumable)</t>
  </si>
  <si>
    <t>~9 liters water per kg H₂</t>
  </si>
  <si>
    <t>Total (Direct OpEx, excl. labor/maintenance/CAPEX)</t>
  </si>
  <si>
    <t>Year 1 Sale Price</t>
  </si>
  <si>
    <t>Annualized Capex + Personnel</t>
  </si>
  <si>
    <t>*No Profit Margin</t>
  </si>
  <si>
    <t>Year 2 Sale Price</t>
  </si>
  <si>
    <t>Annualized Capex + Personnel + Profit Margin</t>
  </si>
  <si>
    <t>Year 3 Sale Price</t>
  </si>
  <si>
    <t>Yera 4+ Sale Price</t>
  </si>
  <si>
    <t>Profit Margin</t>
  </si>
  <si>
    <t>Annualized CAPEX (25 years)</t>
  </si>
  <si>
    <t>Total Facility Costs + Upgrades over 25 years of operations</t>
  </si>
  <si>
    <t>Year 1 Personnel Costs</t>
  </si>
  <si>
    <t>Year 1 Facility Costs</t>
  </si>
  <si>
    <t>Year 1 Production Volume / Personnel &amp; Facility Costs per kg</t>
  </si>
  <si>
    <t>Year 1 Total Costs</t>
  </si>
  <si>
    <t>Year 2 Personnel Costs</t>
  </si>
  <si>
    <t>Year 2 Facility Costs</t>
  </si>
  <si>
    <t>Year 2 Production Volume / Personnel &amp; Facility Costs per kg</t>
  </si>
  <si>
    <t>Year 2 Total Costs</t>
  </si>
  <si>
    <t>Year 3 Personnel Costs</t>
  </si>
  <si>
    <t>Year 3 Facility Costs</t>
  </si>
  <si>
    <t>Year 3 Production Volume / Personnel &amp; Facility Costs per kg</t>
  </si>
  <si>
    <t>Year 3 Total Costs</t>
  </si>
  <si>
    <t>Basis</t>
  </si>
  <si>
    <t>Value</t>
  </si>
  <si>
    <t>Additional Facility Total CAPEX</t>
  </si>
  <si>
    <t>$ / additional facility for 2,500 kg / day</t>
  </si>
  <si>
    <t>Annualized CAPEX per additional facility ($/month)</t>
  </si>
  <si>
    <t>$ / month</t>
  </si>
  <si>
    <t>Annualized CAPEX per additional facility (annually)</t>
  </si>
  <si>
    <t>$ / year</t>
  </si>
  <si>
    <t>Personnel Salary Requirements for Additional Facility (includes misc. costs and overhead)</t>
  </si>
  <si>
    <t>Cost per kg of H2 of Annualized CAPEX + Personnel</t>
  </si>
  <si>
    <t>$ / kg</t>
  </si>
  <si>
    <t xml:space="preserve">Total Cost of H2 + 30% margin and delivery at additional facilities </t>
  </si>
  <si>
    <t>$ / kg sale price</t>
  </si>
  <si>
    <t>Total Cost without Delivery</t>
  </si>
  <si>
    <t>Initial Pilot Facility</t>
  </si>
  <si>
    <t>Unit</t>
  </si>
  <si>
    <t>Initial Operations</t>
  </si>
  <si>
    <t>kg / day</t>
  </si>
  <si>
    <t>Monthly Operations Months 1 - 6</t>
  </si>
  <si>
    <t>kg / month</t>
  </si>
  <si>
    <t>Intermediate Operations</t>
  </si>
  <si>
    <t>Monthly Operations Months 7 - 12</t>
  </si>
  <si>
    <t>Final Operations</t>
  </si>
  <si>
    <t>kd /day</t>
  </si>
  <si>
    <t>Final Operations Monthly Months 13+</t>
  </si>
  <si>
    <t>Second Facility</t>
  </si>
  <si>
    <t>Monthly Operations Months 1-12</t>
  </si>
  <si>
    <t>Final Monthly Operations Months 13+</t>
  </si>
  <si>
    <t>Pilot Facility Profit</t>
  </si>
  <si>
    <t>AMOUNT USD</t>
  </si>
  <si>
    <t>Pilot Facility Operating Cost (Included in Profit already)</t>
  </si>
  <si>
    <t>Average Case, Months 1-6</t>
  </si>
  <si>
    <t>Opex, Months 1-6</t>
  </si>
  <si>
    <t>Average Case, Months 7-12</t>
  </si>
  <si>
    <t>Opex, Months 7-12</t>
  </si>
  <si>
    <t>Average Case, Months 13+</t>
  </si>
  <si>
    <t>Opex, Months 13+</t>
  </si>
  <si>
    <t>High Case, Months 1-6</t>
  </si>
  <si>
    <t>High Case, Months 7-12</t>
  </si>
  <si>
    <t>High Case, Months 13+</t>
  </si>
  <si>
    <t>Second Facility Operating Cost (Included in Profit Already)</t>
  </si>
  <si>
    <t>Low Case, Months 1-6</t>
  </si>
  <si>
    <t>Opex, Months 1-12</t>
  </si>
  <si>
    <t>Low Case, Months 7-12</t>
  </si>
  <si>
    <t>Low Case, Months 13+</t>
  </si>
  <si>
    <t>Additional Facility Profit</t>
  </si>
  <si>
    <t>Average Case, Months 1-12</t>
  </si>
  <si>
    <t>High Case, Months 1-12</t>
  </si>
  <si>
    <t>Low Case, Months 1-12</t>
  </si>
  <si>
    <t>Cost ($/kg)</t>
  </si>
  <si>
    <t>Electricity (42 kWh/kg at $0.06/kWh)</t>
  </si>
  <si>
    <t>Compression &amp; Purification (3.5 kWh/kg at $0.06/kWh)</t>
  </si>
  <si>
    <t>Transportation (50-mile delivery)</t>
  </si>
  <si>
    <t>RO Water (9 liters/kg at $0.01/liter)</t>
  </si>
  <si>
    <t>Direct OpEx (excluding CAPEX &amp; labor)</t>
  </si>
  <si>
    <t>Annualized CAPEX &amp; Personnel Costs (Year 3, 900,000 kg/year)</t>
  </si>
  <si>
    <t>Total Breakeven Cost (Year 3)</t>
  </si>
  <si>
    <t>Indicative Selling Price (30% profit margin)</t>
  </si>
  <si>
    <t>Year 0 Salaries for Initial / R&amp;D Facility</t>
  </si>
  <si>
    <t>Base Salary (USD)   Subtotal</t>
  </si>
  <si>
    <t>Base (USD)   Notes</t>
  </si>
  <si>
    <t>Oversees strategy &amp; daily ops</t>
  </si>
  <si>
    <t>Engineer / Technician (Existing)</t>
  </si>
  <si>
    <t>Build/maintain systems, R&amp;D tasks</t>
  </si>
  <si>
    <t>Operator / Maintenance (Day, Existing)</t>
  </si>
  <si>
    <t>Daytime production, maintenance</t>
  </si>
  <si>
    <t>Operator / Maintenance (Night, Existing)</t>
  </si>
  <si>
    <t>Night operation</t>
  </si>
  <si>
    <t>Partnerships, sales/marketing</t>
  </si>
  <si>
    <t>Purchasing, scheduling, documentation</t>
  </si>
  <si>
    <t>Assembly Lead / Tech</t>
  </si>
  <si>
    <t>In-house electrolyzer assembly</t>
  </si>
  <si>
    <t>R&amp;D support</t>
  </si>
  <si>
    <t>TOTAL BASE SALARIES</t>
  </si>
  <si>
    <t>Overhead &amp; Benefits (~X%)</t>
  </si>
  <si>
    <t>GRAND TOTAL (Personnel Budget)</t>
  </si>
  <si>
    <t>Year 1 Salaries for Initial / R&amp;D Facility</t>
  </si>
  <si>
    <t>Year-1 Base Salary (USD)</t>
  </si>
  <si>
    <t>15% raise from 150k (Yr0)</t>
  </si>
  <si>
    <t>15% raise from 130k</t>
  </si>
  <si>
    <t>2 staff, each up 15% from 90k</t>
  </si>
  <si>
    <t>15% raise from 70k</t>
  </si>
  <si>
    <t>15% raise from 65k</t>
  </si>
  <si>
    <t>15% raise from 90k</t>
  </si>
  <si>
    <t>15% raise from 60k</t>
  </si>
  <si>
    <t>15% raise from 85k</t>
  </si>
  <si>
    <t>15% raise from 80k</t>
  </si>
  <si>
    <t>Engineer / Technician (New)</t>
  </si>
  <si>
    <t>New hire at original base (Yr0 rate)</t>
  </si>
  <si>
    <t>Operator / Maintenance (Day, New)</t>
  </si>
  <si>
    <t>New day operator, Yr0 base</t>
  </si>
  <si>
    <t>Quality / Safety</t>
  </si>
  <si>
    <t>Quality &amp; Safety Manager (New)</t>
  </si>
  <si>
    <t>New role for QA &amp; safety</t>
  </si>
  <si>
    <t>Overhead &amp; Benefits (~37.36%)</t>
  </si>
  <si>
    <t>Year 2 Salaries</t>
  </si>
  <si>
    <t>Year-2 Base Salary (USD)</t>
  </si>
  <si>
    <t>15% raise from Year 1</t>
  </si>
  <si>
    <t>2 staff</t>
  </si>
  <si>
    <t>Engineer / Technician (Added in Y1)</t>
  </si>
  <si>
    <t>15% raise from 90k (Y1)</t>
  </si>
  <si>
    <t>Operator / Maintenance (Day, Added in Y1)</t>
  </si>
  <si>
    <t>15% raise from 70k (Y1)</t>
  </si>
  <si>
    <t>Quality &amp; Safety Manager (Added in Y1)</t>
  </si>
  <si>
    <t>15% raise from 85k (Y1)</t>
  </si>
  <si>
    <t>Procurement</t>
  </si>
  <si>
    <t>Procurement / Logistics Manager (New in Y2)</t>
  </si>
  <si>
    <t>New hire</t>
  </si>
  <si>
    <t>Process Engineer (New in Y2)</t>
  </si>
  <si>
    <t>Year 3 Salaries for Initial / R&amp;D Facility</t>
  </si>
  <si>
    <t>Year-3 Base Salary (USD)</t>
  </si>
  <si>
    <t>15% raise from Y2</t>
  </si>
  <si>
    <t>(2 staff)</t>
  </si>
  <si>
    <t>Engineer / Technician (Added Y1)</t>
  </si>
  <si>
    <t>Operator / Maintenance (Day, Added Y1)</t>
  </si>
  <si>
    <t>Quality &amp; Safety Manager (Added Y1)</t>
  </si>
  <si>
    <t>Procurement / Logistics Manager (Added Y2)</t>
  </si>
  <si>
    <t>Process Engineer (Added Y2)</t>
  </si>
  <si>
    <t>Human Resources</t>
  </si>
  <si>
    <t>HR Manager (New in Y3)</t>
  </si>
  <si>
    <t>Engineering / Testing</t>
  </si>
  <si>
    <t>Electrolyzer Test Engineer (New in Y3)</t>
  </si>
  <si>
    <t>Additional Facility Year 0 Salaries</t>
  </si>
  <si>
    <t>Count</t>
  </si>
  <si>
    <t>Total Salary (USD)</t>
  </si>
  <si>
    <t>Facility Manager / Senior Engineering</t>
  </si>
  <si>
    <t>On-site engineering &amp; maintenance</t>
  </si>
  <si>
    <t>Daytime production</t>
  </si>
  <si>
    <t>Supports on-site operations</t>
  </si>
  <si>
    <t>Additional Facility Year 1 Salaries</t>
  </si>
  <si>
    <t>Facility Management</t>
  </si>
  <si>
    <t>Facility Manager / Senior Engineer</t>
  </si>
  <si>
    <t>On-site engineering &amp; maintenance (15% increase)</t>
  </si>
  <si>
    <t>Expanded team with one additional engineer (15% increase)</t>
  </si>
  <si>
    <t>Daytime production (15% increase)</t>
  </si>
  <si>
    <t>Night operation (15% increase)</t>
  </si>
  <si>
    <t>Supports on-site operations (15% increase)</t>
  </si>
  <si>
    <t>In-house electrolyzer assembly (15% increase)</t>
  </si>
  <si>
    <t>Additional Facility Year 2 Salaries</t>
  </si>
  <si>
    <t>Additional Facility Year 3 Salaries</t>
  </si>
  <si>
    <t>MVA</t>
  </si>
  <si>
    <t>PF</t>
  </si>
  <si>
    <t>Real Power</t>
  </si>
  <si>
    <t>kg h2</t>
  </si>
  <si>
    <t>cost per day</t>
  </si>
  <si>
    <t>annualized capex</t>
  </si>
  <si>
    <t>salaries</t>
  </si>
  <si>
    <t>fixed prices per kg</t>
  </si>
  <si>
    <t>total cost per kg</t>
  </si>
  <si>
    <t>sale price</t>
  </si>
  <si>
    <t>margin</t>
  </si>
  <si>
    <t>Pilot / R&amp;D Facility</t>
  </si>
  <si>
    <t>Subcategory</t>
  </si>
  <si>
    <t>Cost (USD)</t>
  </si>
  <si>
    <t>Project Development &amp; Engineering</t>
  </si>
  <si>
    <t>Permitting &amp; Regulatory Approvals</t>
  </si>
  <si>
    <t>Equipment &amp; Materials</t>
  </si>
  <si>
    <t>Electrolyzer System (HVMF 10-20 Units at 25 kg / day)</t>
  </si>
  <si>
    <t>Hydrogen Compressor (to 350–700 bar range)</t>
  </si>
  <si>
    <t>High-Pressure Storage Tanks (cascade storage)</t>
  </si>
  <si>
    <t>Hydrogen Dispensing System (incl. 700 bar dispenser &amp; cooling)</t>
  </si>
  <si>
    <t>Water Purification &amp; Treatment System</t>
  </si>
  <si>
    <t>Safety Systems (H₂ detectors; ventilation; fire suppression)</t>
  </si>
  <si>
    <t>Misc. Balance of Plant Equipment (piping and valves)</t>
  </si>
  <si>
    <t>Truck Load Out Stanchions</t>
  </si>
  <si>
    <t>Manufacturing Equipment</t>
  </si>
  <si>
    <t>5-Axis CNC Machine</t>
  </si>
  <si>
    <t>CNC Transformer Winder</t>
  </si>
  <si>
    <t>3D Printer (Industrial)</t>
  </si>
  <si>
    <t>Supporting Equipment</t>
  </si>
  <si>
    <t>Tools &amp; Fixtures</t>
  </si>
  <si>
    <t>Electronics Testing &amp; Lab Equipment</t>
  </si>
  <si>
    <t>Software &amp; Licenses</t>
  </si>
  <si>
    <t>CAD/CAM Software</t>
  </si>
  <si>
    <t>Construction &amp; Installation</t>
  </si>
  <si>
    <t>Mechanical Installation (assembly &amp; piping)</t>
  </si>
  <si>
    <t>Electrical Installation (power &amp; control wiring)</t>
  </si>
  <si>
    <t>Instrumentation &amp; Controls Installation</t>
  </si>
  <si>
    <t>Commissioning &amp; Startup</t>
  </si>
  <si>
    <t>System Commissioning &amp; Testing</t>
  </si>
  <si>
    <t>Staff Training &amp; Documentation</t>
  </si>
  <si>
    <t>Research and Development</t>
  </si>
  <si>
    <t>R&amp;D Materials for 100 kg / day system</t>
  </si>
  <si>
    <t>Project Management &amp; Indirects</t>
  </si>
  <si>
    <t>Construction Management (on-site supervision)</t>
  </si>
  <si>
    <t>Insurance &amp; Legal</t>
  </si>
  <si>
    <t>Facility Lease (1 year @ $7/sqft for 10000 sq.ft.)</t>
  </si>
  <si>
    <t>Contingency</t>
  </si>
  <si>
    <t>Contingency (approx. 15% of direct costs)</t>
  </si>
  <si>
    <t>TOTAL PROJECT COST</t>
  </si>
  <si>
    <t>Additional Facility</t>
  </si>
  <si>
    <t>Original (USD)</t>
  </si>
  <si>
    <t>Electrolyzer System (10× 125 kg/day units)</t>
  </si>
  <si>
    <t>Modularization &amp; Skid Savings</t>
  </si>
  <si>
    <t>Supporting &amp; Software</t>
  </si>
  <si>
    <t>Tools Fixtures Testing CAD</t>
  </si>
  <si>
    <t>15 percent (~460000)</t>
  </si>
  <si>
    <t>Engineering Detail</t>
  </si>
  <si>
    <t>Design Element</t>
  </si>
  <si>
    <t>Safety Standard / Note</t>
  </si>
  <si>
    <t>Hydrogen Piping</t>
  </si>
  <si>
    <t>316/316L SS tubing, welded connections</t>
  </si>
  <si>
    <t>ASME B31.12 (Hydrogen Piping)</t>
  </si>
  <si>
    <t>Valves &amp; Isolation</t>
  </si>
  <si>
    <t>Manual block valves + remotely actuated shut-off valves</t>
  </si>
  <si>
    <t>Hydrogen-rated materials; quick isolation in ESD</t>
  </si>
  <si>
    <t>Pressure Relief / PSV</t>
  </si>
  <si>
    <t>PSVs on electrolyzer, storage, compressor, fill line</t>
  </si>
  <si>
    <t>Discharge to safe vent stack per EIGA guidelines</t>
  </si>
  <si>
    <t>Vent Stack</t>
  </si>
  <si>
    <t>Outdoor, vertical stack above roof line</t>
  </si>
  <si>
    <t>Prevents H₂ accumulation; meets NFPA &amp; EIGA dispersion</t>
  </si>
  <si>
    <t>Purge &amp; Drains</t>
  </si>
  <si>
    <t>N₂ purge connections, drains at low points</t>
  </si>
  <si>
    <t>Allows safe maintenance and system inerting</t>
  </si>
  <si>
    <t>Feature</t>
  </si>
  <si>
    <t>Benefit / Purpose</t>
  </si>
  <si>
    <t>PLC-Based Control</t>
  </si>
  <si>
    <t>Central automation with sensors/actuators</t>
  </si>
  <si>
    <t>Real-time monitoring, process control</t>
  </si>
  <si>
    <t>Automated Safety Shutdown</t>
  </si>
  <si>
    <t>ESD logic for leak/fire/overpressure events</t>
  </si>
  <si>
    <t>Immediate isolation, prevents escalation</t>
  </si>
  <si>
    <t>HMI (Human-Machine Interface)</t>
  </si>
  <si>
    <t>Touchscreen panel + remote access</t>
  </si>
  <si>
    <t>Ease of operation, remote monitoring, data logging</t>
  </si>
  <si>
    <t>Truck Loading Automation</t>
  </si>
  <si>
    <t>Automated fill termination, flow control</t>
  </si>
  <si>
    <t>Prevents overfilling, ensures safe loading</t>
  </si>
  <si>
    <t>Data Logging &amp; Alarms</t>
  </si>
  <si>
    <t>Continuous recording of pressures/flows/temps</t>
  </si>
  <si>
    <t>Improves troubleshooting, tracks performance</t>
  </si>
  <si>
    <t>Item/Area</t>
  </si>
  <si>
    <t>Design Detail</t>
  </si>
  <si>
    <t>Safety Feature</t>
  </si>
  <si>
    <t>Loading Bay</t>
  </si>
  <si>
    <t>Concrete pad with stanchions &amp; bollards</t>
  </si>
  <si>
    <t>Vehicle guidance, impact protection</t>
  </si>
  <si>
    <t>Grounding System</t>
  </si>
  <si>
    <t>Ground cable or clamp to trailer</t>
  </si>
  <si>
    <t>Prevents static spark ignition</t>
  </si>
  <si>
    <t>Fill Hose &amp; Coupling</t>
  </si>
  <si>
    <t>High-pressure H₂ hose w/ breakaway coupling</t>
  </si>
  <si>
    <t>Shuts flow if truck drives off prematurely</t>
  </si>
  <si>
    <t>Valve &amp; Control Integration</t>
  </si>
  <si>
    <t>Manual block + auto shut-off valve at fill line</t>
  </si>
  <si>
    <t>Remote ESD capability to stop hydrogen flow</t>
  </si>
  <si>
    <t>Leak Detection</t>
  </si>
  <si>
    <t>Hydrogen sensors near fill point</t>
  </si>
  <si>
    <t>Alerts operator; triggers ESD if high level</t>
  </si>
  <si>
    <t>Emergency Shutdown (ESD)</t>
  </si>
  <si>
    <t>Button on-site + system integration</t>
  </si>
  <si>
    <t>Immediate stop of flow &amp; compressor</t>
  </si>
  <si>
    <t>Safety Measure</t>
  </si>
  <si>
    <t>Description / Implementation</t>
  </si>
  <si>
    <t>Standard or Rationale</t>
  </si>
  <si>
    <t>H₂ Leak Detectors</t>
  </si>
  <si>
    <t>Multiple sensors in enclosures/outdoor areas</t>
  </si>
  <si>
    <t>Alerts at low ppm, triggers ESD at higher reading</t>
  </si>
  <si>
    <t>Fire Detection</t>
  </si>
  <si>
    <t>UV/IR flame detectors near major equipment</t>
  </si>
  <si>
    <t>Hydrogen flames are low-radiant/invisible</t>
  </si>
  <si>
    <t>Ventilation</t>
  </si>
  <si>
    <t>Outdoor placement + forced vent if enclosed</t>
  </si>
  <si>
    <t>NFPA codes recommend ~6 ACH for H₂ enclosures</t>
  </si>
  <si>
    <t>ESD System</t>
  </si>
  <si>
    <t>Stops electrolyzer &amp; compressor; closes valves</t>
  </si>
  <si>
    <t>Cuts off hydrogen source to prevent escalation</t>
  </si>
  <si>
    <t>Personnel Training</t>
  </si>
  <si>
    <t>Safety drills, PPE use, procedure compliance</t>
  </si>
  <si>
    <t>Ensures operator readiness &amp; minimal human error</t>
  </si>
  <si>
    <t>Compliance</t>
  </si>
  <si>
    <t>Codes: NFPA 2/55, ASME VIII, CGA guidelines</t>
  </si>
  <si>
    <t>Industry best practices for hydrogen handling</t>
  </si>
  <si>
    <t>Contingency Budget</t>
  </si>
  <si>
    <t>~15% of CAPEX (~$250k)</t>
  </si>
  <si>
    <t>Covers unforeseen scope changes, price spikes</t>
  </si>
  <si>
    <t>Facility Expansion Costs</t>
  </si>
  <si>
    <t>Amount USD</t>
  </si>
  <si>
    <t>Pilot Facility to Intermediate Operations</t>
  </si>
  <si>
    <t>Electrical infrastructure upgrades, electrolysis upgrades, and other associated equipment</t>
  </si>
  <si>
    <t>Pilotp Facility to Full Operations</t>
  </si>
  <si>
    <t>Additional Facility Upgrade Cost</t>
  </si>
  <si>
    <t>Net Profit (Post-Tax)</t>
  </si>
  <si>
    <t>Operations Snapshot</t>
  </si>
  <si>
    <t>No facilities Operating Yet</t>
  </si>
  <si>
    <t>1 facility operating, building a second</t>
  </si>
  <si>
    <t>2 facilities operating, building 2 more</t>
  </si>
  <si>
    <t>4 facilities + building equipment sales and 2 more facilities</t>
  </si>
  <si>
    <t xml:space="preserve">6 facilities + equipment sales </t>
  </si>
  <si>
    <t xml:space="preserve">6 facilities + equipment sales + building 12 facilities </t>
  </si>
  <si>
    <t>Net Profit</t>
  </si>
  <si>
    <t>10× Multiple Valuation</t>
  </si>
  <si>
    <t>20× Multiple Valuation</t>
  </si>
  <si>
    <t>No real profit, leftover from funding</t>
  </si>
  <si>
    <t>Very early stage. Growth potential is key; investors often weigh future projections heavily.</t>
  </si>
  <si>
    <t>Significant revenue ramp-up. More confidence in business viability could yield higher multiples.</t>
  </si>
  <si>
    <t>Demonstrated multi-facility model + equipment sales. Valuation could trend closer to 15×–20×.</t>
  </si>
  <si>
    <t>Huge jump—if sustained growth is credible, the market may price in a premium multiple.</t>
  </si>
  <si>
    <t>Estimated Cost (USD)</t>
  </si>
  <si>
    <t>Key Details / Notes</t>
  </si>
  <si>
    <t>Electrolyzer System</t>
  </si>
  <si>
    <t>Sized for ~250 kg H₂/day; assumes ~$400/kW capital cost, includes stack, power supply, cooling, etc.</t>
  </si>
  <si>
    <t>Hydrogen Storage Tanks</t>
  </si>
  <si>
    <t>Composite overwrapped pressure vessels (Type IV); locally sourced for cost savings</t>
  </si>
  <si>
    <t>High-Pressure Compressor</t>
  </si>
  <si>
    <t>Packaged diaphragm or piston compressor (200–300 bar), includes motor &amp; controls</t>
  </si>
  <si>
    <t>Reverse Osmosis (RO) System</t>
  </si>
  <si>
    <t>Upgraded to 10,000 GPD; ensures high-purity water supply</t>
  </si>
  <si>
    <t>Piping, Valves, &amp; Pressure Safety</t>
  </si>
  <si>
    <t>Stainless steel piping, fittings, ASME B31.12 compliant, includes PSVs and vent stack</t>
  </si>
  <si>
    <t>Truck Loading Infrastructure</t>
  </si>
  <si>
    <t>Dedicated loading bay; fill hose with breakaway coupling; safety features (ESD, grounding)</t>
  </si>
  <si>
    <t>Instrumentation &amp; Controls (Automation)</t>
  </si>
  <si>
    <t>FW Murphy PLC-based control system; remote monitoring &amp; ESD logic</t>
  </si>
  <si>
    <t>Electrical &amp; Utilities</t>
  </si>
  <si>
    <t>Electrical supply/distribution, hazardous-area wiring, transformers, MCC</t>
  </si>
  <si>
    <t>Engineering, Construction &amp; Commissioning</t>
  </si>
  <si>
    <t>Detailed design, project management, permits, labor, startup/testing</t>
  </si>
  <si>
    <t>Contingency (~15%)</t>
  </si>
  <si>
    <t>Allowance for unforeseen costs, design evolutions, price fluctuations</t>
  </si>
  <si>
    <t>TOTAL CAPEX</t>
  </si>
  <si>
    <t>Includes all major equipment and balance-of-plant for a complete pilot facility</t>
  </si>
  <si>
    <t>OPEX Category</t>
  </si>
  <si>
    <t>Annual Cost or Range</t>
  </si>
  <si>
    <t>Key Points</t>
  </si>
  <si>
    <t>Electricity Consumption</t>
  </si>
  <si>
    <t xml:space="preserve">~50–55 kWh/kg H₂ → ~4.5 million kWh/yr for 250 kg/day. </t>
  </si>
  <si>
    <t>Water Supply &amp; Treatment</t>
  </si>
  <si>
    <t>~2,250–2,700 L/day (~216,000 gal/yr). Raw water cost is negligible (&lt;$1k/yr). RO consumables add a few thousand $/yr.</t>
  </si>
  <si>
    <t>Maintenance &amp; Spare Parts</t>
  </si>
  <si>
    <t>Covers routine servicing of electrolyzer, compressor, valves, instrumentation, plus spare parts.</t>
  </si>
  <si>
    <t>Labor &amp; Operations</t>
  </si>
  <si>
    <t>High degree of automation; one half-time operator + one half-time maintenance tech.</t>
  </si>
  <si>
    <t>Other Utilities &amp; Misc.</t>
  </si>
  <si>
    <t>Includes small loads for cooling, ventilation, lighting, site overheads, etc.</t>
  </si>
  <si>
    <t>TOTAL OPEX</t>
  </si>
  <si>
    <t>Translates to roughly $4–$6/kg H₂ (dominated by electricity costs).</t>
  </si>
  <si>
    <t>Electric Rate (USD/kWh)</t>
  </si>
  <si>
    <t>kWh Used per Batch</t>
  </si>
  <si>
    <t>H₂ Produced per Batch (kg)</t>
  </si>
  <si>
    <t>Electricity Cost per Batch</t>
  </si>
  <si>
    <t>Approx. Cost per kg H₂</t>
  </si>
  <si>
    <t>$1.06/kg</t>
  </si>
  <si>
    <t>$1.15/kg</t>
  </si>
  <si>
    <t>$0.46/kg</t>
  </si>
  <si>
    <t>Project - GH2x</t>
  </si>
  <si>
    <t>Tobe Energy Corp.</t>
  </si>
  <si>
    <t>PHASE</t>
  </si>
  <si>
    <t>DETAILS</t>
  </si>
  <si>
    <t>Q2</t>
  </si>
  <si>
    <t>Q3</t>
  </si>
  <si>
    <t>Q4</t>
  </si>
  <si>
    <t>Q1</t>
  </si>
  <si>
    <t>Project Month</t>
  </si>
  <si>
    <t>Pilot Facility - GH2x</t>
  </si>
  <si>
    <t>- Site Selection</t>
  </si>
  <si>
    <t>- Permitting</t>
  </si>
  <si>
    <t>- Site Preparation</t>
  </si>
  <si>
    <t>GH2x Intermediate Operations</t>
  </si>
  <si>
    <t>- Scope and Goal Setting</t>
  </si>
  <si>
    <t>- Budget</t>
  </si>
  <si>
    <t>- Work Breakdown Schedule</t>
  </si>
  <si>
    <t>- Gantt Chart</t>
  </si>
  <si>
    <t>- Communication Plan</t>
  </si>
  <si>
    <t>- Risk Management</t>
  </si>
  <si>
    <t>GH2x Final Operations</t>
  </si>
  <si>
    <t>- Status and Tracking</t>
  </si>
  <si>
    <t>- KPIs</t>
  </si>
  <si>
    <t>- Quality</t>
  </si>
  <si>
    <t>- Forecasts</t>
  </si>
  <si>
    <t>GH2x2</t>
  </si>
  <si>
    <t>- Objective Execution</t>
  </si>
  <si>
    <t>- Quality Deliverables</t>
  </si>
  <si>
    <t>- Effort and Cost Tracking</t>
  </si>
  <si>
    <t>- Performance</t>
  </si>
  <si>
    <t>GH2x3</t>
  </si>
  <si>
    <t>- Postmortem</t>
  </si>
  <si>
    <t>- Project Punchlist</t>
  </si>
  <si>
    <t>- Report</t>
  </si>
  <si>
    <t>GH2x4</t>
  </si>
  <si>
    <t>GH2x5</t>
  </si>
  <si>
    <t>GH2x6</t>
  </si>
  <si>
    <t>Steel piping, wiring, etc.</t>
  </si>
  <si>
    <t>Setting up in-house line, cnc winder, 3d printing, ect.</t>
  </si>
  <si>
    <t>Use of Funds, Misc.</t>
  </si>
  <si>
    <t>Year 1 Use of Funds, Misc.</t>
  </si>
  <si>
    <t>Year 2 Use of Funds, Misc.</t>
  </si>
  <si>
    <t>Year 3+ Use of Funds, Misc.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</si>
</sst>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(&quot;$&quot;* #,##0.00_);_(&quot;$&quot;* \(#,##0.00\);_(&quot;$&quot;* &quot;-&quot;??_);_(@_)"/>
    <numFmt numFmtId="164" formatCode="m/yyyy"/>
    <numFmt numFmtId="165" formatCode="\$* #,##0_);[Red]\$* \(#,##0\)"/>
    <numFmt numFmtId="166" formatCode="&quot;$&quot;#,##0.00"/>
    <numFmt numFmtId="167" formatCode="#,##0;\(#,##0\)"/>
    <numFmt numFmtId="168" formatCode="_(&quot;$&quot;* #,##0_);_(&quot;$&quot;* \(#,##0\);_(&quot;$&quot;* &quot;-&quot;??_);_(@_)"/>
    <numFmt numFmtId="169" formatCode="m/d/yyyy"/>
    <numFmt numFmtId="170" formatCode="&quot;$&quot;#,##0"/>
    <numFmt numFmtId="171" formatCode="&quot;$&quot;#,##0.000"/>
  </numFmts>
  <fonts count="44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24"/>
      <color rgb="FF808080"/>
      <name val="Montserrat"/>
    </font>
    <font>
      <b/>
      <sz val="18"/>
      <color rgb="FF808080"/>
      <name val="Montserrat"/>
    </font>
    <font>
      <u/>
      <sz val="18"/>
      <color rgb="FF1155CC"/>
      <name val="Montserrat"/>
    </font>
    <font>
      <u/>
      <sz val="16"/>
      <color rgb="FF0000FF"/>
      <name val="Montserrat"/>
    </font>
    <font>
      <sz val="10"/>
      <color theme="1"/>
      <name val="Montserrat"/>
    </font>
    <font>
      <b/>
      <sz val="10"/>
      <color theme="1"/>
      <name val="Montserrat"/>
    </font>
    <font>
      <b/>
      <sz val="14"/>
      <color rgb="FF1B202B"/>
      <name val="Montserrat"/>
    </font>
    <font>
      <b/>
      <sz val="10"/>
      <color rgb="FF1B202B"/>
      <name val="Montserrat"/>
    </font>
    <font>
      <b/>
      <i/>
      <sz val="10"/>
      <color theme="1"/>
      <name val="Montserrat"/>
    </font>
    <font>
      <i/>
      <sz val="10"/>
      <color theme="1"/>
      <name val="Montserrat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rgb="FFEA4335"/>
      <name val="Montserrat"/>
    </font>
    <font>
      <sz val="10"/>
      <color rgb="FF666666"/>
      <name val="Montserrat"/>
    </font>
    <font>
      <sz val="10"/>
      <color rgb="FF999999"/>
      <name val="Montserrat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theme="1"/>
      <name val="Corbel"/>
    </font>
    <font>
      <b/>
      <sz val="30"/>
      <color rgb="FF0B5394"/>
      <name val="Roboto"/>
    </font>
    <font>
      <b/>
      <sz val="12"/>
      <color rgb="FF0B5394"/>
      <name val="Roboto"/>
    </font>
    <font>
      <b/>
      <sz val="8"/>
      <color rgb="FFFFFFFF"/>
      <name val="Roboto"/>
    </font>
    <font>
      <b/>
      <sz val="9"/>
      <color rgb="FFFFFFFF"/>
      <name val="Roboto"/>
    </font>
    <font>
      <b/>
      <sz val="9"/>
      <color rgb="FF434343"/>
      <name val="Roboto"/>
    </font>
    <font>
      <b/>
      <sz val="12"/>
      <color rgb="FF666666"/>
      <name val="Roboto"/>
    </font>
    <font>
      <b/>
      <sz val="8"/>
      <color rgb="FF666666"/>
      <name val="Roboto"/>
    </font>
    <font>
      <sz val="9"/>
      <color rgb="FF666666"/>
      <name val="Roboto"/>
    </font>
    <font>
      <sz val="14"/>
      <color rgb="FFFFFFFF"/>
      <name val="Roboto"/>
    </font>
    <font>
      <b/>
      <sz val="14"/>
      <color rgb="FF0B5394"/>
      <name val="Roboto"/>
    </font>
    <font>
      <sz val="9"/>
      <color rgb="FF0B5394"/>
      <name val="Roboto"/>
    </font>
    <font>
      <sz val="9"/>
      <color rgb="FFFFFFFF"/>
      <name val="Roboto"/>
    </font>
    <font>
      <b/>
      <sz val="14"/>
      <color rgb="FF45818E"/>
      <name val="Roboto"/>
    </font>
    <font>
      <sz val="9"/>
      <color rgb="FF45818E"/>
      <name val="Roboto"/>
    </font>
    <font>
      <b/>
      <sz val="14"/>
      <color rgb="FFB85B22"/>
      <name val="Roboto"/>
    </font>
    <font>
      <sz val="9"/>
      <color rgb="FFB85B22"/>
      <name val="Roboto"/>
    </font>
    <font>
      <b/>
      <sz val="14"/>
      <color rgb="FF38761D"/>
      <name val="Roboto"/>
    </font>
    <font>
      <sz val="9"/>
      <color rgb="FF38761D"/>
      <name val="Roboto"/>
    </font>
    <font>
      <b/>
      <sz val="14"/>
      <color rgb="FF351C75"/>
      <name val="Roboto"/>
    </font>
    <font>
      <sz val="9"/>
      <color rgb="FF351C75"/>
      <name val="Roboto"/>
    </font>
    <font>
      <sz val="8"/>
      <color rgb="FF000000"/>
      <name val="&quot;Helvetica Neue&quot;"/>
    </font>
    <font>
      <sz val="10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00CD95"/>
        <bgColor rgb="FF00CD95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0B5394"/>
        <bgColor rgb="FF0B5394"/>
      </patternFill>
    </fill>
    <fill>
      <patternFill patternType="solid">
        <fgColor rgb="FFF8F8F8"/>
        <bgColor rgb="FFF8F8F8"/>
      </patternFill>
    </fill>
    <fill>
      <patternFill patternType="solid">
        <fgColor rgb="FF45818E"/>
        <bgColor rgb="FF45818E"/>
      </patternFill>
    </fill>
    <fill>
      <patternFill patternType="solid">
        <fgColor rgb="FFB85B22"/>
        <bgColor rgb="FFB85B22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79">
    <border>
      <left/>
      <right/>
      <top/>
      <bottom/>
      <diagonal/>
    </border>
    <border>
      <left style="thick">
        <color rgb="FF666666"/>
      </left>
      <right/>
      <top style="thick">
        <color rgb="FF666666"/>
      </top>
      <bottom/>
      <diagonal/>
    </border>
    <border>
      <left/>
      <right/>
      <top style="thick">
        <color rgb="FF666666"/>
      </top>
      <bottom/>
      <diagonal/>
    </border>
    <border>
      <left/>
      <right style="thick">
        <color rgb="FF666666"/>
      </right>
      <top style="thick">
        <color rgb="FF666666"/>
      </top>
      <bottom/>
      <diagonal/>
    </border>
    <border>
      <left style="thick">
        <color rgb="FF666666"/>
      </left>
      <right/>
      <top/>
      <bottom/>
      <diagonal/>
    </border>
    <border>
      <left/>
      <right style="thick">
        <color rgb="FF666666"/>
      </right>
      <top/>
      <bottom/>
      <diagonal/>
    </border>
    <border>
      <left style="thick">
        <color rgb="FF666666"/>
      </left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 style="thick">
        <color rgb="FF666666"/>
      </right>
      <top/>
      <bottom style="thick">
        <color rgb="FF666666"/>
      </bottom>
      <diagonal/>
    </border>
    <border>
      <left/>
      <right/>
      <top/>
      <bottom style="thick">
        <color rgb="FF00CD95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1B202B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1B202B"/>
      </bottom>
      <diagonal/>
    </border>
    <border>
      <left/>
      <right/>
      <top/>
      <bottom style="thick">
        <color rgb="FFCCCCCC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/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/>
      <right/>
      <top/>
      <bottom style="thick">
        <color rgb="FF0B5394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thin">
        <color rgb="FFD9D9D9"/>
      </right>
      <top/>
      <bottom/>
      <diagonal/>
    </border>
    <border>
      <left style="thin">
        <color rgb="FF999999"/>
      </left>
      <right style="hair">
        <color rgb="FFCCCCCC"/>
      </right>
      <top/>
      <bottom style="hair">
        <color rgb="FFCCCCCC"/>
      </bottom>
      <diagonal/>
    </border>
    <border>
      <left style="hair">
        <color rgb="FFCCCCCC"/>
      </left>
      <right style="hair">
        <color rgb="FFCCCCCC"/>
      </right>
      <top/>
      <bottom style="hair">
        <color rgb="FFCCCCCC"/>
      </bottom>
      <diagonal/>
    </border>
    <border>
      <left style="hair">
        <color rgb="FFCCCCCC"/>
      </left>
      <right/>
      <top/>
      <bottom style="hair">
        <color rgb="FFCCCCCC"/>
      </bottom>
      <diagonal/>
    </border>
    <border>
      <left/>
      <right/>
      <top/>
      <bottom style="hair">
        <color rgb="FFCCCCCC"/>
      </bottom>
      <diagonal/>
    </border>
    <border>
      <left/>
      <right style="hair">
        <color rgb="FFCCCCCC"/>
      </right>
      <top/>
      <bottom style="hair">
        <color rgb="FFCCCCCC"/>
      </bottom>
      <diagonal/>
    </border>
    <border>
      <left style="hair">
        <color rgb="FFCCCCCC"/>
      </left>
      <right style="hair">
        <color rgb="FFCCCCCC"/>
      </right>
      <top/>
      <bottom/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/>
      <top style="hair">
        <color rgb="FFCCCCCC"/>
      </top>
      <bottom style="hair">
        <color rgb="FFCCCCCC"/>
      </bottom>
      <diagonal/>
    </border>
    <border>
      <left/>
      <right/>
      <top style="hair">
        <color rgb="FFCCCCCC"/>
      </top>
      <bottom style="hair">
        <color rgb="FFCCCCCC"/>
      </bottom>
      <diagonal/>
    </border>
    <border>
      <left/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/>
      <diagonal/>
    </border>
    <border>
      <left style="hair">
        <color rgb="FFCCCCCC"/>
      </left>
      <right style="hair">
        <color rgb="FFCCCCCC"/>
      </right>
      <top style="hair">
        <color rgb="FFCCCCCC"/>
      </top>
      <bottom/>
      <diagonal/>
    </border>
    <border>
      <left style="hair">
        <color rgb="FFCCCCCC"/>
      </left>
      <right/>
      <top style="hair">
        <color rgb="FFCCCCCC"/>
      </top>
      <bottom/>
      <diagonal/>
    </border>
    <border>
      <left/>
      <right/>
      <top style="hair">
        <color rgb="FFCCCCCC"/>
      </top>
      <bottom/>
      <diagonal/>
    </border>
    <border>
      <left/>
      <right/>
      <top/>
      <bottom style="medium">
        <color rgb="FF0B5394"/>
      </bottom>
      <diagonal/>
    </border>
    <border>
      <left/>
      <right style="thin">
        <color rgb="FFD9D9D9"/>
      </right>
      <top/>
      <bottom style="medium">
        <color rgb="FF0B5394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0B5394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0B5394"/>
      </bottom>
      <diagonal/>
    </border>
    <border>
      <left style="hair">
        <color rgb="FFCCCCCC"/>
      </left>
      <right/>
      <top style="hair">
        <color rgb="FFCCCCCC"/>
      </top>
      <bottom style="medium">
        <color rgb="FF0B5394"/>
      </bottom>
      <diagonal/>
    </border>
    <border>
      <left/>
      <right/>
      <top/>
      <bottom style="medium">
        <color rgb="FF45818E"/>
      </bottom>
      <diagonal/>
    </border>
    <border>
      <left/>
      <right style="thin">
        <color rgb="FFD9D9D9"/>
      </right>
      <top/>
      <bottom style="medium">
        <color rgb="FF45818E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45818E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45818E"/>
      </bottom>
      <diagonal/>
    </border>
    <border>
      <left/>
      <right/>
      <top/>
      <bottom style="medium">
        <color rgb="FFC76121"/>
      </bottom>
      <diagonal/>
    </border>
    <border>
      <left/>
      <right style="thin">
        <color rgb="FFD9D9D9"/>
      </right>
      <top/>
      <bottom style="medium">
        <color rgb="FFC76121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C76121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C76121"/>
      </bottom>
      <diagonal/>
    </border>
    <border>
      <left/>
      <right/>
      <top/>
      <bottom style="medium">
        <color rgb="FF38761D"/>
      </bottom>
      <diagonal/>
    </border>
    <border>
      <left/>
      <right style="thin">
        <color rgb="FFD9D9D9"/>
      </right>
      <top/>
      <bottom style="medium">
        <color rgb="FF38761D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38761D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38761D"/>
      </bottom>
      <diagonal/>
    </border>
  </borders>
  <cellStyleXfs count="2">
    <xf numFmtId="0" fontId="0" fillId="0" borderId="0"/>
    <xf numFmtId="9" fontId="43" fillId="0" borderId="0" applyFont="0" applyFill="0" applyBorder="0" applyAlignment="0" applyProtection="0"/>
  </cellStyleXfs>
  <cellXfs count="3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0" xfId="0" applyFont="1" applyFill="1"/>
    <xf numFmtId="0" fontId="3" fillId="3" borderId="0" xfId="0" applyFont="1" applyFill="1"/>
    <xf numFmtId="0" fontId="1" fillId="0" borderId="0" xfId="0" applyFont="1"/>
    <xf numFmtId="0" fontId="5" fillId="3" borderId="0" xfId="0" applyFont="1" applyFill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7" fillId="4" borderId="0" xfId="0" applyFont="1" applyFill="1" applyAlignment="1">
      <alignment horizontal="right"/>
    </xf>
    <xf numFmtId="0" fontId="6" fillId="4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164" fontId="1" fillId="0" borderId="0" xfId="0" applyNumberFormat="1" applyFont="1"/>
    <xf numFmtId="14" fontId="6" fillId="0" borderId="0" xfId="0" applyNumberFormat="1" applyFont="1" applyAlignment="1">
      <alignment horizontal="center"/>
    </xf>
    <xf numFmtId="164" fontId="6" fillId="4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7" fillId="4" borderId="0" xfId="0" applyFont="1" applyFill="1" applyAlignment="1">
      <alignment horizontal="left"/>
    </xf>
    <xf numFmtId="165" fontId="6" fillId="0" borderId="0" xfId="0" applyNumberFormat="1" applyFont="1" applyAlignment="1">
      <alignment horizontal="right"/>
    </xf>
    <xf numFmtId="165" fontId="6" fillId="4" borderId="0" xfId="0" applyNumberFormat="1" applyFont="1" applyFill="1" applyAlignment="1">
      <alignment horizontal="right"/>
    </xf>
    <xf numFmtId="0" fontId="8" fillId="5" borderId="9" xfId="0" applyFont="1" applyFill="1" applyBorder="1"/>
    <xf numFmtId="0" fontId="7" fillId="5" borderId="9" xfId="0" applyFont="1" applyFill="1" applyBorder="1"/>
    <xf numFmtId="0" fontId="6" fillId="5" borderId="9" xfId="0" applyFont="1" applyFill="1" applyBorder="1"/>
    <xf numFmtId="165" fontId="6" fillId="5" borderId="9" xfId="0" applyNumberFormat="1" applyFont="1" applyFill="1" applyBorder="1"/>
    <xf numFmtId="166" fontId="7" fillId="0" borderId="10" xfId="0" applyNumberFormat="1" applyFont="1" applyBorder="1"/>
    <xf numFmtId="166" fontId="6" fillId="0" borderId="10" xfId="0" applyNumberFormat="1" applyFont="1" applyBorder="1"/>
    <xf numFmtId="165" fontId="6" fillId="0" borderId="11" xfId="0" applyNumberFormat="1" applyFont="1" applyBorder="1" applyAlignment="1">
      <alignment horizontal="right"/>
    </xf>
    <xf numFmtId="166" fontId="6" fillId="0" borderId="0" xfId="0" applyNumberFormat="1" applyFont="1"/>
    <xf numFmtId="166" fontId="8" fillId="5" borderId="9" xfId="0" applyNumberFormat="1" applyFont="1" applyFill="1" applyBorder="1"/>
    <xf numFmtId="166" fontId="7" fillId="5" borderId="9" xfId="0" applyNumberFormat="1" applyFont="1" applyFill="1" applyBorder="1"/>
    <xf numFmtId="166" fontId="6" fillId="5" borderId="9" xfId="0" applyNumberFormat="1" applyFont="1" applyFill="1" applyBorder="1"/>
    <xf numFmtId="166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left"/>
    </xf>
    <xf numFmtId="167" fontId="9" fillId="6" borderId="12" xfId="0" applyNumberFormat="1" applyFont="1" applyFill="1" applyBorder="1" applyAlignment="1">
      <alignment horizontal="right"/>
    </xf>
    <xf numFmtId="166" fontId="7" fillId="4" borderId="0" xfId="0" applyNumberFormat="1" applyFont="1" applyFill="1" applyAlignment="1">
      <alignment horizontal="left"/>
    </xf>
    <xf numFmtId="166" fontId="9" fillId="6" borderId="12" xfId="0" applyNumberFormat="1" applyFont="1" applyFill="1" applyBorder="1" applyAlignment="1">
      <alignment horizontal="right"/>
    </xf>
    <xf numFmtId="4" fontId="7" fillId="0" borderId="0" xfId="0" applyNumberFormat="1" applyFont="1" applyAlignment="1">
      <alignment horizontal="left"/>
    </xf>
    <xf numFmtId="4" fontId="7" fillId="4" borderId="0" xfId="0" applyNumberFormat="1" applyFont="1" applyFill="1" applyAlignment="1">
      <alignment horizontal="left"/>
    </xf>
    <xf numFmtId="4" fontId="6" fillId="0" borderId="0" xfId="0" applyNumberFormat="1" applyFont="1" applyAlignment="1">
      <alignment horizontal="left"/>
    </xf>
    <xf numFmtId="166" fontId="7" fillId="6" borderId="13" xfId="0" applyNumberFormat="1" applyFont="1" applyFill="1" applyBorder="1" applyAlignment="1">
      <alignment horizontal="right"/>
    </xf>
    <xf numFmtId="166" fontId="7" fillId="0" borderId="0" xfId="0" applyNumberFormat="1" applyFont="1"/>
    <xf numFmtId="166" fontId="7" fillId="6" borderId="14" xfId="0" applyNumberFormat="1" applyFont="1" applyFill="1" applyBorder="1" applyAlignment="1">
      <alignment horizontal="right"/>
    </xf>
    <xf numFmtId="4" fontId="7" fillId="3" borderId="0" xfId="0" applyNumberFormat="1" applyFont="1" applyFill="1"/>
    <xf numFmtId="166" fontId="1" fillId="0" borderId="0" xfId="0" applyNumberFormat="1" applyFont="1"/>
    <xf numFmtId="166" fontId="1" fillId="6" borderId="13" xfId="0" applyNumberFormat="1" applyFont="1" applyFill="1" applyBorder="1"/>
    <xf numFmtId="9" fontId="9" fillId="6" borderId="12" xfId="0" applyNumberFormat="1" applyFont="1" applyFill="1" applyBorder="1" applyAlignment="1">
      <alignment horizontal="center"/>
    </xf>
    <xf numFmtId="165" fontId="1" fillId="0" borderId="0" xfId="0" applyNumberFormat="1" applyFont="1"/>
    <xf numFmtId="0" fontId="1" fillId="5" borderId="9" xfId="0" applyFont="1" applyFill="1" applyBorder="1"/>
    <xf numFmtId="165" fontId="1" fillId="5" borderId="9" xfId="0" applyNumberFormat="1" applyFont="1" applyFill="1" applyBorder="1"/>
    <xf numFmtId="0" fontId="7" fillId="0" borderId="15" xfId="0" applyFont="1" applyBorder="1"/>
    <xf numFmtId="0" fontId="1" fillId="0" borderId="15" xfId="0" applyFont="1" applyBorder="1"/>
    <xf numFmtId="165" fontId="1" fillId="0" borderId="15" xfId="0" applyNumberFormat="1" applyFont="1" applyBorder="1"/>
    <xf numFmtId="168" fontId="1" fillId="0" borderId="0" xfId="0" applyNumberFormat="1" applyFont="1"/>
    <xf numFmtId="168" fontId="6" fillId="0" borderId="0" xfId="0" applyNumberFormat="1" applyFont="1"/>
    <xf numFmtId="168" fontId="9" fillId="6" borderId="0" xfId="0" applyNumberFormat="1" applyFont="1" applyFill="1" applyAlignment="1">
      <alignment horizontal="center"/>
    </xf>
    <xf numFmtId="44" fontId="7" fillId="0" borderId="0" xfId="0" applyNumberFormat="1" applyFont="1"/>
    <xf numFmtId="3" fontId="9" fillId="6" borderId="13" xfId="0" applyNumberFormat="1" applyFont="1" applyFill="1" applyBorder="1" applyAlignment="1">
      <alignment horizontal="center"/>
    </xf>
    <xf numFmtId="165" fontId="7" fillId="0" borderId="0" xfId="0" applyNumberFormat="1" applyFont="1" applyAlignment="1">
      <alignment horizontal="right"/>
    </xf>
    <xf numFmtId="44" fontId="10" fillId="0" borderId="0" xfId="0" applyNumberFormat="1" applyFont="1"/>
    <xf numFmtId="0" fontId="10" fillId="0" borderId="0" xfId="0" applyFont="1" applyAlignment="1">
      <alignment horizontal="center"/>
    </xf>
    <xf numFmtId="165" fontId="6" fillId="0" borderId="0" xfId="0" applyNumberFormat="1" applyFont="1"/>
    <xf numFmtId="44" fontId="9" fillId="6" borderId="12" xfId="0" applyNumberFormat="1" applyFont="1" applyFill="1" applyBorder="1"/>
    <xf numFmtId="168" fontId="9" fillId="6" borderId="12" xfId="0" applyNumberFormat="1" applyFont="1" applyFill="1" applyBorder="1" applyAlignment="1">
      <alignment horizontal="center"/>
    </xf>
    <xf numFmtId="169" fontId="9" fillId="6" borderId="12" xfId="0" applyNumberFormat="1" applyFont="1" applyFill="1" applyBorder="1" applyAlignment="1">
      <alignment horizontal="center"/>
    </xf>
    <xf numFmtId="3" fontId="9" fillId="6" borderId="16" xfId="0" applyNumberFormat="1" applyFont="1" applyFill="1" applyBorder="1" applyAlignment="1">
      <alignment horizontal="center"/>
    </xf>
    <xf numFmtId="44" fontId="6" fillId="0" borderId="0" xfId="0" applyNumberFormat="1" applyFont="1" applyAlignment="1">
      <alignment horizontal="right"/>
    </xf>
    <xf numFmtId="0" fontId="7" fillId="0" borderId="0" xfId="0" applyFont="1"/>
    <xf numFmtId="3" fontId="9" fillId="6" borderId="12" xfId="0" applyNumberFormat="1" applyFont="1" applyFill="1" applyBorder="1" applyAlignment="1">
      <alignment horizontal="center"/>
    </xf>
    <xf numFmtId="10" fontId="9" fillId="6" borderId="12" xfId="0" applyNumberFormat="1" applyFont="1" applyFill="1" applyBorder="1" applyAlignment="1">
      <alignment horizontal="center"/>
    </xf>
    <xf numFmtId="0" fontId="11" fillId="0" borderId="17" xfId="0" applyFont="1" applyBorder="1"/>
    <xf numFmtId="0" fontId="1" fillId="0" borderId="17" xfId="0" applyFont="1" applyBorder="1"/>
    <xf numFmtId="165" fontId="1" fillId="0" borderId="17" xfId="0" applyNumberFormat="1" applyFont="1" applyBorder="1"/>
    <xf numFmtId="44" fontId="6" fillId="0" borderId="0" xfId="0" applyNumberFormat="1" applyFont="1"/>
    <xf numFmtId="168" fontId="9" fillId="6" borderId="12" xfId="0" applyNumberFormat="1" applyFont="1" applyFill="1" applyBorder="1" applyAlignment="1">
      <alignment horizontal="right"/>
    </xf>
    <xf numFmtId="169" fontId="9" fillId="6" borderId="12" xfId="0" applyNumberFormat="1" applyFont="1" applyFill="1" applyBorder="1" applyAlignment="1">
      <alignment horizontal="right"/>
    </xf>
    <xf numFmtId="169" fontId="12" fillId="6" borderId="12" xfId="0" applyNumberFormat="1" applyFont="1" applyFill="1" applyBorder="1"/>
    <xf numFmtId="169" fontId="1" fillId="6" borderId="12" xfId="0" applyNumberFormat="1" applyFont="1" applyFill="1" applyBorder="1"/>
    <xf numFmtId="44" fontId="1" fillId="0" borderId="0" xfId="0" applyNumberFormat="1" applyFont="1"/>
    <xf numFmtId="0" fontId="13" fillId="0" borderId="18" xfId="0" applyFont="1" applyBorder="1" applyAlignment="1">
      <alignment horizontal="center"/>
    </xf>
    <xf numFmtId="166" fontId="13" fillId="0" borderId="18" xfId="0" applyNumberFormat="1" applyFont="1" applyBorder="1" applyAlignment="1">
      <alignment horizontal="center"/>
    </xf>
    <xf numFmtId="4" fontId="13" fillId="0" borderId="18" xfId="0" applyNumberFormat="1" applyFont="1" applyBorder="1" applyAlignment="1">
      <alignment horizontal="center"/>
    </xf>
    <xf numFmtId="0" fontId="13" fillId="7" borderId="18" xfId="0" applyFont="1" applyFill="1" applyBorder="1" applyAlignment="1">
      <alignment horizontal="center"/>
    </xf>
    <xf numFmtId="166" fontId="13" fillId="7" borderId="18" xfId="0" applyNumberFormat="1" applyFont="1" applyFill="1" applyBorder="1" applyAlignment="1">
      <alignment horizontal="center"/>
    </xf>
    <xf numFmtId="4" fontId="13" fillId="7" borderId="18" xfId="0" applyNumberFormat="1" applyFont="1" applyFill="1" applyBorder="1" applyAlignment="1">
      <alignment horizontal="center"/>
    </xf>
    <xf numFmtId="166" fontId="15" fillId="0" borderId="18" xfId="0" applyNumberFormat="1" applyFont="1" applyBorder="1" applyAlignment="1">
      <alignment horizontal="center"/>
    </xf>
    <xf numFmtId="4" fontId="15" fillId="0" borderId="18" xfId="0" applyNumberFormat="1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3" fillId="8" borderId="18" xfId="0" applyFont="1" applyFill="1" applyBorder="1" applyAlignment="1">
      <alignment horizontal="center"/>
    </xf>
    <xf numFmtId="166" fontId="15" fillId="8" borderId="18" xfId="0" applyNumberFormat="1" applyFont="1" applyFill="1" applyBorder="1" applyAlignment="1">
      <alignment horizontal="center"/>
    </xf>
    <xf numFmtId="4" fontId="15" fillId="8" borderId="18" xfId="0" applyNumberFormat="1" applyFont="1" applyFill="1" applyBorder="1" applyAlignment="1">
      <alignment horizontal="center"/>
    </xf>
    <xf numFmtId="0" fontId="15" fillId="8" borderId="18" xfId="0" applyFont="1" applyFill="1" applyBorder="1" applyAlignment="1">
      <alignment horizontal="center"/>
    </xf>
    <xf numFmtId="170" fontId="15" fillId="0" borderId="18" xfId="0" applyNumberFormat="1" applyFont="1" applyBorder="1" applyAlignment="1">
      <alignment horizontal="center"/>
    </xf>
    <xf numFmtId="170" fontId="15" fillId="8" borderId="18" xfId="0" applyNumberFormat="1" applyFont="1" applyFill="1" applyBorder="1" applyAlignment="1">
      <alignment horizontal="center"/>
    </xf>
    <xf numFmtId="165" fontId="6" fillId="0" borderId="9" xfId="0" applyNumberFormat="1" applyFont="1" applyBorder="1"/>
    <xf numFmtId="165" fontId="15" fillId="0" borderId="0" xfId="0" applyNumberFormat="1" applyFont="1"/>
    <xf numFmtId="168" fontId="7" fillId="0" borderId="22" xfId="0" applyNumberFormat="1" applyFont="1" applyBorder="1"/>
    <xf numFmtId="168" fontId="1" fillId="0" borderId="22" xfId="0" applyNumberFormat="1" applyFont="1" applyBorder="1"/>
    <xf numFmtId="165" fontId="7" fillId="0" borderId="22" xfId="0" applyNumberFormat="1" applyFont="1" applyBorder="1" applyAlignment="1">
      <alignment horizontal="right"/>
    </xf>
    <xf numFmtId="168" fontId="7" fillId="0" borderId="23" xfId="0" applyNumberFormat="1" applyFont="1" applyBorder="1"/>
    <xf numFmtId="168" fontId="1" fillId="0" borderId="23" xfId="0" applyNumberFormat="1" applyFont="1" applyBorder="1"/>
    <xf numFmtId="165" fontId="7" fillId="0" borderId="23" xfId="0" applyNumberFormat="1" applyFont="1" applyBorder="1" applyAlignment="1">
      <alignment horizontal="right"/>
    </xf>
    <xf numFmtId="168" fontId="7" fillId="0" borderId="0" xfId="0" applyNumberFormat="1" applyFont="1"/>
    <xf numFmtId="168" fontId="6" fillId="0" borderId="22" xfId="0" applyNumberFormat="1" applyFont="1" applyBorder="1"/>
    <xf numFmtId="165" fontId="6" fillId="0" borderId="22" xfId="0" applyNumberFormat="1" applyFont="1" applyBorder="1" applyAlignment="1">
      <alignment horizontal="right"/>
    </xf>
    <xf numFmtId="165" fontId="16" fillId="0" borderId="23" xfId="0" applyNumberFormat="1" applyFont="1" applyBorder="1" applyAlignment="1">
      <alignment horizontal="right"/>
    </xf>
    <xf numFmtId="165" fontId="16" fillId="0" borderId="0" xfId="0" applyNumberFormat="1" applyFont="1" applyAlignment="1">
      <alignment horizontal="right"/>
    </xf>
    <xf numFmtId="165" fontId="1" fillId="0" borderId="9" xfId="0" applyNumberFormat="1" applyFont="1" applyBorder="1"/>
    <xf numFmtId="168" fontId="11" fillId="0" borderId="0" xfId="0" applyNumberFormat="1" applyFont="1"/>
    <xf numFmtId="168" fontId="11" fillId="0" borderId="24" xfId="0" applyNumberFormat="1" applyFont="1" applyBorder="1"/>
    <xf numFmtId="168" fontId="1" fillId="0" borderId="24" xfId="0" applyNumberFormat="1" applyFont="1" applyBorder="1"/>
    <xf numFmtId="165" fontId="6" fillId="0" borderId="24" xfId="0" applyNumberFormat="1" applyFont="1" applyBorder="1" applyAlignment="1">
      <alignment horizontal="right"/>
    </xf>
    <xf numFmtId="165" fontId="11" fillId="0" borderId="24" xfId="0" applyNumberFormat="1" applyFont="1" applyBorder="1" applyAlignment="1">
      <alignment horizontal="right"/>
    </xf>
    <xf numFmtId="0" fontId="17" fillId="0" borderId="0" xfId="0" applyFont="1"/>
    <xf numFmtId="165" fontId="18" fillId="0" borderId="0" xfId="0" applyNumberFormat="1" applyFont="1" applyAlignment="1">
      <alignment horizontal="center"/>
    </xf>
    <xf numFmtId="0" fontId="15" fillId="0" borderId="25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15" fillId="0" borderId="28" xfId="0" applyFont="1" applyBorder="1" applyAlignment="1">
      <alignment vertical="center"/>
    </xf>
    <xf numFmtId="166" fontId="15" fillId="0" borderId="29" xfId="0" applyNumberFormat="1" applyFont="1" applyBorder="1" applyAlignment="1">
      <alignment vertical="center"/>
    </xf>
    <xf numFmtId="166" fontId="15" fillId="0" borderId="30" xfId="0" applyNumberFormat="1" applyFont="1" applyBorder="1" applyAlignment="1">
      <alignment vertical="center"/>
    </xf>
    <xf numFmtId="0" fontId="15" fillId="0" borderId="31" xfId="0" applyFont="1" applyBorder="1" applyAlignment="1">
      <alignment vertical="center"/>
    </xf>
    <xf numFmtId="166" fontId="15" fillId="0" borderId="32" xfId="0" applyNumberFormat="1" applyFont="1" applyBorder="1" applyAlignment="1">
      <alignment vertical="center"/>
    </xf>
    <xf numFmtId="166" fontId="15" fillId="0" borderId="33" xfId="0" applyNumberFormat="1" applyFont="1" applyBorder="1" applyAlignment="1">
      <alignment vertical="center"/>
    </xf>
    <xf numFmtId="0" fontId="15" fillId="0" borderId="29" xfId="0" applyFont="1" applyBorder="1" applyAlignment="1">
      <alignment vertical="center"/>
    </xf>
    <xf numFmtId="0" fontId="15" fillId="0" borderId="34" xfId="0" applyFont="1" applyBorder="1" applyAlignment="1">
      <alignment vertical="center"/>
    </xf>
    <xf numFmtId="166" fontId="15" fillId="0" borderId="35" xfId="0" applyNumberFormat="1" applyFont="1" applyBorder="1" applyAlignment="1">
      <alignment vertical="center"/>
    </xf>
    <xf numFmtId="166" fontId="15" fillId="0" borderId="36" xfId="0" applyNumberFormat="1" applyFont="1" applyBorder="1" applyAlignment="1">
      <alignment vertical="center"/>
    </xf>
    <xf numFmtId="0" fontId="15" fillId="0" borderId="30" xfId="0" applyFont="1" applyBorder="1" applyAlignment="1">
      <alignment vertical="center"/>
    </xf>
    <xf numFmtId="170" fontId="15" fillId="0" borderId="32" xfId="0" applyNumberFormat="1" applyFont="1" applyBorder="1" applyAlignment="1">
      <alignment vertical="center"/>
    </xf>
    <xf numFmtId="170" fontId="15" fillId="0" borderId="33" xfId="0" applyNumberFormat="1" applyFont="1" applyBorder="1" applyAlignment="1">
      <alignment vertical="center"/>
    </xf>
    <xf numFmtId="170" fontId="15" fillId="0" borderId="35" xfId="0" applyNumberFormat="1" applyFont="1" applyBorder="1" applyAlignment="1">
      <alignment vertical="center"/>
    </xf>
    <xf numFmtId="170" fontId="15" fillId="0" borderId="36" xfId="0" applyNumberFormat="1" applyFont="1" applyBorder="1" applyAlignment="1">
      <alignment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9" fillId="0" borderId="0" xfId="0" applyFont="1"/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0" xfId="0" applyFont="1" applyBorder="1" applyAlignment="1">
      <alignment horizontal="left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left" vertical="center"/>
    </xf>
    <xf numFmtId="0" fontId="19" fillId="0" borderId="37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39" xfId="0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vertical="center"/>
    </xf>
    <xf numFmtId="166" fontId="19" fillId="0" borderId="30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6" fontId="19" fillId="0" borderId="33" xfId="0" applyNumberFormat="1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166" fontId="19" fillId="0" borderId="39" xfId="0" applyNumberFormat="1" applyFont="1" applyBorder="1" applyAlignment="1">
      <alignment horizontal="center" vertical="center"/>
    </xf>
    <xf numFmtId="0" fontId="15" fillId="0" borderId="0" xfId="0" applyFont="1"/>
    <xf numFmtId="166" fontId="15" fillId="0" borderId="0" xfId="0" applyNumberFormat="1" applyFont="1"/>
    <xf numFmtId="166" fontId="19" fillId="0" borderId="0" xfId="0" applyNumberFormat="1" applyFont="1"/>
    <xf numFmtId="4" fontId="15" fillId="0" borderId="0" xfId="0" applyNumberFormat="1" applyFont="1"/>
    <xf numFmtId="0" fontId="15" fillId="0" borderId="29" xfId="0" applyFont="1" applyBorder="1" applyAlignment="1">
      <alignment horizontal="center" vertical="center"/>
    </xf>
    <xf numFmtId="0" fontId="15" fillId="0" borderId="32" xfId="0" applyFont="1" applyBorder="1" applyAlignment="1">
      <alignment vertical="center"/>
    </xf>
    <xf numFmtId="3" fontId="15" fillId="0" borderId="32" xfId="0" applyNumberFormat="1" applyFont="1" applyBorder="1" applyAlignment="1">
      <alignment horizontal="center" vertical="center"/>
    </xf>
    <xf numFmtId="0" fontId="15" fillId="0" borderId="33" xfId="0" applyFont="1" applyBorder="1" applyAlignment="1">
      <alignment vertical="center"/>
    </xf>
    <xf numFmtId="3" fontId="15" fillId="0" borderId="29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7" xfId="0" applyFont="1" applyBorder="1" applyAlignment="1">
      <alignment vertical="center"/>
    </xf>
    <xf numFmtId="0" fontId="15" fillId="0" borderId="38" xfId="0" applyFont="1" applyBorder="1" applyAlignment="1">
      <alignment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vertical="center"/>
    </xf>
    <xf numFmtId="171" fontId="15" fillId="0" borderId="29" xfId="0" applyNumberFormat="1" applyFont="1" applyBorder="1" applyAlignment="1">
      <alignment vertical="center"/>
    </xf>
    <xf numFmtId="4" fontId="15" fillId="0" borderId="32" xfId="0" applyNumberFormat="1" applyFont="1" applyBorder="1" applyAlignment="1">
      <alignment vertical="center"/>
    </xf>
    <xf numFmtId="171" fontId="15" fillId="0" borderId="32" xfId="0" applyNumberFormat="1" applyFont="1" applyBorder="1" applyAlignment="1">
      <alignment vertical="center"/>
    </xf>
    <xf numFmtId="4" fontId="15" fillId="0" borderId="29" xfId="0" applyNumberFormat="1" applyFont="1" applyBorder="1" applyAlignment="1">
      <alignment vertical="center"/>
    </xf>
    <xf numFmtId="4" fontId="15" fillId="0" borderId="38" xfId="0" applyNumberFormat="1" applyFont="1" applyBorder="1" applyAlignment="1">
      <alignment vertical="center"/>
    </xf>
    <xf numFmtId="171" fontId="15" fillId="0" borderId="38" xfId="0" applyNumberFormat="1" applyFont="1" applyBorder="1" applyAlignment="1">
      <alignment vertical="center"/>
    </xf>
    <xf numFmtId="4" fontId="15" fillId="0" borderId="26" xfId="0" applyNumberFormat="1" applyFont="1" applyBorder="1" applyAlignment="1">
      <alignment horizontal="left" vertical="center"/>
    </xf>
    <xf numFmtId="166" fontId="15" fillId="0" borderId="39" xfId="0" applyNumberFormat="1" applyFont="1" applyBorder="1" applyAlignment="1">
      <alignment vertical="center"/>
    </xf>
    <xf numFmtId="0" fontId="13" fillId="0" borderId="25" xfId="0" applyFont="1" applyBorder="1" applyAlignment="1">
      <alignment horizontal="left" vertical="center"/>
    </xf>
    <xf numFmtId="0" fontId="19" fillId="0" borderId="34" xfId="0" applyFont="1" applyBorder="1" applyAlignment="1">
      <alignment vertical="center"/>
    </xf>
    <xf numFmtId="166" fontId="19" fillId="0" borderId="36" xfId="0" applyNumberFormat="1" applyFont="1" applyBorder="1" applyAlignment="1">
      <alignment horizontal="center" vertical="center"/>
    </xf>
    <xf numFmtId="3" fontId="15" fillId="0" borderId="32" xfId="0" applyNumberFormat="1" applyFont="1" applyBorder="1" applyAlignment="1">
      <alignment vertical="center"/>
    </xf>
    <xf numFmtId="10" fontId="15" fillId="0" borderId="29" xfId="0" applyNumberFormat="1" applyFont="1" applyBorder="1" applyAlignment="1">
      <alignment vertical="center"/>
    </xf>
    <xf numFmtId="0" fontId="15" fillId="0" borderId="35" xfId="0" applyFont="1" applyBorder="1" applyAlignment="1">
      <alignment vertical="center"/>
    </xf>
    <xf numFmtId="3" fontId="15" fillId="0" borderId="35" xfId="0" applyNumberFormat="1" applyFont="1" applyBorder="1" applyAlignment="1">
      <alignment vertical="center"/>
    </xf>
    <xf numFmtId="166" fontId="15" fillId="0" borderId="38" xfId="0" applyNumberFormat="1" applyFont="1" applyBorder="1" applyAlignment="1">
      <alignment vertical="center"/>
    </xf>
    <xf numFmtId="3" fontId="15" fillId="0" borderId="29" xfId="0" applyNumberFormat="1" applyFont="1" applyBorder="1" applyAlignment="1">
      <alignment vertical="center"/>
    </xf>
    <xf numFmtId="10" fontId="15" fillId="0" borderId="32" xfId="0" applyNumberFormat="1" applyFont="1" applyBorder="1" applyAlignment="1">
      <alignment vertical="center"/>
    </xf>
    <xf numFmtId="170" fontId="15" fillId="0" borderId="29" xfId="0" applyNumberFormat="1" applyFont="1" applyBorder="1" applyAlignment="1">
      <alignment vertical="center"/>
    </xf>
    <xf numFmtId="170" fontId="15" fillId="0" borderId="38" xfId="0" applyNumberFormat="1" applyFont="1" applyBorder="1" applyAlignment="1">
      <alignment vertical="center"/>
    </xf>
    <xf numFmtId="0" fontId="15" fillId="0" borderId="36" xfId="0" applyFont="1" applyBorder="1" applyAlignment="1">
      <alignment vertical="center"/>
    </xf>
    <xf numFmtId="0" fontId="20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166" fontId="15" fillId="0" borderId="0" xfId="0" applyNumberFormat="1" applyFont="1" applyAlignment="1">
      <alignment horizontal="left"/>
    </xf>
    <xf numFmtId="166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170" fontId="19" fillId="0" borderId="0" xfId="0" applyNumberFormat="1" applyFont="1" applyAlignment="1">
      <alignment horizontal="left"/>
    </xf>
    <xf numFmtId="170" fontId="15" fillId="0" borderId="0" xfId="0" applyNumberFormat="1" applyFont="1"/>
    <xf numFmtId="0" fontId="21" fillId="0" borderId="0" xfId="0" applyFont="1"/>
    <xf numFmtId="0" fontId="21" fillId="3" borderId="0" xfId="0" applyFont="1" applyFill="1"/>
    <xf numFmtId="0" fontId="24" fillId="9" borderId="0" xfId="0" applyFont="1" applyFill="1" applyAlignment="1">
      <alignment horizontal="center" wrapText="1"/>
    </xf>
    <xf numFmtId="0" fontId="21" fillId="9" borderId="0" xfId="0" applyFont="1" applyFill="1"/>
    <xf numFmtId="0" fontId="24" fillId="9" borderId="0" xfId="0" applyFont="1" applyFill="1" applyAlignment="1">
      <alignment wrapText="1"/>
    </xf>
    <xf numFmtId="0" fontId="21" fillId="5" borderId="0" xfId="0" applyFont="1" applyFill="1"/>
    <xf numFmtId="0" fontId="27" fillId="5" borderId="0" xfId="0" applyFont="1" applyFill="1" applyAlignment="1">
      <alignment wrapText="1"/>
    </xf>
    <xf numFmtId="0" fontId="28" fillId="5" borderId="0" xfId="0" applyFont="1" applyFill="1"/>
    <xf numFmtId="0" fontId="29" fillId="10" borderId="43" xfId="0" applyFont="1" applyFill="1" applyBorder="1" applyAlignment="1">
      <alignment horizontal="center"/>
    </xf>
    <xf numFmtId="0" fontId="29" fillId="10" borderId="44" xfId="0" applyFont="1" applyFill="1" applyBorder="1" applyAlignment="1">
      <alignment horizontal="center"/>
    </xf>
    <xf numFmtId="0" fontId="29" fillId="5" borderId="44" xfId="0" applyFont="1" applyFill="1" applyBorder="1" applyAlignment="1">
      <alignment horizontal="center"/>
    </xf>
    <xf numFmtId="0" fontId="21" fillId="10" borderId="44" xfId="0" applyFont="1" applyFill="1" applyBorder="1"/>
    <xf numFmtId="0" fontId="21" fillId="5" borderId="43" xfId="0" applyFont="1" applyFill="1" applyBorder="1"/>
    <xf numFmtId="0" fontId="21" fillId="5" borderId="44" xfId="0" applyFont="1" applyFill="1" applyBorder="1"/>
    <xf numFmtId="0" fontId="1" fillId="10" borderId="44" xfId="0" applyFont="1" applyFill="1" applyBorder="1"/>
    <xf numFmtId="0" fontId="21" fillId="12" borderId="0" xfId="0" applyFont="1" applyFill="1"/>
    <xf numFmtId="9" fontId="21" fillId="3" borderId="47" xfId="0" applyNumberFormat="1" applyFont="1" applyFill="1" applyBorder="1"/>
    <xf numFmtId="0" fontId="21" fillId="3" borderId="48" xfId="0" applyFont="1" applyFill="1" applyBorder="1"/>
    <xf numFmtId="166" fontId="21" fillId="3" borderId="48" xfId="0" applyNumberFormat="1" applyFont="1" applyFill="1" applyBorder="1"/>
    <xf numFmtId="0" fontId="21" fillId="0" borderId="48" xfId="0" applyFont="1" applyBorder="1"/>
    <xf numFmtId="0" fontId="33" fillId="0" borderId="49" xfId="0" applyFont="1" applyBorder="1"/>
    <xf numFmtId="0" fontId="33" fillId="0" borderId="50" xfId="0" applyFont="1" applyBorder="1"/>
    <xf numFmtId="0" fontId="33" fillId="0" borderId="51" xfId="0" applyFont="1" applyBorder="1"/>
    <xf numFmtId="0" fontId="21" fillId="0" borderId="52" xfId="0" applyFont="1" applyBorder="1"/>
    <xf numFmtId="9" fontId="21" fillId="3" borderId="53" xfId="0" applyNumberFormat="1" applyFont="1" applyFill="1" applyBorder="1"/>
    <xf numFmtId="0" fontId="21" fillId="3" borderId="54" xfId="0" applyFont="1" applyFill="1" applyBorder="1"/>
    <xf numFmtId="166" fontId="21" fillId="3" borderId="54" xfId="0" applyNumberFormat="1" applyFont="1" applyFill="1" applyBorder="1"/>
    <xf numFmtId="0" fontId="21" fillId="0" borderId="54" xfId="0" applyFont="1" applyBorder="1"/>
    <xf numFmtId="0" fontId="33" fillId="0" borderId="55" xfId="0" applyFont="1" applyBorder="1"/>
    <xf numFmtId="0" fontId="33" fillId="0" borderId="56" xfId="0" applyFont="1" applyBorder="1"/>
    <xf numFmtId="0" fontId="33" fillId="0" borderId="57" xfId="0" applyFont="1" applyBorder="1"/>
    <xf numFmtId="0" fontId="32" fillId="12" borderId="46" xfId="0" applyFont="1" applyFill="1" applyBorder="1" applyAlignment="1">
      <alignment wrapText="1"/>
    </xf>
    <xf numFmtId="9" fontId="21" fillId="3" borderId="58" xfId="0" applyNumberFormat="1" applyFont="1" applyFill="1" applyBorder="1"/>
    <xf numFmtId="0" fontId="21" fillId="3" borderId="59" xfId="0" applyFont="1" applyFill="1" applyBorder="1"/>
    <xf numFmtId="166" fontId="21" fillId="3" borderId="59" xfId="0" applyNumberFormat="1" applyFont="1" applyFill="1" applyBorder="1"/>
    <xf numFmtId="0" fontId="21" fillId="0" borderId="59" xfId="0" applyFont="1" applyBorder="1"/>
    <xf numFmtId="0" fontId="21" fillId="0" borderId="60" xfId="0" applyFont="1" applyBorder="1"/>
    <xf numFmtId="0" fontId="21" fillId="0" borderId="61" xfId="0" applyFont="1" applyBorder="1"/>
    <xf numFmtId="0" fontId="33" fillId="0" borderId="61" xfId="0" applyFont="1" applyBorder="1"/>
    <xf numFmtId="0" fontId="33" fillId="0" borderId="60" xfId="0" applyFont="1" applyBorder="1"/>
    <xf numFmtId="0" fontId="21" fillId="12" borderId="62" xfId="0" applyFont="1" applyFill="1" applyBorder="1"/>
    <xf numFmtId="9" fontId="21" fillId="3" borderId="64" xfId="0" applyNumberFormat="1" applyFont="1" applyFill="1" applyBorder="1"/>
    <xf numFmtId="0" fontId="21" fillId="3" borderId="65" xfId="0" applyFont="1" applyFill="1" applyBorder="1"/>
    <xf numFmtId="166" fontId="21" fillId="3" borderId="65" xfId="0" applyNumberFormat="1" applyFont="1" applyFill="1" applyBorder="1"/>
    <xf numFmtId="0" fontId="21" fillId="0" borderId="65" xfId="0" applyFont="1" applyBorder="1"/>
    <xf numFmtId="0" fontId="33" fillId="0" borderId="66" xfId="0" applyFont="1" applyBorder="1"/>
    <xf numFmtId="0" fontId="21" fillId="12" borderId="67" xfId="0" applyFont="1" applyFill="1" applyBorder="1"/>
    <xf numFmtId="9" fontId="21" fillId="3" borderId="69" xfId="0" applyNumberFormat="1" applyFont="1" applyFill="1" applyBorder="1"/>
    <xf numFmtId="166" fontId="21" fillId="3" borderId="70" xfId="0" applyNumberFormat="1" applyFont="1" applyFill="1" applyBorder="1"/>
    <xf numFmtId="0" fontId="21" fillId="3" borderId="70" xfId="0" applyFont="1" applyFill="1" applyBorder="1"/>
    <xf numFmtId="0" fontId="37" fillId="12" borderId="46" xfId="0" applyFont="1" applyFill="1" applyBorder="1" applyAlignment="1">
      <alignment wrapText="1"/>
    </xf>
    <xf numFmtId="0" fontId="21" fillId="12" borderId="71" xfId="0" applyFont="1" applyFill="1" applyBorder="1"/>
    <xf numFmtId="9" fontId="21" fillId="3" borderId="73" xfId="0" applyNumberFormat="1" applyFont="1" applyFill="1" applyBorder="1"/>
    <xf numFmtId="166" fontId="21" fillId="3" borderId="74" xfId="0" applyNumberFormat="1" applyFont="1" applyFill="1" applyBorder="1"/>
    <xf numFmtId="0" fontId="21" fillId="3" borderId="74" xfId="0" applyFont="1" applyFill="1" applyBorder="1"/>
    <xf numFmtId="0" fontId="39" fillId="12" borderId="46" xfId="0" applyFont="1" applyFill="1" applyBorder="1" applyAlignment="1">
      <alignment wrapText="1"/>
    </xf>
    <xf numFmtId="0" fontId="21" fillId="12" borderId="75" xfId="0" applyFont="1" applyFill="1" applyBorder="1"/>
    <xf numFmtId="9" fontId="21" fillId="3" borderId="77" xfId="0" applyNumberFormat="1" applyFont="1" applyFill="1" applyBorder="1"/>
    <xf numFmtId="166" fontId="21" fillId="3" borderId="78" xfId="0" applyNumberFormat="1" applyFont="1" applyFill="1" applyBorder="1"/>
    <xf numFmtId="0" fontId="21" fillId="3" borderId="78" xfId="0" applyFont="1" applyFill="1" applyBorder="1"/>
    <xf numFmtId="0" fontId="41" fillId="12" borderId="46" xfId="0" applyFont="1" applyFill="1" applyBorder="1" applyAlignment="1">
      <alignment wrapText="1"/>
    </xf>
    <xf numFmtId="0" fontId="19" fillId="17" borderId="18" xfId="0" applyFont="1" applyFill="1" applyBorder="1" applyAlignment="1">
      <alignment vertical="top"/>
    </xf>
    <xf numFmtId="0" fontId="19" fillId="18" borderId="18" xfId="0" applyFont="1" applyFill="1" applyBorder="1" applyAlignment="1">
      <alignment vertical="top"/>
    </xf>
    <xf numFmtId="0" fontId="42" fillId="0" borderId="18" xfId="0" applyFont="1" applyBorder="1" applyAlignment="1">
      <alignment vertical="top"/>
    </xf>
    <xf numFmtId="0" fontId="19" fillId="0" borderId="18" xfId="0" applyFont="1" applyBorder="1" applyAlignment="1">
      <alignment vertical="top"/>
    </xf>
    <xf numFmtId="166" fontId="42" fillId="0" borderId="18" xfId="0" applyNumberFormat="1" applyFont="1" applyBorder="1" applyAlignment="1">
      <alignment vertical="top"/>
    </xf>
    <xf numFmtId="4" fontId="42" fillId="0" borderId="18" xfId="0" applyNumberFormat="1" applyFont="1" applyBorder="1" applyAlignment="1">
      <alignment vertical="top"/>
    </xf>
    <xf numFmtId="10" fontId="1" fillId="0" borderId="0" xfId="1" applyNumberFormat="1" applyFont="1"/>
    <xf numFmtId="10" fontId="11" fillId="0" borderId="0" xfId="1" applyNumberFormat="1" applyFont="1"/>
    <xf numFmtId="10" fontId="11" fillId="0" borderId="0" xfId="1" applyNumberFormat="1" applyFont="1" applyAlignment="1">
      <alignment horizontal="right"/>
    </xf>
    <xf numFmtId="10" fontId="0" fillId="0" borderId="0" xfId="1" applyNumberFormat="1" applyFont="1"/>
    <xf numFmtId="0" fontId="13" fillId="0" borderId="19" xfId="0" applyFont="1" applyBorder="1" applyAlignment="1">
      <alignment horizontal="center"/>
    </xf>
    <xf numFmtId="0" fontId="14" fillId="0" borderId="20" xfId="0" applyFont="1" applyBorder="1"/>
    <xf numFmtId="0" fontId="14" fillId="0" borderId="21" xfId="0" applyFont="1" applyBorder="1"/>
    <xf numFmtId="166" fontId="13" fillId="0" borderId="19" xfId="0" applyNumberFormat="1" applyFont="1" applyBorder="1" applyAlignment="1">
      <alignment horizontal="center"/>
    </xf>
    <xf numFmtId="0" fontId="39" fillId="12" borderId="0" xfId="0" applyFont="1" applyFill="1" applyAlignment="1">
      <alignment wrapText="1"/>
    </xf>
    <xf numFmtId="0" fontId="14" fillId="0" borderId="46" xfId="0" applyFont="1" applyBorder="1"/>
    <xf numFmtId="0" fontId="35" fillId="12" borderId="67" xfId="0" applyFont="1" applyFill="1" applyBorder="1" applyAlignment="1">
      <alignment wrapText="1"/>
    </xf>
    <xf numFmtId="0" fontId="14" fillId="0" borderId="68" xfId="0" applyFont="1" applyBorder="1"/>
    <xf numFmtId="0" fontId="37" fillId="12" borderId="0" xfId="0" applyFont="1" applyFill="1" applyAlignment="1">
      <alignment wrapText="1"/>
    </xf>
    <xf numFmtId="0" fontId="37" fillId="12" borderId="71" xfId="0" applyFont="1" applyFill="1" applyBorder="1" applyAlignment="1">
      <alignment wrapText="1"/>
    </xf>
    <xf numFmtId="0" fontId="14" fillId="0" borderId="72" xfId="0" applyFont="1" applyBorder="1"/>
    <xf numFmtId="0" fontId="39" fillId="12" borderId="75" xfId="0" applyFont="1" applyFill="1" applyBorder="1" applyAlignment="1">
      <alignment wrapText="1"/>
    </xf>
    <xf numFmtId="0" fontId="14" fillId="0" borderId="76" xfId="0" applyFont="1" applyBorder="1"/>
    <xf numFmtId="0" fontId="41" fillId="12" borderId="0" xfId="0" applyFont="1" applyFill="1" applyAlignment="1">
      <alignment wrapText="1"/>
    </xf>
    <xf numFmtId="0" fontId="30" fillId="16" borderId="0" xfId="0" applyFont="1" applyFill="1" applyAlignment="1">
      <alignment horizontal="center"/>
    </xf>
    <xf numFmtId="0" fontId="0" fillId="0" borderId="0" xfId="0"/>
    <xf numFmtId="0" fontId="34" fillId="12" borderId="0" xfId="0" applyFont="1" applyFill="1" applyAlignment="1">
      <alignment wrapText="1"/>
    </xf>
    <xf numFmtId="0" fontId="14" fillId="0" borderId="67" xfId="0" applyFont="1" applyBorder="1"/>
    <xf numFmtId="0" fontId="36" fillId="12" borderId="0" xfId="0" applyFont="1" applyFill="1" applyAlignment="1">
      <alignment wrapText="1"/>
    </xf>
    <xf numFmtId="0" fontId="14" fillId="0" borderId="71" xfId="0" applyFont="1" applyBorder="1"/>
    <xf numFmtId="0" fontId="40" fillId="12" borderId="0" xfId="0" applyFont="1" applyFill="1" applyAlignment="1">
      <alignment wrapText="1"/>
    </xf>
    <xf numFmtId="0" fontId="30" fillId="13" borderId="0" xfId="0" applyFont="1" applyFill="1" applyAlignment="1">
      <alignment horizontal="center"/>
    </xf>
    <xf numFmtId="0" fontId="30" fillId="11" borderId="0" xfId="0" applyFont="1" applyFill="1" applyAlignment="1">
      <alignment horizontal="center"/>
    </xf>
    <xf numFmtId="0" fontId="30" fillId="14" borderId="0" xfId="0" applyFont="1" applyFill="1" applyAlignment="1">
      <alignment horizontal="center"/>
    </xf>
    <xf numFmtId="0" fontId="30" fillId="15" borderId="0" xfId="0" applyFont="1" applyFill="1" applyAlignment="1">
      <alignment horizontal="center"/>
    </xf>
    <xf numFmtId="0" fontId="32" fillId="12" borderId="0" xfId="0" applyFont="1" applyFill="1" applyAlignment="1">
      <alignment wrapText="1"/>
    </xf>
    <xf numFmtId="0" fontId="32" fillId="12" borderId="62" xfId="0" applyFont="1" applyFill="1" applyBorder="1" applyAlignment="1">
      <alignment wrapText="1"/>
    </xf>
    <xf numFmtId="0" fontId="14" fillId="0" borderId="63" xfId="0" applyFont="1" applyBorder="1"/>
    <xf numFmtId="0" fontId="31" fillId="12" borderId="0" xfId="0" applyFont="1" applyFill="1" applyAlignment="1">
      <alignment wrapText="1"/>
    </xf>
    <xf numFmtId="0" fontId="14" fillId="0" borderId="62" xfId="0" applyFont="1" applyBorder="1"/>
    <xf numFmtId="0" fontId="35" fillId="12" borderId="0" xfId="0" applyFont="1" applyFill="1" applyAlignment="1">
      <alignment wrapText="1"/>
    </xf>
    <xf numFmtId="0" fontId="38" fillId="12" borderId="0" xfId="0" applyFont="1" applyFill="1" applyAlignment="1">
      <alignment wrapText="1"/>
    </xf>
    <xf numFmtId="0" fontId="14" fillId="0" borderId="75" xfId="0" applyFont="1" applyBorder="1"/>
    <xf numFmtId="0" fontId="26" fillId="5" borderId="44" xfId="0" applyFont="1" applyFill="1" applyBorder="1" applyAlignment="1">
      <alignment horizontal="center"/>
    </xf>
    <xf numFmtId="0" fontId="14" fillId="0" borderId="44" xfId="0" applyFont="1" applyBorder="1"/>
    <xf numFmtId="0" fontId="26" fillId="10" borderId="44" xfId="0" applyFont="1" applyFill="1" applyBorder="1" applyAlignment="1">
      <alignment horizontal="center"/>
    </xf>
    <xf numFmtId="0" fontId="26" fillId="10" borderId="43" xfId="0" applyFont="1" applyFill="1" applyBorder="1" applyAlignment="1">
      <alignment horizontal="center"/>
    </xf>
    <xf numFmtId="0" fontId="14" fillId="0" borderId="45" xfId="0" applyFont="1" applyBorder="1"/>
    <xf numFmtId="0" fontId="26" fillId="5" borderId="43" xfId="0" applyFont="1" applyFill="1" applyBorder="1" applyAlignment="1">
      <alignment horizontal="center"/>
    </xf>
    <xf numFmtId="0" fontId="25" fillId="9" borderId="41" xfId="0" applyFont="1" applyFill="1" applyBorder="1" applyAlignment="1">
      <alignment horizontal="center"/>
    </xf>
    <xf numFmtId="0" fontId="14" fillId="0" borderId="42" xfId="0" applyFont="1" applyBorder="1"/>
    <xf numFmtId="0" fontId="22" fillId="3" borderId="40" xfId="0" applyFont="1" applyFill="1" applyBorder="1"/>
    <xf numFmtId="0" fontId="14" fillId="0" borderId="40" xfId="0" applyFont="1" applyBorder="1"/>
    <xf numFmtId="0" fontId="23" fillId="3" borderId="40" xfId="0" applyFont="1" applyFill="1" applyBorder="1"/>
  </cellXfs>
  <cellStyles count="2">
    <cellStyle name="Normal" xfId="0" builtinId="0"/>
    <cellStyle name="Percent" xfId="1" builtinId="5"/>
  </cellStyles>
  <dxfs count="9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0">
    <tableStyle name="Project Overview-style" pivot="0" count="3" xr9:uid="{00000000-0011-0000-FFFF-FFFF00000000}">
      <tableStyleElement type="headerRow" dxfId="89"/>
      <tableStyleElement type="firstRowStripe" dxfId="88"/>
      <tableStyleElement type="secondRowStripe" dxfId="87"/>
    </tableStyle>
    <tableStyle name="Project Overview-style 2" pivot="0" count="3" xr9:uid="{00000000-0011-0000-FFFF-FFFF01000000}">
      <tableStyleElement type="headerRow" dxfId="86"/>
      <tableStyleElement type="firstRowStripe" dxfId="85"/>
      <tableStyleElement type="secondRowStripe" dxfId="84"/>
    </tableStyle>
    <tableStyle name="Project Overview-style 3" pivot="0" count="3" xr9:uid="{00000000-0011-0000-FFFF-FFFF02000000}">
      <tableStyleElement type="headerRow" dxfId="83"/>
      <tableStyleElement type="firstRowStripe" dxfId="82"/>
      <tableStyleElement type="secondRowStripe" dxfId="81"/>
    </tableStyle>
    <tableStyle name="Project Overview-style 4" pivot="0" count="3" xr9:uid="{00000000-0011-0000-FFFF-FFFF03000000}">
      <tableStyleElement type="headerRow" dxfId="80"/>
      <tableStyleElement type="firstRowStripe" dxfId="79"/>
      <tableStyleElement type="secondRowStripe" dxfId="78"/>
    </tableStyle>
    <tableStyle name="H2 Cost Assumptions-style" pivot="0" count="3" xr9:uid="{00000000-0011-0000-FFFF-FFFF04000000}">
      <tableStyleElement type="headerRow" dxfId="77"/>
      <tableStyleElement type="firstRowStripe" dxfId="76"/>
      <tableStyleElement type="secondRowStripe" dxfId="75"/>
    </tableStyle>
    <tableStyle name="H2 Production Costs-style" pivot="0" count="3" xr9:uid="{00000000-0011-0000-FFFF-FFFF05000000}">
      <tableStyleElement type="headerRow" dxfId="74"/>
      <tableStyleElement type="firstRowStripe" dxfId="73"/>
      <tableStyleElement type="secondRowStripe" dxfId="72"/>
    </tableStyle>
    <tableStyle name="H2 Production Costs-style 2" pivot="0" count="3" xr9:uid="{00000000-0011-0000-FFFF-FFFF06000000}">
      <tableStyleElement type="headerRow" dxfId="71"/>
      <tableStyleElement type="firstRowStripe" dxfId="70"/>
      <tableStyleElement type="secondRowStripe" dxfId="69"/>
    </tableStyle>
    <tableStyle name="H2 Production Costs-style 3" pivot="0" count="3" xr9:uid="{00000000-0011-0000-FFFF-FFFF07000000}">
      <tableStyleElement type="headerRow" dxfId="68"/>
      <tableStyleElement type="firstRowStripe" dxfId="67"/>
      <tableStyleElement type="secondRowStripe" dxfId="66"/>
    </tableStyle>
    <tableStyle name="H2 Production Costs-style 4" pivot="0" count="3" xr9:uid="{00000000-0011-0000-FFFF-FFFF08000000}">
      <tableStyleElement type="headerRow" dxfId="65"/>
      <tableStyleElement type="firstRowStripe" dxfId="64"/>
      <tableStyleElement type="secondRowStripe" dxfId="63"/>
    </tableStyle>
    <tableStyle name="H2 Production Costs-style 5" pivot="0" count="3" xr9:uid="{00000000-0011-0000-FFFF-FFFF09000000}">
      <tableStyleElement type="headerRow" dxfId="62"/>
      <tableStyleElement type="firstRowStripe" dxfId="61"/>
      <tableStyleElement type="secondRowStripe" dxfId="60"/>
    </tableStyle>
    <tableStyle name="H2 Production Costs-style 6" pivot="0" count="3" xr9:uid="{00000000-0011-0000-FFFF-FFFF0A000000}">
      <tableStyleElement type="headerRow" dxfId="59"/>
      <tableStyleElement type="firstRowStripe" dxfId="58"/>
      <tableStyleElement type="secondRowStripe" dxfId="57"/>
    </tableStyle>
    <tableStyle name="H2 Production Costs-style 7" pivot="0" count="3" xr9:uid="{00000000-0011-0000-FFFF-FFFF0B000000}">
      <tableStyleElement type="headerRow" dxfId="56"/>
      <tableStyleElement type="firstRowStripe" dxfId="55"/>
      <tableStyleElement type="secondRowStripe" dxfId="54"/>
    </tableStyle>
    <tableStyle name="H2 Production Costs-style 8" pivot="0" count="3" xr9:uid="{00000000-0011-0000-FFFF-FFFF0C000000}">
      <tableStyleElement type="headerRow" dxfId="53"/>
      <tableStyleElement type="firstRowStripe" dxfId="52"/>
      <tableStyleElement type="secondRowStripe" dxfId="51"/>
    </tableStyle>
    <tableStyle name="Personnel-style" pivot="0" count="3" xr9:uid="{00000000-0011-0000-FFFF-FFFF0D000000}">
      <tableStyleElement type="headerRow" dxfId="50"/>
      <tableStyleElement type="firstRowStripe" dxfId="49"/>
      <tableStyleElement type="secondRowStripe" dxfId="48"/>
    </tableStyle>
    <tableStyle name="Personnel-style 2" pivot="0" count="3" xr9:uid="{00000000-0011-0000-FFFF-FFFF0E000000}">
      <tableStyleElement type="headerRow" dxfId="47"/>
      <tableStyleElement type="firstRowStripe" dxfId="46"/>
      <tableStyleElement type="secondRowStripe" dxfId="45"/>
    </tableStyle>
    <tableStyle name="Personnel-style 3" pivot="0" count="3" xr9:uid="{00000000-0011-0000-FFFF-FFFF0F000000}">
      <tableStyleElement type="headerRow" dxfId="44"/>
      <tableStyleElement type="firstRowStripe" dxfId="43"/>
      <tableStyleElement type="secondRowStripe" dxfId="42"/>
    </tableStyle>
    <tableStyle name="Personnel-style 4" pivot="0" count="3" xr9:uid="{00000000-0011-0000-FFFF-FFFF10000000}">
      <tableStyleElement type="headerRow" dxfId="41"/>
      <tableStyleElement type="firstRowStripe" dxfId="40"/>
      <tableStyleElement type="secondRowStripe" dxfId="39"/>
    </tableStyle>
    <tableStyle name="Personnel-style 5" pivot="0" count="3" xr9:uid="{00000000-0011-0000-FFFF-FFFF11000000}">
      <tableStyleElement type="headerRow" dxfId="38"/>
      <tableStyleElement type="firstRowStripe" dxfId="37"/>
      <tableStyleElement type="secondRowStripe" dxfId="36"/>
    </tableStyle>
    <tableStyle name="Personnel-style 6" pivot="0" count="3" xr9:uid="{00000000-0011-0000-FFFF-FFFF12000000}">
      <tableStyleElement type="headerRow" dxfId="35"/>
      <tableStyleElement type="firstRowStripe" dxfId="34"/>
      <tableStyleElement type="secondRowStripe" dxfId="33"/>
    </tableStyle>
    <tableStyle name="Personnel-style 7" pivot="0" count="3" xr9:uid="{00000000-0011-0000-FFFF-FFFF13000000}">
      <tableStyleElement type="headerRow" dxfId="32"/>
      <tableStyleElement type="firstRowStripe" dxfId="31"/>
      <tableStyleElement type="secondRowStripe" dxfId="30"/>
    </tableStyle>
    <tableStyle name="Personnel-style 8" pivot="0" count="3" xr9:uid="{00000000-0011-0000-FFFF-FFFF14000000}">
      <tableStyleElement type="headerRow" dxfId="29"/>
      <tableStyleElement type="firstRowStripe" dxfId="28"/>
      <tableStyleElement type="secondRowStripe" dxfId="27"/>
    </tableStyle>
    <tableStyle name="Volumes at Electric Loads-style" pivot="0" count="3" xr9:uid="{00000000-0011-0000-FFFF-FFFF15000000}">
      <tableStyleElement type="headerRow" dxfId="26"/>
      <tableStyleElement type="firstRowStripe" dxfId="25"/>
      <tableStyleElement type="secondRowStripe" dxfId="24"/>
    </tableStyle>
    <tableStyle name="Facility AFE-style" pivot="0" count="3" xr9:uid="{00000000-0011-0000-FFFF-FFFF16000000}">
      <tableStyleElement type="headerRow" dxfId="23"/>
      <tableStyleElement type="firstRowStripe" dxfId="22"/>
      <tableStyleElement type="secondRowStripe" dxfId="21"/>
    </tableStyle>
    <tableStyle name="Facility AFE-style 2" pivot="0" count="3" xr9:uid="{00000000-0011-0000-FFFF-FFFF17000000}">
      <tableStyleElement type="headerRow" dxfId="20"/>
      <tableStyleElement type="firstRowStripe" dxfId="19"/>
      <tableStyleElement type="secondRowStripe" dxfId="18"/>
    </tableStyle>
    <tableStyle name="Facility AFE-style 3" pivot="0" count="3" xr9:uid="{00000000-0011-0000-FFFF-FFFF18000000}">
      <tableStyleElement type="headerRow" dxfId="17"/>
      <tableStyleElement type="firstRowStripe" dxfId="16"/>
      <tableStyleElement type="secondRowStripe" dxfId="15"/>
    </tableStyle>
    <tableStyle name="Facility AFE-style 4" pivot="0" count="3" xr9:uid="{00000000-0011-0000-FFFF-FFFF19000000}">
      <tableStyleElement type="headerRow" dxfId="14"/>
      <tableStyleElement type="firstRowStripe" dxfId="13"/>
      <tableStyleElement type="secondRowStripe" dxfId="12"/>
    </tableStyle>
    <tableStyle name="Addtl Detail-style" pivot="0" count="3" xr9:uid="{00000000-0011-0000-FFFF-FFFF1A000000}">
      <tableStyleElement type="headerRow" dxfId="11"/>
      <tableStyleElement type="firstRowStripe" dxfId="10"/>
      <tableStyleElement type="secondRowStripe" dxfId="9"/>
    </tableStyle>
    <tableStyle name="Addtl Detail-style 2" pivot="0" count="3" xr9:uid="{00000000-0011-0000-FFFF-FFFF1B000000}">
      <tableStyleElement type="headerRow" dxfId="8"/>
      <tableStyleElement type="firstRowStripe" dxfId="7"/>
      <tableStyleElement type="secondRowStripe" dxfId="6"/>
    </tableStyle>
    <tableStyle name="Addtl Detail-style 3" pivot="0" count="3" xr9:uid="{00000000-0011-0000-FFFF-FFFF1C000000}">
      <tableStyleElement type="headerRow" dxfId="5"/>
      <tableStyleElement type="firstRowStripe" dxfId="4"/>
      <tableStyleElement type="secondRowStripe" dxfId="3"/>
    </tableStyle>
    <tableStyle name="Addtl Detail-style 4" pivot="0" count="3" xr9:uid="{00000000-0011-0000-FFFF-FFFF1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1</xdr:row>
      <xdr:rowOff>57150</xdr:rowOff>
    </xdr:from>
    <xdr:ext cx="6172200" cy="8286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1" displayName="Table21" ref="B3:G7">
  <tableColumns count="6">
    <tableColumn id="1" xr3:uid="{00000000-0010-0000-0000-000001000000}" name="Pilot Facility Summary"/>
    <tableColumn id="2" xr3:uid="{00000000-0010-0000-0000-000002000000}" name="Year 0"/>
    <tableColumn id="3" xr3:uid="{00000000-0010-0000-0000-000003000000}" name="Year 1"/>
    <tableColumn id="4" xr3:uid="{00000000-0010-0000-0000-000004000000}" name="Year 2"/>
    <tableColumn id="5" xr3:uid="{00000000-0010-0000-0000-000005000000}" name="Year 3"/>
    <tableColumn id="6" xr3:uid="{00000000-0010-0000-0000-000006000000}" name="Year 4+"/>
  </tableColumns>
  <tableStyleInfo name="Project Overview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0" displayName="Table20" ref="B11:G15">
  <tableColumns count="6">
    <tableColumn id="1" xr3:uid="{00000000-0010-0000-0100-000001000000}" name="Additional Facility Summary"/>
    <tableColumn id="2" xr3:uid="{00000000-0010-0000-0100-000002000000}" name="Year 0"/>
    <tableColumn id="3" xr3:uid="{00000000-0010-0000-0100-000003000000}" name="Year 1"/>
    <tableColumn id="4" xr3:uid="{00000000-0010-0000-0100-000004000000}" name="Year 2"/>
    <tableColumn id="5" xr3:uid="{00000000-0010-0000-0100-000005000000}" name="Year 3"/>
    <tableColumn id="6" xr3:uid="{00000000-0010-0000-0100-000006000000}" name="Year 4+"/>
  </tableColumns>
  <tableStyleInfo name="Project Overview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B19:E22">
  <tableColumns count="4">
    <tableColumn id="1" xr3:uid="{00000000-0010-0000-0200-000001000000}" name="Phase"/>
    <tableColumn id="2" xr3:uid="{00000000-0010-0000-0200-000002000000}" name="Monthly H₂ Output"/>
    <tableColumn id="3" xr3:uid="{00000000-0010-0000-0200-000003000000}" name="Peak Power"/>
    <tableColumn id="4" xr3:uid="{00000000-0010-0000-0200-000004000000}" name="Service Type"/>
  </tableColumns>
  <tableStyleInfo name="Project Overview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5" displayName="Table25" ref="B26:C29">
  <tableColumns count="2">
    <tableColumn id="1" xr3:uid="{00000000-0010-0000-0300-000001000000}" name="Scenario"/>
    <tableColumn id="2" xr3:uid="{00000000-0010-0000-0300-000002000000}" name="Price per kg (30% margin)"/>
  </tableColumns>
  <tableStyleInfo name="Project Overview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1" displayName="Table11" ref="A1:E12">
  <tableColumns count="5">
    <tableColumn id="1" xr3:uid="{00000000-0010-0000-0400-000001000000}" name="Category"/>
    <tableColumn id="2" xr3:uid="{00000000-0010-0000-0400-000002000000}" name="Purchase Type"/>
    <tableColumn id="3" xr3:uid="{00000000-0010-0000-0400-000003000000}" name="Volume (kg)"/>
    <tableColumn id="4" xr3:uid="{00000000-0010-0000-0400-000004000000}" name="Price per kg (USD)"/>
    <tableColumn id="5" xr3:uid="{00000000-0010-0000-0400-000005000000}" name="Notes"/>
  </tableColumns>
  <tableStyleInfo name="H2 Cost Assumption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9" displayName="Table9" ref="B2:E27">
  <tableColumns count="4">
    <tableColumn id="1" xr3:uid="{00000000-0010-0000-0500-000001000000}" name="Category"/>
    <tableColumn id="2" xr3:uid="{00000000-0010-0000-0500-000002000000}" name="Basis / Assumptions"/>
    <tableColumn id="3" xr3:uid="{00000000-0010-0000-0500-000003000000}" name="Cost ($/kg H₂)"/>
    <tableColumn id="4" xr3:uid="{00000000-0010-0000-0500-000004000000}" name="Note"/>
  </tableColumns>
  <tableStyleInfo name="H2 Production Cost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23" displayName="Table23" ref="B29:E36">
  <tableColumns count="4">
    <tableColumn id="1" xr3:uid="{00000000-0010-0000-0600-000001000000}" name="Item"/>
    <tableColumn id="2" xr3:uid="{00000000-0010-0000-0600-000002000000}" name="Basis"/>
    <tableColumn id="3" xr3:uid="{00000000-0010-0000-0600-000003000000}" name="Value"/>
    <tableColumn id="4" xr3:uid="{00000000-0010-0000-0600-000004000000}" name="Note"/>
  </tableColumns>
  <tableStyleInfo name="H2 Production Costs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0" displayName="Table10" ref="B39:D50">
  <tableColumns count="3">
    <tableColumn id="1" xr3:uid="{00000000-0010-0000-0700-000001000000}" name="Initial Pilot Facility"/>
    <tableColumn id="2" xr3:uid="{00000000-0010-0000-0700-000002000000}" name="Amount"/>
    <tableColumn id="3" xr3:uid="{00000000-0010-0000-0700-000003000000}" name="Unit"/>
  </tableColumns>
  <tableStyleInfo name="H2 Production Costs-style 3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6" displayName="Table16" ref="B53:C62">
  <tableColumns count="2">
    <tableColumn id="1" xr3:uid="{00000000-0010-0000-0800-000001000000}" name="Pilot Facility Profit"/>
    <tableColumn id="2" xr3:uid="{00000000-0010-0000-0800-000002000000}" name="AMOUNT USD"/>
  </tableColumns>
  <tableStyleInfo name="H2 Production Costs-style 4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8" displayName="Table18" ref="E53:F56">
  <tableColumns count="2">
    <tableColumn id="1" xr3:uid="{00000000-0010-0000-0900-000001000000}" name="Pilot Facility Operating Cost (Included in Profit already)"/>
    <tableColumn id="2" xr3:uid="{00000000-0010-0000-0900-000002000000}" name="AMOUNT USD"/>
  </tableColumns>
  <tableStyleInfo name="H2 Production Costs-style 5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9" displayName="Table19" ref="E59:F61">
  <tableColumns count="2">
    <tableColumn id="1" xr3:uid="{00000000-0010-0000-0A00-000001000000}" name="Second Facility Operating Cost (Included in Profit Already)"/>
    <tableColumn id="2" xr3:uid="{00000000-0010-0000-0A00-000002000000}" name="AMOUNT USD"/>
  </tableColumns>
  <tableStyleInfo name="H2 Production Costs-style 6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7" displayName="Table17" ref="B65:C71">
  <tableColumns count="2">
    <tableColumn id="1" xr3:uid="{00000000-0010-0000-0B00-000001000000}" name="Additional Facility Profit"/>
    <tableColumn id="2" xr3:uid="{00000000-0010-0000-0B00-000002000000}" name="AMOUNT USD"/>
  </tableColumns>
  <tableStyleInfo name="H2 Production Costs-style 7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22" displayName="Table22" ref="B74:C82">
  <tableColumns count="2">
    <tableColumn id="1" xr3:uid="{00000000-0010-0000-0C00-000001000000}" name="Item"/>
    <tableColumn id="2" xr3:uid="{00000000-0010-0000-0C00-000002000000}" name="Cost ($/kg)"/>
  </tableColumns>
  <tableStyleInfo name="H2 Production Costs-style 8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" displayName="Table1" ref="A3:F15">
  <tableColumns count="6">
    <tableColumn id="1" xr3:uid="{00000000-0010-0000-0D00-000001000000}" name="Category"/>
    <tableColumn id="2" xr3:uid="{00000000-0010-0000-0D00-000002000000}" name="Role"/>
    <tableColumn id="3" xr3:uid="{00000000-0010-0000-0D00-000003000000}" name="Headcount"/>
    <tableColumn id="4" xr3:uid="{00000000-0010-0000-0D00-000004000000}" name="Base Salary (USD)   Subtotal"/>
    <tableColumn id="5" xr3:uid="{00000000-0010-0000-0D00-000005000000}" name="Subtotal Base (USD)"/>
    <tableColumn id="6" xr3:uid="{00000000-0010-0000-0D00-000006000000}" name="Base (USD)   Notes"/>
  </tableColumns>
  <tableStyleInfo name="Personnel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2" displayName="Table2" ref="A19:F34">
  <tableColumns count="6">
    <tableColumn id="1" xr3:uid="{00000000-0010-0000-0E00-000001000000}" name="Category"/>
    <tableColumn id="2" xr3:uid="{00000000-0010-0000-0E00-000002000000}" name="Role"/>
    <tableColumn id="3" xr3:uid="{00000000-0010-0000-0E00-000003000000}" name="Headcount"/>
    <tableColumn id="4" xr3:uid="{00000000-0010-0000-0E00-000004000000}" name="Year-1 Base Salary (USD)"/>
    <tableColumn id="5" xr3:uid="{00000000-0010-0000-0E00-000005000000}" name="Subtotal Base (USD)"/>
    <tableColumn id="6" xr3:uid="{00000000-0010-0000-0E00-000006000000}" name="Notes"/>
  </tableColumns>
  <tableStyleInfo name="Personnel-style 2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3" displayName="Table3" ref="A38:F55">
  <tableColumns count="6">
    <tableColumn id="1" xr3:uid="{00000000-0010-0000-0F00-000001000000}" name="Category"/>
    <tableColumn id="2" xr3:uid="{00000000-0010-0000-0F00-000002000000}" name="Role"/>
    <tableColumn id="3" xr3:uid="{00000000-0010-0000-0F00-000003000000}" name="Headcount"/>
    <tableColumn id="4" xr3:uid="{00000000-0010-0000-0F00-000004000000}" name="Year-2 Base Salary (USD)"/>
    <tableColumn id="5" xr3:uid="{00000000-0010-0000-0F00-000005000000}" name="Subtotal Base (USD)"/>
    <tableColumn id="6" xr3:uid="{00000000-0010-0000-0F00-000006000000}" name="Notes"/>
  </tableColumns>
  <tableStyleInfo name="Personnel-style 3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4" displayName="Table4" ref="A59:F78">
  <tableColumns count="6">
    <tableColumn id="1" xr3:uid="{00000000-0010-0000-1000-000001000000}" name="Category"/>
    <tableColumn id="2" xr3:uid="{00000000-0010-0000-1000-000002000000}" name="Role"/>
    <tableColumn id="3" xr3:uid="{00000000-0010-0000-1000-000003000000}" name="Headcount"/>
    <tableColumn id="4" xr3:uid="{00000000-0010-0000-1000-000004000000}" name="Year-3 Base Salary (USD)"/>
    <tableColumn id="5" xr3:uid="{00000000-0010-0000-1000-000005000000}" name="Subtotal Base (USD)"/>
    <tableColumn id="6" xr3:uid="{00000000-0010-0000-1000-000006000000}" name="Notes"/>
  </tableColumns>
  <tableStyleInfo name="Personnel-style 4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7" displayName="Table7" ref="A82:F91">
  <tableColumns count="6">
    <tableColumn id="1" xr3:uid="{00000000-0010-0000-1100-000001000000}" name="Category"/>
    <tableColumn id="2" xr3:uid="{00000000-0010-0000-1100-000002000000}" name="Role"/>
    <tableColumn id="3" xr3:uid="{00000000-0010-0000-1100-000003000000}" name="Count"/>
    <tableColumn id="4" xr3:uid="{00000000-0010-0000-1100-000004000000}" name="Base Salary (USD)"/>
    <tableColumn id="5" xr3:uid="{00000000-0010-0000-1100-000005000000}" name="Total Salary (USD)"/>
    <tableColumn id="6" xr3:uid="{00000000-0010-0000-1100-000006000000}" name="Notes"/>
  </tableColumns>
  <tableStyleInfo name="Personnel-style 5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2" displayName="Table12" ref="A95:F104">
  <tableColumns count="6">
    <tableColumn id="1" xr3:uid="{00000000-0010-0000-1200-000001000000}" name="Category"/>
    <tableColumn id="2" xr3:uid="{00000000-0010-0000-1200-000002000000}" name="Role"/>
    <tableColumn id="3" xr3:uid="{00000000-0010-0000-1200-000003000000}" name="Count"/>
    <tableColumn id="4" xr3:uid="{00000000-0010-0000-1200-000004000000}" name="Base Salary (USD)"/>
    <tableColumn id="5" xr3:uid="{00000000-0010-0000-1200-000005000000}" name="Total Salary (USD)"/>
    <tableColumn id="6" xr3:uid="{00000000-0010-0000-1200-000006000000}" name="Notes"/>
  </tableColumns>
  <tableStyleInfo name="Personnel-style 6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14" displayName="Table14" ref="A108:F117">
  <tableColumns count="6">
    <tableColumn id="1" xr3:uid="{00000000-0010-0000-1300-000001000000}" name="Category"/>
    <tableColumn id="2" xr3:uid="{00000000-0010-0000-1300-000002000000}" name="Role"/>
    <tableColumn id="3" xr3:uid="{00000000-0010-0000-1300-000003000000}" name="Count"/>
    <tableColumn id="4" xr3:uid="{00000000-0010-0000-1300-000004000000}" name="Base Salary (USD)"/>
    <tableColumn id="5" xr3:uid="{00000000-0010-0000-1300-000005000000}" name="Total Salary (USD)"/>
    <tableColumn id="6" xr3:uid="{00000000-0010-0000-1300-000006000000}" name="Notes"/>
  </tableColumns>
  <tableStyleInfo name="Personnel-style 7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15" displayName="Table15" ref="A121:F130">
  <tableColumns count="6">
    <tableColumn id="1" xr3:uid="{00000000-0010-0000-1400-000001000000}" name="Category"/>
    <tableColumn id="2" xr3:uid="{00000000-0010-0000-1400-000002000000}" name="Role"/>
    <tableColumn id="3" xr3:uid="{00000000-0010-0000-1400-000003000000}" name="Count"/>
    <tableColumn id="4" xr3:uid="{00000000-0010-0000-1400-000004000000}" name="Base Salary (USD)"/>
    <tableColumn id="5" xr3:uid="{00000000-0010-0000-1400-000005000000}" name="Total Salary (USD)"/>
    <tableColumn id="6" xr3:uid="{00000000-0010-0000-1400-000006000000}" name="Notes"/>
  </tableColumns>
  <tableStyleInfo name="Personnel-style 8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26" displayName="Table26" ref="B2:L8">
  <tableColumns count="11">
    <tableColumn id="1" xr3:uid="{00000000-0010-0000-1500-000001000000}" name="MVA"/>
    <tableColumn id="2" xr3:uid="{00000000-0010-0000-1500-000002000000}" name="PF"/>
    <tableColumn id="3" xr3:uid="{00000000-0010-0000-1500-000003000000}" name="Real Power"/>
    <tableColumn id="4" xr3:uid="{00000000-0010-0000-1500-000004000000}" name="kg h2"/>
    <tableColumn id="5" xr3:uid="{00000000-0010-0000-1500-000005000000}" name="cost per day"/>
    <tableColumn id="6" xr3:uid="{00000000-0010-0000-1500-000006000000}" name="annualized capex"/>
    <tableColumn id="7" xr3:uid="{00000000-0010-0000-1500-000007000000}" name="salaries"/>
    <tableColumn id="8" xr3:uid="{00000000-0010-0000-1500-000008000000}" name="fixed prices per kg"/>
    <tableColumn id="9" xr3:uid="{00000000-0010-0000-1500-000009000000}" name="total cost per kg"/>
    <tableColumn id="10" xr3:uid="{00000000-0010-0000-1500-00000A000000}" name="sale price"/>
    <tableColumn id="11" xr3:uid="{00000000-0010-0000-1500-00000B000000}" name="margin"/>
  </tableColumns>
  <tableStyleInfo name="Volumes at Electric Loads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5" displayName="Table5" ref="A3:C29">
  <tableColumns count="3">
    <tableColumn id="1" xr3:uid="{00000000-0010-0000-1600-000001000000}" name="Category"/>
    <tableColumn id="2" xr3:uid="{00000000-0010-0000-1600-000002000000}" name="Subcategory"/>
    <tableColumn id="3" xr3:uid="{00000000-0010-0000-1600-000003000000}" name="Cost (USD)"/>
  </tableColumns>
  <tableStyleInfo name="Facility AFE-style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6" displayName="Table6" ref="A33:C53">
  <tableColumns count="3">
    <tableColumn id="1" xr3:uid="{00000000-0010-0000-1700-000001000000}" name="Category"/>
    <tableColumn id="2" xr3:uid="{00000000-0010-0000-1700-000002000000}" name="Subcategory"/>
    <tableColumn id="3" xr3:uid="{00000000-0010-0000-1700-000003000000}" name="Original (USD)"/>
  </tableColumns>
  <tableStyleInfo name="Facility AFE-style 2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8" displayName="Table8" ref="A57:C86">
  <tableColumns count="3">
    <tableColumn id="1" xr3:uid="{00000000-0010-0000-1800-000001000000}" name="Design Element"/>
    <tableColumn id="2" xr3:uid="{00000000-0010-0000-1800-000002000000}" name="Description"/>
    <tableColumn id="3" xr3:uid="{00000000-0010-0000-1800-000003000000}" name="Safety Standard / Note"/>
  </tableColumns>
  <tableStyleInfo name="Facility AFE-style 3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13" displayName="Table13" ref="A89:C92">
  <tableColumns count="3">
    <tableColumn id="1" xr3:uid="{00000000-0010-0000-1900-000001000000}" name="Facility Expansion Costs"/>
    <tableColumn id="2" xr3:uid="{00000000-0010-0000-1900-000002000000}" name="Description"/>
    <tableColumn id="3" xr3:uid="{00000000-0010-0000-1900-000003000000}" name="Amount USD"/>
  </tableColumns>
  <tableStyleInfo name="Facility AFE-style 4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27" displayName="Table27" ref="A27:C32">
  <tableColumns count="3">
    <tableColumn id="1" xr3:uid="{00000000-0010-0000-1A00-000001000000}" name="Design Element"/>
    <tableColumn id="2" xr3:uid="{00000000-0010-0000-1A00-000002000000}" name="Description"/>
    <tableColumn id="3" xr3:uid="{00000000-0010-0000-1A00-000003000000}" name="Safety Standard / Note"/>
  </tableColumns>
  <tableStyleInfo name="Addtl Detail-style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28" displayName="Table28" ref="A34:C39">
  <tableColumns count="3">
    <tableColumn id="1" xr3:uid="{00000000-0010-0000-1B00-000001000000}" name="Feature"/>
    <tableColumn id="2" xr3:uid="{00000000-0010-0000-1B00-000002000000}" name="Description"/>
    <tableColumn id="3" xr3:uid="{00000000-0010-0000-1B00-000003000000}" name="Benefit / Purpose"/>
  </tableColumns>
  <tableStyleInfo name="Addtl Detail-style 2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9" displayName="Table29" ref="A41:C47">
  <tableColumns count="3">
    <tableColumn id="1" xr3:uid="{00000000-0010-0000-1C00-000001000000}" name="Item/Area"/>
    <tableColumn id="2" xr3:uid="{00000000-0010-0000-1C00-000002000000}" name="Design Detail"/>
    <tableColumn id="3" xr3:uid="{00000000-0010-0000-1C00-000003000000}" name="Safety Feature"/>
  </tableColumns>
  <tableStyleInfo name="Addtl Detail-style 3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30" displayName="Table30" ref="A49:C56">
  <tableColumns count="3">
    <tableColumn id="1" xr3:uid="{00000000-0010-0000-1D00-000001000000}" name="Safety Measure"/>
    <tableColumn id="2" xr3:uid="{00000000-0010-0000-1D00-000002000000}" name="Description / Implementation"/>
    <tableColumn id="3" xr3:uid="{00000000-0010-0000-1D00-000003000000}" name="Standard or Rationale"/>
  </tableColumns>
  <tableStyleInfo name="Addtl Detail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be.energy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Relationship Id="rId4" Type="http://schemas.openxmlformats.org/officeDocument/2006/relationships/table" Target="../tables/table2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table" Target="../tables/table27.xml"/><Relationship Id="rId4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1"/>
  <sheetViews>
    <sheetView showGridLines="0" workbookViewId="0">
      <selection activeCell="C12" sqref="C12"/>
    </sheetView>
  </sheetViews>
  <sheetFormatPr baseColWidth="10" defaultColWidth="12.6640625" defaultRowHeight="15.75" customHeight="1"/>
  <cols>
    <col min="1" max="1" width="5.1640625" customWidth="1"/>
    <col min="2" max="2" width="4.6640625" customWidth="1"/>
    <col min="3" max="3" width="69.6640625" customWidth="1"/>
    <col min="4" max="4" width="7.5" customWidth="1"/>
    <col min="5" max="5" width="7.33203125" customWidth="1"/>
  </cols>
  <sheetData>
    <row r="1" spans="1:5" ht="13">
      <c r="A1" s="1"/>
      <c r="B1" s="2"/>
      <c r="C1" s="2"/>
      <c r="D1" s="2"/>
      <c r="E1" s="3"/>
    </row>
    <row r="2" spans="1:5" ht="76.5" customHeight="1">
      <c r="A2" s="4"/>
      <c r="B2" s="5"/>
      <c r="C2" s="6"/>
      <c r="D2" s="5"/>
      <c r="E2" s="7"/>
    </row>
    <row r="3" spans="1:5" ht="13">
      <c r="A3" s="4"/>
      <c r="B3" s="5"/>
      <c r="C3" s="5"/>
      <c r="D3" s="5"/>
      <c r="E3" s="7"/>
    </row>
    <row r="4" spans="1:5" ht="22">
      <c r="A4" s="4"/>
      <c r="B4" s="5"/>
      <c r="C4" s="8" t="s">
        <v>0</v>
      </c>
      <c r="D4" s="5"/>
      <c r="E4" s="7"/>
    </row>
    <row r="5" spans="1:5" ht="13">
      <c r="A5" s="4"/>
      <c r="B5" s="5"/>
      <c r="C5" s="5"/>
      <c r="D5" s="5"/>
      <c r="E5" s="7"/>
    </row>
    <row r="6" spans="1:5" ht="13">
      <c r="A6" s="4"/>
      <c r="B6" s="5"/>
      <c r="C6" s="5"/>
      <c r="D6" s="5"/>
      <c r="E6" s="7"/>
    </row>
    <row r="7" spans="1:5" ht="22">
      <c r="A7" s="4"/>
      <c r="B7" s="5"/>
      <c r="C7" s="9" t="s">
        <v>1</v>
      </c>
      <c r="D7" s="5"/>
      <c r="E7" s="7"/>
    </row>
    <row r="8" spans="1:5" ht="13">
      <c r="A8" s="4"/>
      <c r="B8" s="5"/>
      <c r="C8" s="5"/>
      <c r="D8" s="5"/>
      <c r="E8" s="7"/>
    </row>
    <row r="9" spans="1:5" ht="13">
      <c r="A9" s="4"/>
      <c r="B9" s="10"/>
      <c r="C9" s="10"/>
      <c r="D9" s="10"/>
      <c r="E9" s="7"/>
    </row>
    <row r="10" spans="1:5" ht="22">
      <c r="A10" s="4"/>
      <c r="B10" s="10"/>
      <c r="C10" s="11" t="s">
        <v>2</v>
      </c>
      <c r="D10" s="10"/>
      <c r="E10" s="7"/>
    </row>
    <row r="11" spans="1:5" ht="13">
      <c r="A11" s="4"/>
      <c r="B11" s="10"/>
      <c r="C11" s="12"/>
      <c r="D11" s="10"/>
      <c r="E11" s="7"/>
    </row>
    <row r="12" spans="1:5" ht="24.75" customHeight="1">
      <c r="A12" s="4"/>
      <c r="B12" s="10"/>
      <c r="C12" s="13" t="s">
        <v>3</v>
      </c>
      <c r="D12" s="10"/>
      <c r="E12" s="7"/>
    </row>
    <row r="13" spans="1:5" ht="24.75" customHeight="1">
      <c r="A13" s="4"/>
      <c r="B13" s="10"/>
      <c r="C13" s="13" t="s">
        <v>4</v>
      </c>
      <c r="D13" s="10"/>
      <c r="E13" s="7"/>
    </row>
    <row r="14" spans="1:5" ht="24.75" customHeight="1">
      <c r="A14" s="4"/>
      <c r="B14" s="10"/>
      <c r="C14" s="13" t="s">
        <v>5</v>
      </c>
      <c r="D14" s="12"/>
      <c r="E14" s="7"/>
    </row>
    <row r="15" spans="1:5" ht="24.75" customHeight="1">
      <c r="A15" s="4"/>
      <c r="B15" s="10"/>
      <c r="C15" s="13" t="s">
        <v>6</v>
      </c>
      <c r="D15" s="10"/>
      <c r="E15" s="7"/>
    </row>
    <row r="16" spans="1:5" ht="24.75" customHeight="1">
      <c r="A16" s="4"/>
      <c r="B16" s="10"/>
      <c r="C16" s="13" t="s">
        <v>7</v>
      </c>
      <c r="D16" s="10"/>
      <c r="E16" s="7"/>
    </row>
    <row r="17" spans="1:5" ht="24.75" customHeight="1">
      <c r="A17" s="4"/>
      <c r="B17" s="10"/>
      <c r="C17" s="13" t="s">
        <v>8</v>
      </c>
      <c r="D17" s="10"/>
      <c r="E17" s="7"/>
    </row>
    <row r="18" spans="1:5" ht="24.75" customHeight="1">
      <c r="A18" s="4"/>
      <c r="B18" s="10"/>
      <c r="C18" s="13" t="s">
        <v>9</v>
      </c>
      <c r="D18" s="10"/>
      <c r="E18" s="7"/>
    </row>
    <row r="19" spans="1:5" ht="24.75" customHeight="1">
      <c r="A19" s="4"/>
      <c r="B19" s="10"/>
      <c r="C19" s="13" t="s">
        <v>10</v>
      </c>
      <c r="D19" s="10"/>
      <c r="E19" s="7"/>
    </row>
    <row r="20" spans="1:5" ht="24.75" customHeight="1">
      <c r="A20" s="4"/>
      <c r="B20" s="10"/>
      <c r="C20" s="13" t="s">
        <v>11</v>
      </c>
      <c r="D20" s="10"/>
      <c r="E20" s="7"/>
    </row>
    <row r="21" spans="1:5" ht="13">
      <c r="A21" s="14"/>
      <c r="B21" s="15"/>
      <c r="C21" s="15"/>
      <c r="D21" s="15"/>
      <c r="E21" s="16"/>
    </row>
  </sheetData>
  <hyperlinks>
    <hyperlink ref="C7" r:id="rId1" xr:uid="{00000000-0004-0000-0000-000000000000}"/>
    <hyperlink ref="C12" location="'Model Assumptions'!A1" display="Model Assumptions" xr:uid="{00000000-0004-0000-0000-000001000000}"/>
    <hyperlink ref="C13" location="Financials!A1" display="Financials" xr:uid="{00000000-0004-0000-0000-000002000000}"/>
    <hyperlink ref="C14" location="'Project Overview'!A1" display="Project Overview" xr:uid="{00000000-0004-0000-0000-000003000000}"/>
    <hyperlink ref="C15" location="'H2 Cost Assumptions'!A1" display="H2 Cost Assumptions" xr:uid="{00000000-0004-0000-0000-000004000000}"/>
    <hyperlink ref="C16" location="'H2 Production Costs'!A1" display="H2 Production Costs" xr:uid="{00000000-0004-0000-0000-000005000000}"/>
    <hyperlink ref="C17" location="Personnel!A1" display="Personnel" xr:uid="{00000000-0004-0000-0000-000006000000}"/>
    <hyperlink ref="C18" location="'Volumes at Electric Loads'!A1" display="Volumes at Electric Loads" xr:uid="{00000000-0004-0000-0000-000007000000}"/>
    <hyperlink ref="C19" location="'Facility AFE'!A1" display="Facility AFE" xr:uid="{00000000-0004-0000-0000-000008000000}"/>
    <hyperlink ref="C20" location="'Addtl Detail'!A1" display="Additional Engineering Detail" xr:uid="{00000000-0004-0000-0000-000009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S128"/>
  <sheetViews>
    <sheetView showGridLines="0" workbookViewId="0">
      <pane xSplit="5" ySplit="4" topLeftCell="R59" activePane="bottomRight" state="frozen"/>
      <selection pane="topRight" activeCell="F1" sqref="F1"/>
      <selection pane="bottomLeft" activeCell="A5" sqref="A5"/>
      <selection pane="bottomRight" activeCell="U9" sqref="U9"/>
    </sheetView>
  </sheetViews>
  <sheetFormatPr baseColWidth="10" defaultColWidth="12.6640625" defaultRowHeight="15.75" customHeight="1"/>
  <cols>
    <col min="1" max="1" width="2.6640625" customWidth="1"/>
    <col min="2" max="2" width="34.1640625" bestFit="1" customWidth="1"/>
    <col min="3" max="3" width="15.83203125" bestFit="1" customWidth="1"/>
    <col min="4" max="4" width="28" bestFit="1" customWidth="1"/>
    <col min="5" max="5" width="14.6640625" bestFit="1" customWidth="1"/>
    <col min="6" max="6" width="11.1640625" bestFit="1" customWidth="1"/>
    <col min="7" max="7" width="28.83203125" bestFit="1" customWidth="1"/>
    <col min="8" max="18" width="11.83203125" bestFit="1" customWidth="1"/>
    <col min="19" max="90" width="12.33203125" bestFit="1" customWidth="1"/>
    <col min="91" max="877" width="9.6640625" customWidth="1"/>
  </cols>
  <sheetData>
    <row r="1" spans="1:877" ht="13">
      <c r="A1" s="12"/>
      <c r="B1" s="17" t="s">
        <v>12</v>
      </c>
      <c r="C1" s="12"/>
      <c r="D1" s="12"/>
      <c r="E1" s="12"/>
      <c r="F1" s="18"/>
      <c r="G1" s="18">
        <v>1</v>
      </c>
      <c r="H1" s="18">
        <v>1</v>
      </c>
      <c r="I1" s="18">
        <v>1</v>
      </c>
      <c r="J1" s="18">
        <v>1</v>
      </c>
      <c r="K1" s="18">
        <v>1</v>
      </c>
      <c r="L1" s="18">
        <v>1</v>
      </c>
      <c r="M1" s="18">
        <v>1</v>
      </c>
      <c r="N1" s="18">
        <v>1</v>
      </c>
      <c r="O1" s="18">
        <v>1</v>
      </c>
      <c r="P1" s="18">
        <v>1</v>
      </c>
      <c r="Q1" s="18">
        <v>1</v>
      </c>
      <c r="R1" s="18">
        <v>1</v>
      </c>
      <c r="S1" s="18">
        <v>2</v>
      </c>
      <c r="T1" s="18">
        <v>2</v>
      </c>
      <c r="U1" s="18">
        <v>2</v>
      </c>
      <c r="V1" s="18">
        <v>2</v>
      </c>
      <c r="W1" s="18">
        <v>2</v>
      </c>
      <c r="X1" s="18">
        <v>2</v>
      </c>
      <c r="Y1" s="18">
        <v>2</v>
      </c>
      <c r="Z1" s="18">
        <v>2</v>
      </c>
      <c r="AA1" s="18">
        <v>2</v>
      </c>
      <c r="AB1" s="18">
        <v>2</v>
      </c>
      <c r="AC1" s="18">
        <v>2</v>
      </c>
      <c r="AD1" s="18">
        <v>2</v>
      </c>
      <c r="AE1" s="18">
        <v>3</v>
      </c>
      <c r="AF1" s="18">
        <v>3</v>
      </c>
      <c r="AG1" s="18">
        <v>3</v>
      </c>
      <c r="AH1" s="18">
        <v>3</v>
      </c>
      <c r="AI1" s="18">
        <v>3</v>
      </c>
      <c r="AJ1" s="18">
        <v>3</v>
      </c>
      <c r="AK1" s="18">
        <v>3</v>
      </c>
      <c r="AL1" s="18">
        <v>3</v>
      </c>
      <c r="AM1" s="18">
        <v>3</v>
      </c>
      <c r="AN1" s="18">
        <v>3</v>
      </c>
      <c r="AO1" s="18">
        <v>3</v>
      </c>
      <c r="AP1" s="18">
        <v>3</v>
      </c>
      <c r="AQ1" s="18">
        <v>4</v>
      </c>
      <c r="AR1" s="18">
        <v>4</v>
      </c>
      <c r="AS1" s="18">
        <v>4</v>
      </c>
      <c r="AT1" s="18">
        <v>4</v>
      </c>
      <c r="AU1" s="18">
        <v>4</v>
      </c>
      <c r="AV1" s="18">
        <v>4</v>
      </c>
      <c r="AW1" s="18">
        <v>4</v>
      </c>
      <c r="AX1" s="18">
        <v>4</v>
      </c>
      <c r="AY1" s="18">
        <v>4</v>
      </c>
      <c r="AZ1" s="18">
        <v>4</v>
      </c>
      <c r="BA1" s="18">
        <v>4</v>
      </c>
      <c r="BB1" s="18">
        <v>4</v>
      </c>
      <c r="BC1" s="18">
        <v>5</v>
      </c>
      <c r="BD1" s="18">
        <v>5</v>
      </c>
      <c r="BE1" s="18">
        <v>5</v>
      </c>
      <c r="BF1" s="18">
        <v>5</v>
      </c>
      <c r="BG1" s="18">
        <v>5</v>
      </c>
      <c r="BH1" s="18">
        <v>5</v>
      </c>
      <c r="BI1" s="18">
        <v>5</v>
      </c>
      <c r="BJ1" s="19">
        <v>5</v>
      </c>
      <c r="BK1" s="19">
        <v>5</v>
      </c>
      <c r="BL1" s="19">
        <v>5</v>
      </c>
      <c r="BM1" s="19">
        <v>5</v>
      </c>
      <c r="BN1" s="19">
        <v>5</v>
      </c>
      <c r="BO1" s="19">
        <v>6</v>
      </c>
      <c r="BP1" s="19">
        <v>6</v>
      </c>
      <c r="BQ1" s="19">
        <v>6</v>
      </c>
      <c r="BR1" s="19">
        <v>6</v>
      </c>
      <c r="BS1" s="19">
        <v>6</v>
      </c>
      <c r="BT1" s="19">
        <v>6</v>
      </c>
      <c r="BU1" s="19">
        <v>6</v>
      </c>
      <c r="BV1" s="19">
        <v>6</v>
      </c>
      <c r="BW1" s="19">
        <v>6</v>
      </c>
      <c r="BX1" s="19">
        <v>6</v>
      </c>
      <c r="BY1" s="19">
        <v>6</v>
      </c>
      <c r="BZ1" s="19">
        <v>6</v>
      </c>
      <c r="CA1" s="20">
        <v>7</v>
      </c>
      <c r="CB1" s="20">
        <v>7</v>
      </c>
      <c r="CC1" s="20">
        <v>7</v>
      </c>
      <c r="CD1" s="20">
        <v>7</v>
      </c>
      <c r="CE1" s="20">
        <v>7</v>
      </c>
      <c r="CF1" s="20">
        <v>7</v>
      </c>
      <c r="CG1" s="20">
        <v>7</v>
      </c>
      <c r="CH1" s="20">
        <v>7</v>
      </c>
      <c r="CI1" s="20">
        <v>7</v>
      </c>
      <c r="CJ1" s="20">
        <v>7</v>
      </c>
      <c r="CK1" s="20">
        <v>7</v>
      </c>
      <c r="CL1" s="20">
        <v>7</v>
      </c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1"/>
      <c r="IT1" s="21"/>
      <c r="IU1" s="21"/>
      <c r="IV1" s="21"/>
      <c r="IW1" s="21"/>
      <c r="IX1" s="21"/>
      <c r="IY1" s="21"/>
      <c r="IZ1" s="21"/>
      <c r="JA1" s="21"/>
      <c r="JB1" s="21"/>
      <c r="JC1" s="21"/>
      <c r="JD1" s="21"/>
      <c r="JE1" s="21"/>
      <c r="JF1" s="21"/>
      <c r="JG1" s="21"/>
      <c r="JH1" s="21"/>
      <c r="JI1" s="21"/>
      <c r="JJ1" s="21"/>
      <c r="JK1" s="21"/>
      <c r="JL1" s="21"/>
      <c r="JM1" s="21"/>
      <c r="JN1" s="21"/>
      <c r="JO1" s="21"/>
      <c r="JP1" s="21"/>
      <c r="JQ1" s="21"/>
      <c r="JR1" s="21"/>
      <c r="JS1" s="21"/>
      <c r="JT1" s="21"/>
      <c r="JU1" s="21"/>
      <c r="JV1" s="21"/>
      <c r="JW1" s="21"/>
      <c r="JX1" s="21"/>
      <c r="JY1" s="21"/>
      <c r="JZ1" s="21"/>
      <c r="KA1" s="21"/>
      <c r="KB1" s="21"/>
      <c r="KC1" s="21"/>
      <c r="KD1" s="21"/>
      <c r="KE1" s="21"/>
      <c r="KF1" s="21"/>
      <c r="KG1" s="21"/>
      <c r="KH1" s="21"/>
      <c r="KI1" s="21"/>
      <c r="KJ1" s="21"/>
      <c r="KK1" s="21"/>
      <c r="KL1" s="21"/>
      <c r="KM1" s="21"/>
      <c r="KN1" s="21"/>
      <c r="KO1" s="21"/>
      <c r="KP1" s="21"/>
      <c r="KQ1" s="21"/>
      <c r="KR1" s="21"/>
      <c r="KS1" s="21"/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J1" s="21"/>
      <c r="LK1" s="21"/>
      <c r="LL1" s="21"/>
      <c r="LM1" s="21"/>
      <c r="LN1" s="21"/>
      <c r="LO1" s="21"/>
      <c r="LP1" s="21"/>
      <c r="LQ1" s="21"/>
      <c r="LR1" s="21"/>
      <c r="LS1" s="21"/>
      <c r="LT1" s="21"/>
      <c r="LU1" s="21"/>
      <c r="LV1" s="21"/>
      <c r="LW1" s="21"/>
      <c r="LX1" s="21"/>
      <c r="LY1" s="21"/>
      <c r="LZ1" s="21"/>
      <c r="MA1" s="21"/>
      <c r="MB1" s="21"/>
      <c r="MC1" s="21"/>
      <c r="MD1" s="21"/>
      <c r="ME1" s="21"/>
      <c r="MF1" s="21"/>
      <c r="MG1" s="21"/>
      <c r="MH1" s="21"/>
      <c r="MI1" s="21"/>
      <c r="MJ1" s="21"/>
      <c r="MK1" s="21"/>
      <c r="ML1" s="21"/>
      <c r="MM1" s="21"/>
      <c r="MN1" s="21"/>
      <c r="MO1" s="21"/>
      <c r="MP1" s="21"/>
      <c r="MQ1" s="21"/>
      <c r="MR1" s="21"/>
      <c r="MS1" s="21"/>
      <c r="MT1" s="21"/>
      <c r="MU1" s="21"/>
      <c r="MV1" s="21"/>
      <c r="MW1" s="21"/>
      <c r="MX1" s="21"/>
      <c r="MY1" s="21"/>
      <c r="MZ1" s="21"/>
      <c r="NA1" s="21"/>
      <c r="NB1" s="21"/>
      <c r="NC1" s="21"/>
      <c r="ND1" s="21"/>
      <c r="NE1" s="21"/>
      <c r="NF1" s="21"/>
      <c r="NG1" s="21"/>
      <c r="NH1" s="21"/>
      <c r="NI1" s="21"/>
      <c r="NJ1" s="21"/>
      <c r="NK1" s="21"/>
      <c r="NL1" s="21"/>
      <c r="NM1" s="21"/>
      <c r="NN1" s="21"/>
      <c r="NO1" s="21"/>
      <c r="NP1" s="21"/>
      <c r="NQ1" s="21"/>
      <c r="NR1" s="21"/>
      <c r="NS1" s="21"/>
      <c r="NT1" s="21"/>
      <c r="NU1" s="21"/>
      <c r="NV1" s="21"/>
      <c r="NW1" s="21"/>
      <c r="NX1" s="21"/>
      <c r="NY1" s="21"/>
      <c r="NZ1" s="21"/>
      <c r="OA1" s="21"/>
      <c r="OB1" s="21"/>
      <c r="OC1" s="21"/>
      <c r="OD1" s="21"/>
      <c r="OE1" s="21"/>
      <c r="OF1" s="21"/>
      <c r="OG1" s="21"/>
      <c r="OH1" s="21"/>
      <c r="OI1" s="21"/>
      <c r="OJ1" s="21"/>
      <c r="OK1" s="21"/>
      <c r="OL1" s="21"/>
      <c r="OM1" s="21"/>
      <c r="ON1" s="21"/>
      <c r="OO1" s="21"/>
      <c r="OP1" s="21"/>
      <c r="OQ1" s="21"/>
      <c r="OR1" s="21"/>
      <c r="OS1" s="21"/>
      <c r="OT1" s="21"/>
      <c r="OU1" s="21"/>
      <c r="OV1" s="21"/>
      <c r="OW1" s="21"/>
      <c r="OX1" s="21"/>
      <c r="OY1" s="21"/>
      <c r="OZ1" s="21"/>
      <c r="PA1" s="21"/>
      <c r="PB1" s="21"/>
      <c r="PC1" s="21"/>
      <c r="PD1" s="21"/>
      <c r="PE1" s="21"/>
      <c r="PF1" s="21"/>
      <c r="PG1" s="21"/>
      <c r="PH1" s="21"/>
      <c r="PI1" s="21"/>
      <c r="PJ1" s="21"/>
      <c r="PK1" s="21"/>
      <c r="PL1" s="21"/>
      <c r="PM1" s="21"/>
      <c r="PN1" s="21"/>
      <c r="PO1" s="21"/>
      <c r="PP1" s="21"/>
      <c r="PQ1" s="21"/>
      <c r="PR1" s="21"/>
      <c r="PS1" s="21"/>
      <c r="PT1" s="21"/>
      <c r="PU1" s="21"/>
      <c r="PV1" s="21"/>
      <c r="PW1" s="21"/>
      <c r="PX1" s="21"/>
      <c r="PY1" s="21"/>
      <c r="PZ1" s="21"/>
      <c r="QA1" s="21"/>
      <c r="QB1" s="21"/>
      <c r="QC1" s="21"/>
      <c r="QD1" s="21"/>
      <c r="QE1" s="21"/>
      <c r="QF1" s="21"/>
      <c r="QG1" s="21"/>
      <c r="QH1" s="21"/>
      <c r="QI1" s="21"/>
      <c r="QJ1" s="21"/>
      <c r="QK1" s="21"/>
      <c r="QL1" s="21"/>
      <c r="QM1" s="21"/>
      <c r="QN1" s="21"/>
      <c r="QO1" s="21"/>
      <c r="QP1" s="21"/>
      <c r="QQ1" s="21"/>
      <c r="QR1" s="21"/>
      <c r="QS1" s="21"/>
      <c r="QT1" s="21"/>
      <c r="QU1" s="21"/>
      <c r="QV1" s="21"/>
      <c r="QW1" s="21"/>
      <c r="QX1" s="21"/>
      <c r="QY1" s="21"/>
      <c r="QZ1" s="21"/>
      <c r="RA1" s="21"/>
      <c r="RB1" s="21"/>
      <c r="RC1" s="21"/>
      <c r="RD1" s="21"/>
      <c r="RE1" s="21"/>
      <c r="RF1" s="21"/>
      <c r="RG1" s="21"/>
      <c r="RH1" s="21"/>
      <c r="RI1" s="21"/>
      <c r="RJ1" s="21"/>
      <c r="RK1" s="21"/>
      <c r="RL1" s="21"/>
      <c r="RM1" s="21"/>
      <c r="RN1" s="21"/>
      <c r="RO1" s="21"/>
      <c r="RP1" s="21"/>
      <c r="RQ1" s="21"/>
      <c r="RR1" s="21"/>
      <c r="RS1" s="21"/>
      <c r="RT1" s="21"/>
      <c r="RU1" s="21"/>
      <c r="RV1" s="21"/>
      <c r="RW1" s="21"/>
      <c r="RX1" s="21"/>
      <c r="RY1" s="21"/>
      <c r="RZ1" s="21"/>
      <c r="SA1" s="21"/>
      <c r="SB1" s="21"/>
      <c r="SC1" s="21"/>
      <c r="SD1" s="21"/>
      <c r="SE1" s="21"/>
      <c r="SF1" s="21"/>
      <c r="SG1" s="21"/>
      <c r="SH1" s="21"/>
      <c r="SI1" s="21"/>
      <c r="SJ1" s="21"/>
      <c r="SK1" s="21"/>
      <c r="SL1" s="21"/>
      <c r="SM1" s="21"/>
      <c r="SN1" s="21"/>
      <c r="SO1" s="21"/>
      <c r="SP1" s="21"/>
      <c r="SQ1" s="21"/>
      <c r="SR1" s="21"/>
      <c r="SS1" s="21"/>
      <c r="ST1" s="21"/>
      <c r="SU1" s="21"/>
      <c r="SV1" s="21"/>
      <c r="SW1" s="21"/>
      <c r="SX1" s="21"/>
      <c r="SY1" s="21"/>
      <c r="SZ1" s="21"/>
      <c r="TA1" s="21"/>
      <c r="TB1" s="21"/>
      <c r="TC1" s="21"/>
      <c r="TD1" s="21"/>
      <c r="TE1" s="21"/>
      <c r="TF1" s="21"/>
      <c r="TG1" s="21"/>
      <c r="TH1" s="21"/>
      <c r="TI1" s="21"/>
      <c r="TJ1" s="21"/>
      <c r="TK1" s="21"/>
      <c r="TL1" s="21"/>
      <c r="TM1" s="21"/>
      <c r="TN1" s="21"/>
      <c r="TO1" s="21"/>
      <c r="TP1" s="21"/>
      <c r="TQ1" s="21"/>
      <c r="TR1" s="21"/>
      <c r="TS1" s="21"/>
      <c r="TT1" s="21"/>
      <c r="TU1" s="21"/>
      <c r="TV1" s="21"/>
      <c r="TW1" s="21"/>
      <c r="TX1" s="21"/>
      <c r="TY1" s="21"/>
      <c r="TZ1" s="21"/>
      <c r="UA1" s="21"/>
      <c r="UB1" s="21"/>
      <c r="UC1" s="21"/>
      <c r="UD1" s="21"/>
      <c r="UE1" s="21"/>
      <c r="UF1" s="21"/>
      <c r="UG1" s="21"/>
      <c r="UH1" s="21"/>
      <c r="UI1" s="21"/>
      <c r="UJ1" s="21"/>
      <c r="UK1" s="21"/>
      <c r="UL1" s="21"/>
      <c r="UM1" s="21"/>
      <c r="UN1" s="21"/>
      <c r="UO1" s="21"/>
      <c r="UP1" s="21"/>
      <c r="UQ1" s="21"/>
      <c r="UR1" s="21"/>
      <c r="US1" s="21"/>
      <c r="UT1" s="21"/>
      <c r="UU1" s="21"/>
      <c r="UV1" s="21"/>
      <c r="UW1" s="21"/>
      <c r="UX1" s="21"/>
      <c r="UY1" s="21"/>
      <c r="UZ1" s="21"/>
      <c r="VA1" s="21"/>
      <c r="VB1" s="21"/>
      <c r="VC1" s="21"/>
      <c r="VD1" s="21"/>
      <c r="VE1" s="21"/>
      <c r="VF1" s="21"/>
      <c r="VG1" s="21"/>
      <c r="VH1" s="21"/>
      <c r="VI1" s="21"/>
      <c r="VJ1" s="21"/>
      <c r="VK1" s="21"/>
      <c r="VL1" s="21"/>
      <c r="VM1" s="21"/>
      <c r="VN1" s="21"/>
      <c r="VO1" s="21"/>
      <c r="VP1" s="21"/>
      <c r="VQ1" s="21"/>
      <c r="VR1" s="21"/>
      <c r="VS1" s="21"/>
      <c r="VT1" s="21"/>
      <c r="VU1" s="21"/>
      <c r="VV1" s="21"/>
      <c r="VW1" s="21"/>
      <c r="VX1" s="21"/>
      <c r="VY1" s="21"/>
      <c r="VZ1" s="21"/>
      <c r="WA1" s="21"/>
      <c r="WB1" s="21"/>
      <c r="WC1" s="21"/>
      <c r="WD1" s="21"/>
      <c r="WE1" s="21"/>
      <c r="WF1" s="21"/>
      <c r="WG1" s="21"/>
      <c r="WH1" s="21"/>
      <c r="WI1" s="21"/>
      <c r="WJ1" s="21"/>
      <c r="WK1" s="21"/>
      <c r="WL1" s="21"/>
      <c r="WM1" s="21"/>
      <c r="WN1" s="21"/>
      <c r="WO1" s="21"/>
      <c r="WP1" s="21"/>
      <c r="WQ1" s="21"/>
      <c r="WR1" s="21"/>
      <c r="WS1" s="21"/>
      <c r="WT1" s="21"/>
      <c r="WU1" s="21"/>
      <c r="WV1" s="21"/>
      <c r="WW1" s="21"/>
      <c r="WX1" s="21"/>
      <c r="WY1" s="21"/>
      <c r="WZ1" s="21"/>
      <c r="XA1" s="21"/>
      <c r="XB1" s="21"/>
      <c r="XC1" s="21"/>
      <c r="XD1" s="21"/>
      <c r="XE1" s="21"/>
      <c r="XF1" s="21"/>
      <c r="XG1" s="21"/>
      <c r="XH1" s="21"/>
      <c r="XI1" s="21"/>
      <c r="XJ1" s="21"/>
      <c r="XK1" s="21"/>
      <c r="XL1" s="21"/>
      <c r="XM1" s="21"/>
      <c r="XN1" s="21"/>
      <c r="XO1" s="21"/>
      <c r="XP1" s="21"/>
      <c r="XQ1" s="21"/>
      <c r="XR1" s="21"/>
      <c r="XS1" s="21"/>
      <c r="XT1" s="21"/>
      <c r="XU1" s="21"/>
      <c r="XV1" s="21"/>
      <c r="XW1" s="21"/>
      <c r="XX1" s="21"/>
      <c r="XY1" s="21"/>
      <c r="XZ1" s="21"/>
      <c r="YA1" s="21"/>
      <c r="YB1" s="21"/>
      <c r="YC1" s="21"/>
      <c r="YD1" s="21"/>
      <c r="YE1" s="21"/>
      <c r="YF1" s="21"/>
      <c r="YG1" s="21"/>
      <c r="YH1" s="21"/>
      <c r="YI1" s="21"/>
      <c r="YJ1" s="21"/>
      <c r="YK1" s="21"/>
      <c r="YL1" s="21"/>
      <c r="YM1" s="21"/>
      <c r="YN1" s="21"/>
      <c r="YO1" s="21"/>
      <c r="YP1" s="21"/>
      <c r="YQ1" s="21"/>
      <c r="YR1" s="21"/>
      <c r="YS1" s="21"/>
      <c r="YT1" s="21"/>
      <c r="YU1" s="21"/>
      <c r="YV1" s="21"/>
      <c r="YW1" s="21"/>
      <c r="YX1" s="21"/>
      <c r="YY1" s="21"/>
      <c r="YZ1" s="21"/>
      <c r="ZA1" s="21"/>
      <c r="ZB1" s="21"/>
      <c r="ZC1" s="21"/>
      <c r="ZD1" s="21"/>
      <c r="ZE1" s="21"/>
      <c r="ZF1" s="21"/>
      <c r="ZG1" s="21"/>
      <c r="ZH1" s="21"/>
      <c r="ZI1" s="21"/>
      <c r="ZJ1" s="21"/>
      <c r="ZK1" s="21"/>
      <c r="ZL1" s="21"/>
      <c r="ZM1" s="21"/>
      <c r="ZN1" s="21"/>
      <c r="ZO1" s="21"/>
      <c r="ZP1" s="21"/>
      <c r="ZQ1" s="21"/>
      <c r="ZR1" s="21"/>
      <c r="ZS1" s="21"/>
      <c r="ZT1" s="21"/>
      <c r="ZU1" s="21"/>
      <c r="ZV1" s="21"/>
      <c r="ZW1" s="21"/>
      <c r="ZX1" s="21"/>
      <c r="ZY1" s="21"/>
      <c r="ZZ1" s="21"/>
      <c r="AAA1" s="21"/>
      <c r="AAB1" s="21"/>
      <c r="AAC1" s="21"/>
      <c r="AAD1" s="21"/>
      <c r="AAE1" s="21"/>
      <c r="AAF1" s="21"/>
      <c r="AAG1" s="21"/>
      <c r="AAH1" s="21"/>
      <c r="AAI1" s="21"/>
      <c r="AAJ1" s="21"/>
      <c r="AAK1" s="21"/>
      <c r="AAL1" s="21"/>
      <c r="AAM1" s="21"/>
      <c r="AAN1" s="21"/>
      <c r="AAO1" s="21"/>
      <c r="AAP1" s="21"/>
      <c r="AAQ1" s="21"/>
      <c r="AAR1" s="21"/>
      <c r="AAS1" s="21"/>
      <c r="AAT1" s="21"/>
      <c r="AAU1" s="21"/>
      <c r="AAV1" s="21"/>
      <c r="AAW1" s="21"/>
      <c r="AAX1" s="21"/>
      <c r="AAY1" s="21"/>
      <c r="AAZ1" s="21"/>
      <c r="ABA1" s="21"/>
      <c r="ABB1" s="21"/>
      <c r="ABC1" s="21"/>
      <c r="ABD1" s="21"/>
      <c r="ABE1" s="21"/>
      <c r="ABF1" s="21"/>
      <c r="ABG1" s="21"/>
      <c r="ABH1" s="21"/>
      <c r="ABI1" s="21"/>
      <c r="ABJ1" s="21"/>
      <c r="ABK1" s="21"/>
      <c r="ABL1" s="21"/>
      <c r="ABM1" s="21"/>
      <c r="ABN1" s="21"/>
      <c r="ABO1" s="21"/>
      <c r="ABP1" s="21"/>
      <c r="ABQ1" s="21"/>
      <c r="ABR1" s="21"/>
      <c r="ABS1" s="21"/>
      <c r="ABT1" s="21"/>
      <c r="ABU1" s="21"/>
      <c r="ABV1" s="21"/>
      <c r="ABW1" s="21"/>
      <c r="ABX1" s="21"/>
      <c r="ABY1" s="21"/>
      <c r="ABZ1" s="21"/>
      <c r="ACA1" s="21"/>
      <c r="ACB1" s="21"/>
      <c r="ACC1" s="21"/>
      <c r="ACD1" s="21"/>
      <c r="ACE1" s="21"/>
      <c r="ACF1" s="21"/>
      <c r="ACG1" s="21"/>
      <c r="ACH1" s="21"/>
      <c r="ACI1" s="21"/>
      <c r="ACJ1" s="21"/>
      <c r="ACK1" s="21"/>
      <c r="ACL1" s="21"/>
      <c r="ACM1" s="21"/>
      <c r="ACN1" s="21"/>
      <c r="ACO1" s="21"/>
      <c r="ACP1" s="21"/>
      <c r="ACQ1" s="21"/>
      <c r="ACR1" s="21"/>
      <c r="ACS1" s="21"/>
      <c r="ACT1" s="21"/>
      <c r="ACU1" s="21"/>
      <c r="ACV1" s="21"/>
      <c r="ACW1" s="21"/>
      <c r="ACX1" s="21"/>
      <c r="ACY1" s="21"/>
      <c r="ACZ1" s="21"/>
      <c r="ADA1" s="21"/>
      <c r="ADB1" s="21"/>
      <c r="ADC1" s="21"/>
      <c r="ADD1" s="21"/>
      <c r="ADE1" s="21"/>
      <c r="ADF1" s="21"/>
      <c r="ADG1" s="21"/>
      <c r="ADH1" s="21"/>
      <c r="ADI1" s="21"/>
      <c r="ADJ1" s="21"/>
      <c r="ADK1" s="21"/>
      <c r="ADL1" s="21"/>
      <c r="ADM1" s="21"/>
      <c r="ADN1" s="21"/>
      <c r="ADO1" s="21"/>
      <c r="ADP1" s="21"/>
      <c r="ADQ1" s="21"/>
      <c r="ADR1" s="21"/>
      <c r="ADS1" s="21"/>
      <c r="ADT1" s="21"/>
      <c r="ADU1" s="21"/>
      <c r="ADV1" s="21"/>
      <c r="ADW1" s="21"/>
      <c r="ADX1" s="21"/>
      <c r="ADY1" s="21"/>
      <c r="ADZ1" s="21"/>
      <c r="AEA1" s="21"/>
      <c r="AEB1" s="21"/>
      <c r="AEC1" s="21"/>
      <c r="AED1" s="21"/>
      <c r="AEE1" s="21"/>
      <c r="AEF1" s="21"/>
      <c r="AEG1" s="21"/>
      <c r="AEH1" s="21"/>
      <c r="AEI1" s="21"/>
      <c r="AEJ1" s="21"/>
      <c r="AEK1" s="21"/>
      <c r="AEL1" s="21"/>
      <c r="AEM1" s="21"/>
      <c r="AEN1" s="21"/>
      <c r="AEO1" s="21"/>
      <c r="AEP1" s="21"/>
      <c r="AEQ1" s="21"/>
      <c r="AER1" s="21"/>
      <c r="AES1" s="21"/>
      <c r="AET1" s="21"/>
      <c r="AEU1" s="21"/>
      <c r="AEV1" s="21"/>
      <c r="AEW1" s="21"/>
      <c r="AEX1" s="21"/>
      <c r="AEY1" s="21"/>
      <c r="AEZ1" s="21"/>
      <c r="AFA1" s="21"/>
      <c r="AFB1" s="21"/>
      <c r="AFC1" s="21"/>
      <c r="AFD1" s="21"/>
      <c r="AFE1" s="21"/>
      <c r="AFF1" s="21"/>
      <c r="AFG1" s="21"/>
      <c r="AFH1" s="21"/>
      <c r="AFI1" s="21"/>
      <c r="AFJ1" s="21"/>
      <c r="AFK1" s="21"/>
      <c r="AFL1" s="21"/>
      <c r="AFM1" s="21"/>
      <c r="AFN1" s="21"/>
      <c r="AFO1" s="21"/>
      <c r="AFP1" s="21"/>
      <c r="AFQ1" s="21"/>
      <c r="AFR1" s="21"/>
      <c r="AFS1" s="21"/>
      <c r="AFT1" s="21"/>
      <c r="AFU1" s="21"/>
      <c r="AFV1" s="21"/>
      <c r="AFW1" s="21"/>
      <c r="AFX1" s="21"/>
      <c r="AFY1" s="21"/>
      <c r="AFZ1" s="21"/>
      <c r="AGA1" s="21"/>
      <c r="AGB1" s="21"/>
      <c r="AGC1" s="21"/>
      <c r="AGD1" s="21"/>
      <c r="AGE1" s="21"/>
      <c r="AGF1" s="21"/>
      <c r="AGG1" s="21"/>
      <c r="AGH1" s="21"/>
      <c r="AGI1" s="21"/>
      <c r="AGJ1" s="21"/>
      <c r="AGK1" s="21"/>
      <c r="AGL1" s="21"/>
      <c r="AGM1" s="21"/>
      <c r="AGN1" s="21"/>
      <c r="AGO1" s="21"/>
      <c r="AGP1" s="21"/>
      <c r="AGQ1" s="21"/>
      <c r="AGR1" s="21"/>
      <c r="AGS1" s="21"/>
    </row>
    <row r="2" spans="1:877" ht="13">
      <c r="A2" s="12"/>
      <c r="B2" s="17" t="s">
        <v>13</v>
      </c>
      <c r="C2" s="12"/>
      <c r="D2" s="12"/>
      <c r="E2" s="12"/>
      <c r="F2" s="18"/>
      <c r="G2" s="18">
        <v>2025</v>
      </c>
      <c r="H2" s="18">
        <v>2025</v>
      </c>
      <c r="I2" s="18">
        <v>2025</v>
      </c>
      <c r="J2" s="18">
        <v>2025</v>
      </c>
      <c r="K2" s="18">
        <v>2025</v>
      </c>
      <c r="L2" s="18">
        <v>2025</v>
      </c>
      <c r="M2" s="18">
        <v>2026</v>
      </c>
      <c r="N2" s="18">
        <v>2026</v>
      </c>
      <c r="O2" s="18">
        <v>2026</v>
      </c>
      <c r="P2" s="18">
        <v>2026</v>
      </c>
      <c r="Q2" s="18">
        <v>2026</v>
      </c>
      <c r="R2" s="18">
        <v>2026</v>
      </c>
      <c r="S2" s="18">
        <v>2026</v>
      </c>
      <c r="T2" s="18">
        <v>2026</v>
      </c>
      <c r="U2" s="18">
        <v>2026</v>
      </c>
      <c r="V2" s="18">
        <v>2026</v>
      </c>
      <c r="W2" s="18">
        <v>2026</v>
      </c>
      <c r="X2" s="18">
        <v>2026</v>
      </c>
      <c r="Y2" s="18">
        <v>2027</v>
      </c>
      <c r="Z2" s="18">
        <v>2027</v>
      </c>
      <c r="AA2" s="18">
        <v>2027</v>
      </c>
      <c r="AB2" s="18">
        <v>2027</v>
      </c>
      <c r="AC2" s="18">
        <v>2027</v>
      </c>
      <c r="AD2" s="18">
        <v>2027</v>
      </c>
      <c r="AE2" s="18">
        <v>2027</v>
      </c>
      <c r="AF2" s="18">
        <v>2027</v>
      </c>
      <c r="AG2" s="18">
        <v>2027</v>
      </c>
      <c r="AH2" s="18">
        <v>2027</v>
      </c>
      <c r="AI2" s="18">
        <v>2027</v>
      </c>
      <c r="AJ2" s="18">
        <v>2027</v>
      </c>
      <c r="AK2" s="18">
        <v>2028</v>
      </c>
      <c r="AL2" s="18">
        <v>2028</v>
      </c>
      <c r="AM2" s="18">
        <v>2028</v>
      </c>
      <c r="AN2" s="18">
        <v>2028</v>
      </c>
      <c r="AO2" s="18">
        <v>2028</v>
      </c>
      <c r="AP2" s="18">
        <v>2028</v>
      </c>
      <c r="AQ2" s="18">
        <v>2028</v>
      </c>
      <c r="AR2" s="18">
        <v>2028</v>
      </c>
      <c r="AS2" s="18">
        <v>2028</v>
      </c>
      <c r="AT2" s="18">
        <v>2028</v>
      </c>
      <c r="AU2" s="18">
        <v>2028</v>
      </c>
      <c r="AV2" s="18">
        <v>2028</v>
      </c>
      <c r="AW2" s="18">
        <v>2029</v>
      </c>
      <c r="AX2" s="18">
        <v>2029</v>
      </c>
      <c r="AY2" s="18">
        <v>2029</v>
      </c>
      <c r="AZ2" s="18">
        <v>2029</v>
      </c>
      <c r="BA2" s="18">
        <v>2029</v>
      </c>
      <c r="BB2" s="18">
        <v>2029</v>
      </c>
      <c r="BC2" s="18">
        <v>2029</v>
      </c>
      <c r="BD2" s="18">
        <v>2029</v>
      </c>
      <c r="BE2" s="18">
        <v>2029</v>
      </c>
      <c r="BF2" s="18">
        <v>2029</v>
      </c>
      <c r="BG2" s="18">
        <v>2029</v>
      </c>
      <c r="BH2" s="18">
        <v>2029</v>
      </c>
      <c r="BI2" s="18">
        <v>2030</v>
      </c>
      <c r="BJ2" s="19">
        <v>2030</v>
      </c>
      <c r="BK2" s="19">
        <v>2030</v>
      </c>
      <c r="BL2" s="19">
        <v>2030</v>
      </c>
      <c r="BM2" s="19">
        <v>2030</v>
      </c>
      <c r="BN2" s="19">
        <v>2030</v>
      </c>
      <c r="BO2" s="19">
        <v>2030</v>
      </c>
      <c r="BP2" s="19">
        <v>2030</v>
      </c>
      <c r="BQ2" s="19">
        <v>2030</v>
      </c>
      <c r="BR2" s="19">
        <v>2030</v>
      </c>
      <c r="BS2" s="19">
        <v>2030</v>
      </c>
      <c r="BT2" s="19">
        <v>2030</v>
      </c>
      <c r="BU2" s="19">
        <v>2031</v>
      </c>
      <c r="BV2" s="19">
        <v>2031</v>
      </c>
      <c r="BW2" s="19">
        <v>2031</v>
      </c>
      <c r="BX2" s="19">
        <v>2031</v>
      </c>
      <c r="BY2" s="19">
        <v>2031</v>
      </c>
      <c r="BZ2" s="19">
        <v>2031</v>
      </c>
      <c r="CA2" s="19">
        <f t="shared" ref="CA2:CF2" si="0">2024+CA1</f>
        <v>2031</v>
      </c>
      <c r="CB2" s="19">
        <f t="shared" si="0"/>
        <v>2031</v>
      </c>
      <c r="CC2" s="19">
        <f t="shared" si="0"/>
        <v>2031</v>
      </c>
      <c r="CD2" s="19">
        <f t="shared" si="0"/>
        <v>2031</v>
      </c>
      <c r="CE2" s="19">
        <f t="shared" si="0"/>
        <v>2031</v>
      </c>
      <c r="CF2" s="19">
        <f t="shared" si="0"/>
        <v>2031</v>
      </c>
      <c r="CG2" s="19">
        <v>2032</v>
      </c>
      <c r="CH2" s="19">
        <v>2032</v>
      </c>
      <c r="CI2" s="19">
        <v>2032</v>
      </c>
      <c r="CJ2" s="19">
        <v>2032</v>
      </c>
      <c r="CK2" s="19">
        <v>2032</v>
      </c>
      <c r="CL2" s="19">
        <v>2032</v>
      </c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  <c r="IG2" s="21"/>
      <c r="IH2" s="21"/>
      <c r="II2" s="21"/>
      <c r="IJ2" s="21"/>
      <c r="IK2" s="21"/>
      <c r="IL2" s="21"/>
      <c r="IM2" s="21"/>
      <c r="IN2" s="21"/>
      <c r="IO2" s="21"/>
      <c r="IP2" s="21"/>
      <c r="IQ2" s="21"/>
      <c r="IR2" s="21"/>
      <c r="IS2" s="21"/>
      <c r="IT2" s="21"/>
      <c r="IU2" s="21"/>
      <c r="IV2" s="21"/>
      <c r="IW2" s="21"/>
      <c r="IX2" s="21"/>
      <c r="IY2" s="21"/>
      <c r="IZ2" s="21"/>
      <c r="JA2" s="21"/>
      <c r="JB2" s="21"/>
      <c r="JC2" s="21"/>
      <c r="JD2" s="21"/>
      <c r="JE2" s="21"/>
      <c r="JF2" s="21"/>
      <c r="JG2" s="21"/>
      <c r="JH2" s="21"/>
      <c r="JI2" s="21"/>
      <c r="JJ2" s="21"/>
      <c r="JK2" s="21"/>
      <c r="JL2" s="21"/>
      <c r="JM2" s="21"/>
      <c r="JN2" s="21"/>
      <c r="JO2" s="21"/>
      <c r="JP2" s="21"/>
      <c r="JQ2" s="21"/>
      <c r="JR2" s="21"/>
      <c r="JS2" s="21"/>
      <c r="JT2" s="21"/>
      <c r="JU2" s="21"/>
      <c r="JV2" s="21"/>
      <c r="JW2" s="21"/>
      <c r="JX2" s="21"/>
      <c r="JY2" s="21"/>
      <c r="JZ2" s="21"/>
      <c r="KA2" s="21"/>
      <c r="KB2" s="21"/>
      <c r="KC2" s="21"/>
      <c r="KD2" s="21"/>
      <c r="KE2" s="21"/>
      <c r="KF2" s="21"/>
      <c r="KG2" s="21"/>
      <c r="KH2" s="21"/>
      <c r="KI2" s="21"/>
      <c r="KJ2" s="21"/>
      <c r="KK2" s="21"/>
      <c r="KL2" s="21"/>
      <c r="KM2" s="21"/>
      <c r="KN2" s="21"/>
      <c r="KO2" s="21"/>
      <c r="KP2" s="21"/>
      <c r="KQ2" s="21"/>
      <c r="KR2" s="21"/>
      <c r="KS2" s="21"/>
      <c r="KT2" s="21"/>
      <c r="KU2" s="21"/>
      <c r="KV2" s="21"/>
      <c r="KW2" s="21"/>
      <c r="KX2" s="21"/>
      <c r="KY2" s="21"/>
      <c r="KZ2" s="21"/>
      <c r="LA2" s="21"/>
      <c r="LB2" s="21"/>
      <c r="LC2" s="21"/>
      <c r="LD2" s="21"/>
      <c r="LE2" s="21"/>
      <c r="LF2" s="21"/>
      <c r="LG2" s="21"/>
      <c r="LH2" s="21"/>
      <c r="LI2" s="21"/>
      <c r="LJ2" s="21"/>
      <c r="LK2" s="21"/>
      <c r="LL2" s="21"/>
      <c r="LM2" s="21"/>
      <c r="LN2" s="21"/>
      <c r="LO2" s="21"/>
      <c r="LP2" s="21"/>
      <c r="LQ2" s="21"/>
      <c r="LR2" s="21"/>
      <c r="LS2" s="21"/>
      <c r="LT2" s="21"/>
      <c r="LU2" s="21"/>
      <c r="LV2" s="21"/>
      <c r="LW2" s="21"/>
      <c r="LX2" s="21"/>
      <c r="LY2" s="21"/>
      <c r="LZ2" s="21"/>
      <c r="MA2" s="21"/>
      <c r="MB2" s="21"/>
      <c r="MC2" s="21"/>
      <c r="MD2" s="21"/>
      <c r="ME2" s="21"/>
      <c r="MF2" s="21"/>
      <c r="MG2" s="21"/>
      <c r="MH2" s="21"/>
      <c r="MI2" s="21"/>
      <c r="MJ2" s="21"/>
      <c r="MK2" s="21"/>
      <c r="ML2" s="21"/>
      <c r="MM2" s="21"/>
      <c r="MN2" s="21"/>
      <c r="MO2" s="21"/>
      <c r="MP2" s="21"/>
      <c r="MQ2" s="21"/>
      <c r="MR2" s="21"/>
      <c r="MS2" s="21"/>
      <c r="MT2" s="21"/>
      <c r="MU2" s="21"/>
      <c r="MV2" s="21"/>
      <c r="MW2" s="21"/>
      <c r="MX2" s="21"/>
      <c r="MY2" s="21"/>
      <c r="MZ2" s="21"/>
      <c r="NA2" s="21"/>
      <c r="NB2" s="21"/>
      <c r="NC2" s="21"/>
      <c r="ND2" s="21"/>
      <c r="NE2" s="21"/>
      <c r="NF2" s="21"/>
      <c r="NG2" s="21"/>
      <c r="NH2" s="21"/>
      <c r="NI2" s="21"/>
      <c r="NJ2" s="21"/>
      <c r="NK2" s="21"/>
      <c r="NL2" s="21"/>
      <c r="NM2" s="21"/>
      <c r="NN2" s="21"/>
      <c r="NO2" s="21"/>
      <c r="NP2" s="21"/>
      <c r="NQ2" s="21"/>
      <c r="NR2" s="21"/>
      <c r="NS2" s="21"/>
      <c r="NT2" s="21"/>
      <c r="NU2" s="21"/>
      <c r="NV2" s="21"/>
      <c r="NW2" s="21"/>
      <c r="NX2" s="21"/>
      <c r="NY2" s="21"/>
      <c r="NZ2" s="21"/>
      <c r="OA2" s="21"/>
      <c r="OB2" s="21"/>
      <c r="OC2" s="21"/>
      <c r="OD2" s="21"/>
      <c r="OE2" s="21"/>
      <c r="OF2" s="21"/>
      <c r="OG2" s="21"/>
      <c r="OH2" s="21"/>
      <c r="OI2" s="21"/>
      <c r="OJ2" s="21"/>
      <c r="OK2" s="21"/>
      <c r="OL2" s="21"/>
      <c r="OM2" s="21"/>
      <c r="ON2" s="21"/>
      <c r="OO2" s="21"/>
      <c r="OP2" s="21"/>
      <c r="OQ2" s="21"/>
      <c r="OR2" s="21"/>
      <c r="OS2" s="21"/>
      <c r="OT2" s="21"/>
      <c r="OU2" s="21"/>
      <c r="OV2" s="21"/>
      <c r="OW2" s="21"/>
      <c r="OX2" s="21"/>
      <c r="OY2" s="21"/>
      <c r="OZ2" s="21"/>
      <c r="PA2" s="21"/>
      <c r="PB2" s="21"/>
      <c r="PC2" s="21"/>
      <c r="PD2" s="21"/>
      <c r="PE2" s="21"/>
      <c r="PF2" s="21"/>
      <c r="PG2" s="21"/>
      <c r="PH2" s="21"/>
      <c r="PI2" s="21"/>
      <c r="PJ2" s="21"/>
      <c r="PK2" s="21"/>
      <c r="PL2" s="21"/>
      <c r="PM2" s="21"/>
      <c r="PN2" s="21"/>
      <c r="PO2" s="21"/>
      <c r="PP2" s="21"/>
      <c r="PQ2" s="21"/>
      <c r="PR2" s="21"/>
      <c r="PS2" s="21"/>
      <c r="PT2" s="21"/>
      <c r="PU2" s="21"/>
      <c r="PV2" s="21"/>
      <c r="PW2" s="21"/>
      <c r="PX2" s="21"/>
      <c r="PY2" s="21"/>
      <c r="PZ2" s="21"/>
      <c r="QA2" s="21"/>
      <c r="QB2" s="21"/>
      <c r="QC2" s="21"/>
      <c r="QD2" s="21"/>
      <c r="QE2" s="21"/>
      <c r="QF2" s="21"/>
      <c r="QG2" s="21"/>
      <c r="QH2" s="21"/>
      <c r="QI2" s="21"/>
      <c r="QJ2" s="21"/>
      <c r="QK2" s="21"/>
      <c r="QL2" s="21"/>
      <c r="QM2" s="21"/>
      <c r="QN2" s="21"/>
      <c r="QO2" s="21"/>
      <c r="QP2" s="21"/>
      <c r="QQ2" s="21"/>
      <c r="QR2" s="21"/>
      <c r="QS2" s="21"/>
      <c r="QT2" s="21"/>
      <c r="QU2" s="21"/>
      <c r="QV2" s="21"/>
      <c r="QW2" s="21"/>
      <c r="QX2" s="21"/>
      <c r="QY2" s="21"/>
      <c r="QZ2" s="21"/>
      <c r="RA2" s="21"/>
      <c r="RB2" s="21"/>
      <c r="RC2" s="21"/>
      <c r="RD2" s="21"/>
      <c r="RE2" s="21"/>
      <c r="RF2" s="21"/>
      <c r="RG2" s="21"/>
      <c r="RH2" s="21"/>
      <c r="RI2" s="21"/>
      <c r="RJ2" s="21"/>
      <c r="RK2" s="21"/>
      <c r="RL2" s="21"/>
      <c r="RM2" s="21"/>
      <c r="RN2" s="21"/>
      <c r="RO2" s="21"/>
      <c r="RP2" s="21"/>
      <c r="RQ2" s="21"/>
      <c r="RR2" s="21"/>
      <c r="RS2" s="21"/>
      <c r="RT2" s="21"/>
      <c r="RU2" s="21"/>
      <c r="RV2" s="21"/>
      <c r="RW2" s="21"/>
      <c r="RX2" s="21"/>
      <c r="RY2" s="21"/>
      <c r="RZ2" s="21"/>
      <c r="SA2" s="21"/>
      <c r="SB2" s="21"/>
      <c r="SC2" s="21"/>
      <c r="SD2" s="21"/>
      <c r="SE2" s="21"/>
      <c r="SF2" s="21"/>
      <c r="SG2" s="21"/>
      <c r="SH2" s="21"/>
      <c r="SI2" s="21"/>
      <c r="SJ2" s="21"/>
      <c r="SK2" s="21"/>
      <c r="SL2" s="21"/>
      <c r="SM2" s="21"/>
      <c r="SN2" s="21"/>
      <c r="SO2" s="21"/>
      <c r="SP2" s="21"/>
      <c r="SQ2" s="21"/>
      <c r="SR2" s="21"/>
      <c r="SS2" s="21"/>
      <c r="ST2" s="21"/>
      <c r="SU2" s="21"/>
      <c r="SV2" s="21"/>
      <c r="SW2" s="21"/>
      <c r="SX2" s="21"/>
      <c r="SY2" s="21"/>
      <c r="SZ2" s="21"/>
      <c r="TA2" s="21"/>
      <c r="TB2" s="21"/>
      <c r="TC2" s="21"/>
      <c r="TD2" s="21"/>
      <c r="TE2" s="21"/>
      <c r="TF2" s="21"/>
      <c r="TG2" s="21"/>
      <c r="TH2" s="21"/>
      <c r="TI2" s="21"/>
      <c r="TJ2" s="21"/>
      <c r="TK2" s="21"/>
      <c r="TL2" s="21"/>
      <c r="TM2" s="21"/>
      <c r="TN2" s="21"/>
      <c r="TO2" s="21"/>
      <c r="TP2" s="21"/>
      <c r="TQ2" s="21"/>
      <c r="TR2" s="21"/>
      <c r="TS2" s="21"/>
      <c r="TT2" s="21"/>
      <c r="TU2" s="21"/>
      <c r="TV2" s="21"/>
      <c r="TW2" s="21"/>
      <c r="TX2" s="21"/>
      <c r="TY2" s="21"/>
      <c r="TZ2" s="21"/>
      <c r="UA2" s="21"/>
      <c r="UB2" s="21"/>
      <c r="UC2" s="21"/>
      <c r="UD2" s="21"/>
      <c r="UE2" s="21"/>
      <c r="UF2" s="21"/>
      <c r="UG2" s="21"/>
      <c r="UH2" s="21"/>
      <c r="UI2" s="21"/>
      <c r="UJ2" s="21"/>
      <c r="UK2" s="21"/>
      <c r="UL2" s="21"/>
      <c r="UM2" s="21"/>
      <c r="UN2" s="21"/>
      <c r="UO2" s="21"/>
      <c r="UP2" s="21"/>
      <c r="UQ2" s="21"/>
      <c r="UR2" s="21"/>
      <c r="US2" s="21"/>
      <c r="UT2" s="21"/>
      <c r="UU2" s="21"/>
      <c r="UV2" s="21"/>
      <c r="UW2" s="21"/>
      <c r="UX2" s="21"/>
      <c r="UY2" s="21"/>
      <c r="UZ2" s="21"/>
      <c r="VA2" s="21"/>
      <c r="VB2" s="21"/>
      <c r="VC2" s="21"/>
      <c r="VD2" s="21"/>
      <c r="VE2" s="21"/>
      <c r="VF2" s="21"/>
      <c r="VG2" s="21"/>
      <c r="VH2" s="21"/>
      <c r="VI2" s="21"/>
      <c r="VJ2" s="21"/>
      <c r="VK2" s="21"/>
      <c r="VL2" s="21"/>
      <c r="VM2" s="21"/>
      <c r="VN2" s="21"/>
      <c r="VO2" s="21"/>
      <c r="VP2" s="21"/>
      <c r="VQ2" s="21"/>
      <c r="VR2" s="21"/>
      <c r="VS2" s="21"/>
      <c r="VT2" s="21"/>
      <c r="VU2" s="21"/>
      <c r="VV2" s="21"/>
      <c r="VW2" s="21"/>
      <c r="VX2" s="21"/>
      <c r="VY2" s="21"/>
      <c r="VZ2" s="21"/>
      <c r="WA2" s="21"/>
      <c r="WB2" s="21"/>
      <c r="WC2" s="21"/>
      <c r="WD2" s="21"/>
      <c r="WE2" s="21"/>
      <c r="WF2" s="21"/>
      <c r="WG2" s="21"/>
      <c r="WH2" s="21"/>
      <c r="WI2" s="21"/>
      <c r="WJ2" s="21"/>
      <c r="WK2" s="21"/>
      <c r="WL2" s="21"/>
      <c r="WM2" s="21"/>
      <c r="WN2" s="21"/>
      <c r="WO2" s="21"/>
      <c r="WP2" s="21"/>
      <c r="WQ2" s="21"/>
      <c r="WR2" s="21"/>
      <c r="WS2" s="21"/>
      <c r="WT2" s="21"/>
      <c r="WU2" s="21"/>
      <c r="WV2" s="21"/>
      <c r="WW2" s="21"/>
      <c r="WX2" s="21"/>
      <c r="WY2" s="21"/>
      <c r="WZ2" s="21"/>
      <c r="XA2" s="21"/>
      <c r="XB2" s="21"/>
      <c r="XC2" s="21"/>
      <c r="XD2" s="21"/>
      <c r="XE2" s="21"/>
      <c r="XF2" s="21"/>
      <c r="XG2" s="21"/>
      <c r="XH2" s="21"/>
      <c r="XI2" s="21"/>
      <c r="XJ2" s="21"/>
      <c r="XK2" s="21"/>
      <c r="XL2" s="21"/>
      <c r="XM2" s="21"/>
      <c r="XN2" s="21"/>
      <c r="XO2" s="21"/>
      <c r="XP2" s="21"/>
      <c r="XQ2" s="21"/>
      <c r="XR2" s="21"/>
      <c r="XS2" s="21"/>
      <c r="XT2" s="21"/>
      <c r="XU2" s="21"/>
      <c r="XV2" s="21"/>
      <c r="XW2" s="21"/>
      <c r="XX2" s="21"/>
      <c r="XY2" s="21"/>
      <c r="XZ2" s="21"/>
      <c r="YA2" s="21"/>
      <c r="YB2" s="21"/>
      <c r="YC2" s="21"/>
      <c r="YD2" s="21"/>
      <c r="YE2" s="21"/>
      <c r="YF2" s="21"/>
      <c r="YG2" s="21"/>
      <c r="YH2" s="21"/>
      <c r="YI2" s="21"/>
      <c r="YJ2" s="21"/>
      <c r="YK2" s="21"/>
      <c r="YL2" s="21"/>
      <c r="YM2" s="21"/>
      <c r="YN2" s="21"/>
      <c r="YO2" s="21"/>
      <c r="YP2" s="21"/>
      <c r="YQ2" s="21"/>
      <c r="YR2" s="21"/>
      <c r="YS2" s="21"/>
      <c r="YT2" s="21"/>
      <c r="YU2" s="21"/>
      <c r="YV2" s="21"/>
      <c r="YW2" s="21"/>
      <c r="YX2" s="21"/>
      <c r="YY2" s="21"/>
      <c r="YZ2" s="21"/>
      <c r="ZA2" s="21"/>
      <c r="ZB2" s="21"/>
      <c r="ZC2" s="21"/>
      <c r="ZD2" s="21"/>
      <c r="ZE2" s="21"/>
      <c r="ZF2" s="21"/>
      <c r="ZG2" s="21"/>
      <c r="ZH2" s="21"/>
      <c r="ZI2" s="21"/>
      <c r="ZJ2" s="21"/>
      <c r="ZK2" s="21"/>
      <c r="ZL2" s="21"/>
      <c r="ZM2" s="21"/>
      <c r="ZN2" s="21"/>
      <c r="ZO2" s="21"/>
      <c r="ZP2" s="21"/>
      <c r="ZQ2" s="21"/>
      <c r="ZR2" s="21"/>
      <c r="ZS2" s="21"/>
      <c r="ZT2" s="21"/>
      <c r="ZU2" s="21"/>
      <c r="ZV2" s="21"/>
      <c r="ZW2" s="21"/>
      <c r="ZX2" s="21"/>
      <c r="ZY2" s="21"/>
      <c r="ZZ2" s="21"/>
      <c r="AAA2" s="21"/>
      <c r="AAB2" s="21"/>
      <c r="AAC2" s="21"/>
      <c r="AAD2" s="21"/>
      <c r="AAE2" s="21"/>
      <c r="AAF2" s="21"/>
      <c r="AAG2" s="21"/>
      <c r="AAH2" s="21"/>
      <c r="AAI2" s="21"/>
      <c r="AAJ2" s="21"/>
      <c r="AAK2" s="21"/>
      <c r="AAL2" s="21"/>
      <c r="AAM2" s="21"/>
      <c r="AAN2" s="21"/>
      <c r="AAO2" s="21"/>
      <c r="AAP2" s="21"/>
      <c r="AAQ2" s="21"/>
      <c r="AAR2" s="21"/>
      <c r="AAS2" s="21"/>
      <c r="AAT2" s="21"/>
      <c r="AAU2" s="21"/>
      <c r="AAV2" s="21"/>
      <c r="AAW2" s="21"/>
      <c r="AAX2" s="21"/>
      <c r="AAY2" s="21"/>
      <c r="AAZ2" s="21"/>
      <c r="ABA2" s="21"/>
      <c r="ABB2" s="21"/>
      <c r="ABC2" s="21"/>
      <c r="ABD2" s="21"/>
      <c r="ABE2" s="21"/>
      <c r="ABF2" s="21"/>
      <c r="ABG2" s="21"/>
      <c r="ABH2" s="21"/>
      <c r="ABI2" s="21"/>
      <c r="ABJ2" s="21"/>
      <c r="ABK2" s="21"/>
      <c r="ABL2" s="21"/>
      <c r="ABM2" s="21"/>
      <c r="ABN2" s="21"/>
      <c r="ABO2" s="21"/>
      <c r="ABP2" s="21"/>
      <c r="ABQ2" s="21"/>
      <c r="ABR2" s="21"/>
      <c r="ABS2" s="21"/>
      <c r="ABT2" s="21"/>
      <c r="ABU2" s="21"/>
      <c r="ABV2" s="21"/>
      <c r="ABW2" s="21"/>
      <c r="ABX2" s="21"/>
      <c r="ABY2" s="21"/>
      <c r="ABZ2" s="21"/>
      <c r="ACA2" s="21"/>
      <c r="ACB2" s="21"/>
      <c r="ACC2" s="21"/>
      <c r="ACD2" s="21"/>
      <c r="ACE2" s="21"/>
      <c r="ACF2" s="21"/>
      <c r="ACG2" s="21"/>
      <c r="ACH2" s="21"/>
      <c r="ACI2" s="21"/>
      <c r="ACJ2" s="21"/>
      <c r="ACK2" s="21"/>
      <c r="ACL2" s="21"/>
      <c r="ACM2" s="21"/>
      <c r="ACN2" s="21"/>
      <c r="ACO2" s="21"/>
      <c r="ACP2" s="21"/>
      <c r="ACQ2" s="21"/>
      <c r="ACR2" s="21"/>
      <c r="ACS2" s="21"/>
      <c r="ACT2" s="21"/>
      <c r="ACU2" s="21"/>
      <c r="ACV2" s="21"/>
      <c r="ACW2" s="21"/>
      <c r="ACX2" s="21"/>
      <c r="ACY2" s="21"/>
      <c r="ACZ2" s="21"/>
      <c r="ADA2" s="21"/>
      <c r="ADB2" s="21"/>
      <c r="ADC2" s="21"/>
      <c r="ADD2" s="21"/>
      <c r="ADE2" s="21"/>
      <c r="ADF2" s="21"/>
      <c r="ADG2" s="21"/>
      <c r="ADH2" s="21"/>
      <c r="ADI2" s="21"/>
      <c r="ADJ2" s="21"/>
      <c r="ADK2" s="21"/>
      <c r="ADL2" s="21"/>
      <c r="ADM2" s="21"/>
      <c r="ADN2" s="21"/>
      <c r="ADO2" s="21"/>
      <c r="ADP2" s="21"/>
      <c r="ADQ2" s="21"/>
      <c r="ADR2" s="21"/>
      <c r="ADS2" s="21"/>
      <c r="ADT2" s="21"/>
      <c r="ADU2" s="21"/>
      <c r="ADV2" s="21"/>
      <c r="ADW2" s="21"/>
      <c r="ADX2" s="21"/>
      <c r="ADY2" s="21"/>
      <c r="ADZ2" s="21"/>
      <c r="AEA2" s="21"/>
      <c r="AEB2" s="21"/>
      <c r="AEC2" s="21"/>
      <c r="AED2" s="21"/>
      <c r="AEE2" s="21"/>
      <c r="AEF2" s="21"/>
      <c r="AEG2" s="21"/>
      <c r="AEH2" s="21"/>
      <c r="AEI2" s="21"/>
      <c r="AEJ2" s="21"/>
      <c r="AEK2" s="21"/>
      <c r="AEL2" s="21"/>
      <c r="AEM2" s="21"/>
      <c r="AEN2" s="21"/>
      <c r="AEO2" s="21"/>
      <c r="AEP2" s="21"/>
      <c r="AEQ2" s="21"/>
      <c r="AER2" s="21"/>
      <c r="AES2" s="21"/>
      <c r="AET2" s="21"/>
      <c r="AEU2" s="21"/>
      <c r="AEV2" s="21"/>
      <c r="AEW2" s="21"/>
      <c r="AEX2" s="21"/>
      <c r="AEY2" s="21"/>
      <c r="AEZ2" s="21"/>
      <c r="AFA2" s="21"/>
      <c r="AFB2" s="21"/>
      <c r="AFC2" s="21"/>
      <c r="AFD2" s="21"/>
      <c r="AFE2" s="21"/>
      <c r="AFF2" s="21"/>
      <c r="AFG2" s="21"/>
      <c r="AFH2" s="21"/>
      <c r="AFI2" s="21"/>
      <c r="AFJ2" s="21"/>
      <c r="AFK2" s="21"/>
      <c r="AFL2" s="21"/>
      <c r="AFM2" s="21"/>
      <c r="AFN2" s="21"/>
      <c r="AFO2" s="21"/>
      <c r="AFP2" s="21"/>
      <c r="AFQ2" s="21"/>
      <c r="AFR2" s="21"/>
      <c r="AFS2" s="21"/>
      <c r="AFT2" s="21"/>
      <c r="AFU2" s="21"/>
      <c r="AFV2" s="21"/>
      <c r="AFW2" s="21"/>
      <c r="AFX2" s="21"/>
      <c r="AFY2" s="21"/>
      <c r="AFZ2" s="21"/>
      <c r="AGA2" s="21"/>
      <c r="AGB2" s="21"/>
      <c r="AGC2" s="21"/>
      <c r="AGD2" s="21"/>
      <c r="AGE2" s="21"/>
      <c r="AGF2" s="21"/>
      <c r="AGG2" s="21"/>
      <c r="AGH2" s="21"/>
      <c r="AGI2" s="21"/>
      <c r="AGJ2" s="21"/>
      <c r="AGK2" s="21"/>
      <c r="AGL2" s="21"/>
      <c r="AGM2" s="21"/>
      <c r="AGN2" s="21"/>
      <c r="AGO2" s="21"/>
      <c r="AGP2" s="21"/>
      <c r="AGQ2" s="21"/>
      <c r="AGR2" s="21"/>
      <c r="AGS2" s="21"/>
    </row>
    <row r="3" spans="1:877" ht="13">
      <c r="A3" s="12"/>
      <c r="B3" s="17" t="s">
        <v>14</v>
      </c>
      <c r="C3" s="12"/>
      <c r="D3" s="12"/>
      <c r="E3" s="12"/>
      <c r="F3" s="18"/>
      <c r="G3" s="18">
        <v>1</v>
      </c>
      <c r="H3" s="18">
        <v>2</v>
      </c>
      <c r="I3" s="18">
        <v>3</v>
      </c>
      <c r="J3" s="18">
        <v>4</v>
      </c>
      <c r="K3" s="18">
        <v>5</v>
      </c>
      <c r="L3" s="18">
        <v>6</v>
      </c>
      <c r="M3" s="18">
        <v>7</v>
      </c>
      <c r="N3" s="18">
        <v>8</v>
      </c>
      <c r="O3" s="18">
        <v>9</v>
      </c>
      <c r="P3" s="18">
        <v>10</v>
      </c>
      <c r="Q3" s="18">
        <v>11</v>
      </c>
      <c r="R3" s="18">
        <v>12</v>
      </c>
      <c r="S3" s="18">
        <v>13</v>
      </c>
      <c r="T3" s="18">
        <v>14</v>
      </c>
      <c r="U3" s="18">
        <v>15</v>
      </c>
      <c r="V3" s="18">
        <v>16</v>
      </c>
      <c r="W3" s="18">
        <v>17</v>
      </c>
      <c r="X3" s="18">
        <v>18</v>
      </c>
      <c r="Y3" s="18">
        <v>19</v>
      </c>
      <c r="Z3" s="18">
        <v>20</v>
      </c>
      <c r="AA3" s="18">
        <v>21</v>
      </c>
      <c r="AB3" s="18">
        <v>22</v>
      </c>
      <c r="AC3" s="18">
        <v>23</v>
      </c>
      <c r="AD3" s="18">
        <v>24</v>
      </c>
      <c r="AE3" s="18">
        <v>25</v>
      </c>
      <c r="AF3" s="18">
        <v>26</v>
      </c>
      <c r="AG3" s="18">
        <v>27</v>
      </c>
      <c r="AH3" s="18">
        <v>28</v>
      </c>
      <c r="AI3" s="18">
        <v>29</v>
      </c>
      <c r="AJ3" s="18">
        <v>30</v>
      </c>
      <c r="AK3" s="18">
        <v>31</v>
      </c>
      <c r="AL3" s="18">
        <v>32</v>
      </c>
      <c r="AM3" s="18">
        <v>33</v>
      </c>
      <c r="AN3" s="18">
        <v>34</v>
      </c>
      <c r="AO3" s="18">
        <v>35</v>
      </c>
      <c r="AP3" s="18">
        <v>36</v>
      </c>
      <c r="AQ3" s="18">
        <v>37</v>
      </c>
      <c r="AR3" s="18">
        <v>38</v>
      </c>
      <c r="AS3" s="18">
        <v>39</v>
      </c>
      <c r="AT3" s="18">
        <v>40</v>
      </c>
      <c r="AU3" s="18">
        <v>41</v>
      </c>
      <c r="AV3" s="18">
        <v>42</v>
      </c>
      <c r="AW3" s="18">
        <v>43</v>
      </c>
      <c r="AX3" s="18">
        <v>44</v>
      </c>
      <c r="AY3" s="18">
        <v>45</v>
      </c>
      <c r="AZ3" s="18">
        <v>46</v>
      </c>
      <c r="BA3" s="18">
        <v>47</v>
      </c>
      <c r="BB3" s="18">
        <v>48</v>
      </c>
      <c r="BC3" s="18">
        <v>49</v>
      </c>
      <c r="BD3" s="18">
        <v>50</v>
      </c>
      <c r="BE3" s="18">
        <v>51</v>
      </c>
      <c r="BF3" s="18">
        <v>52</v>
      </c>
      <c r="BG3" s="18">
        <v>53</v>
      </c>
      <c r="BH3" s="18">
        <v>54</v>
      </c>
      <c r="BI3" s="18">
        <v>55</v>
      </c>
      <c r="BJ3" s="19">
        <v>56</v>
      </c>
      <c r="BK3" s="19">
        <v>57</v>
      </c>
      <c r="BL3" s="19">
        <v>58</v>
      </c>
      <c r="BM3" s="19">
        <v>59</v>
      </c>
      <c r="BN3" s="19">
        <v>60</v>
      </c>
      <c r="BO3" s="19">
        <v>61</v>
      </c>
      <c r="BP3" s="19">
        <v>62</v>
      </c>
      <c r="BQ3" s="19">
        <v>63</v>
      </c>
      <c r="BR3" s="19">
        <v>64</v>
      </c>
      <c r="BS3" s="19">
        <v>65</v>
      </c>
      <c r="BT3" s="19">
        <v>66</v>
      </c>
      <c r="BU3" s="19">
        <v>67</v>
      </c>
      <c r="BV3" s="19">
        <v>68</v>
      </c>
      <c r="BW3" s="19">
        <v>69</v>
      </c>
      <c r="BX3" s="19">
        <v>70</v>
      </c>
      <c r="BY3" s="19">
        <v>71</v>
      </c>
      <c r="BZ3" s="19">
        <v>72</v>
      </c>
      <c r="CA3" s="20">
        <v>73</v>
      </c>
      <c r="CB3" s="20">
        <v>74</v>
      </c>
      <c r="CC3" s="20">
        <v>75</v>
      </c>
      <c r="CD3" s="20">
        <v>76</v>
      </c>
      <c r="CE3" s="20">
        <v>77</v>
      </c>
      <c r="CF3" s="20">
        <v>78</v>
      </c>
      <c r="CG3" s="20">
        <v>79</v>
      </c>
      <c r="CH3" s="20">
        <v>80</v>
      </c>
      <c r="CI3" s="20">
        <v>81</v>
      </c>
      <c r="CJ3" s="20">
        <v>82</v>
      </c>
      <c r="CK3" s="20">
        <v>83</v>
      </c>
      <c r="CL3" s="20">
        <v>84</v>
      </c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1"/>
      <c r="JV3" s="21"/>
      <c r="JW3" s="21"/>
      <c r="JX3" s="21"/>
      <c r="JY3" s="21"/>
      <c r="JZ3" s="21"/>
      <c r="KA3" s="21"/>
      <c r="KB3" s="21"/>
      <c r="KC3" s="21"/>
      <c r="KD3" s="21"/>
      <c r="KE3" s="21"/>
      <c r="KF3" s="21"/>
      <c r="KG3" s="21"/>
      <c r="KH3" s="21"/>
      <c r="KI3" s="21"/>
      <c r="KJ3" s="21"/>
      <c r="KK3" s="21"/>
      <c r="KL3" s="21"/>
      <c r="KM3" s="21"/>
      <c r="KN3" s="21"/>
      <c r="KO3" s="21"/>
      <c r="KP3" s="21"/>
      <c r="KQ3" s="21"/>
      <c r="KR3" s="21"/>
      <c r="KS3" s="21"/>
      <c r="KT3" s="21"/>
      <c r="KU3" s="21"/>
      <c r="KV3" s="21"/>
      <c r="KW3" s="21"/>
      <c r="KX3" s="21"/>
      <c r="KY3" s="21"/>
      <c r="KZ3" s="21"/>
      <c r="LA3" s="21"/>
      <c r="LB3" s="21"/>
      <c r="LC3" s="21"/>
      <c r="LD3" s="21"/>
      <c r="LE3" s="21"/>
      <c r="LF3" s="21"/>
      <c r="LG3" s="21"/>
      <c r="LH3" s="21"/>
      <c r="LI3" s="21"/>
      <c r="LJ3" s="21"/>
      <c r="LK3" s="21"/>
      <c r="LL3" s="21"/>
      <c r="LM3" s="21"/>
      <c r="LN3" s="21"/>
      <c r="LO3" s="21"/>
      <c r="LP3" s="21"/>
      <c r="LQ3" s="21"/>
      <c r="LR3" s="21"/>
      <c r="LS3" s="21"/>
      <c r="LT3" s="21"/>
      <c r="LU3" s="21"/>
      <c r="LV3" s="21"/>
      <c r="LW3" s="21"/>
      <c r="LX3" s="21"/>
      <c r="LY3" s="21"/>
      <c r="LZ3" s="21"/>
      <c r="MA3" s="21"/>
      <c r="MB3" s="21"/>
      <c r="MC3" s="21"/>
      <c r="MD3" s="21"/>
      <c r="ME3" s="21"/>
      <c r="MF3" s="21"/>
      <c r="MG3" s="21"/>
      <c r="MH3" s="21"/>
      <c r="MI3" s="21"/>
      <c r="MJ3" s="21"/>
      <c r="MK3" s="21"/>
      <c r="ML3" s="21"/>
      <c r="MM3" s="21"/>
      <c r="MN3" s="21"/>
      <c r="MO3" s="21"/>
      <c r="MP3" s="21"/>
      <c r="MQ3" s="21"/>
      <c r="MR3" s="21"/>
      <c r="MS3" s="21"/>
      <c r="MT3" s="21"/>
      <c r="MU3" s="21"/>
      <c r="MV3" s="21"/>
      <c r="MW3" s="21"/>
      <c r="MX3" s="21"/>
      <c r="MY3" s="21"/>
      <c r="MZ3" s="21"/>
      <c r="NA3" s="21"/>
      <c r="NB3" s="21"/>
      <c r="NC3" s="21"/>
      <c r="ND3" s="21"/>
      <c r="NE3" s="21"/>
      <c r="NF3" s="21"/>
      <c r="NG3" s="21"/>
      <c r="NH3" s="21"/>
      <c r="NI3" s="21"/>
      <c r="NJ3" s="21"/>
      <c r="NK3" s="21"/>
      <c r="NL3" s="21"/>
      <c r="NM3" s="21"/>
      <c r="NN3" s="21"/>
      <c r="NO3" s="21"/>
      <c r="NP3" s="21"/>
      <c r="NQ3" s="21"/>
      <c r="NR3" s="21"/>
      <c r="NS3" s="21"/>
      <c r="NT3" s="21"/>
      <c r="NU3" s="21"/>
      <c r="NV3" s="21"/>
      <c r="NW3" s="21"/>
      <c r="NX3" s="21"/>
      <c r="NY3" s="21"/>
      <c r="NZ3" s="21"/>
      <c r="OA3" s="21"/>
      <c r="OB3" s="21"/>
      <c r="OC3" s="21"/>
      <c r="OD3" s="21"/>
      <c r="OE3" s="21"/>
      <c r="OF3" s="21"/>
      <c r="OG3" s="21"/>
      <c r="OH3" s="21"/>
      <c r="OI3" s="21"/>
      <c r="OJ3" s="21"/>
      <c r="OK3" s="21"/>
      <c r="OL3" s="21"/>
      <c r="OM3" s="21"/>
      <c r="ON3" s="21"/>
      <c r="OO3" s="21"/>
      <c r="OP3" s="21"/>
      <c r="OQ3" s="21"/>
      <c r="OR3" s="21"/>
      <c r="OS3" s="21"/>
      <c r="OT3" s="21"/>
      <c r="OU3" s="21"/>
      <c r="OV3" s="21"/>
      <c r="OW3" s="21"/>
      <c r="OX3" s="21"/>
      <c r="OY3" s="21"/>
      <c r="OZ3" s="21"/>
      <c r="PA3" s="21"/>
      <c r="PB3" s="21"/>
      <c r="PC3" s="21"/>
      <c r="PD3" s="21"/>
      <c r="PE3" s="21"/>
      <c r="PF3" s="21"/>
      <c r="PG3" s="21"/>
      <c r="PH3" s="21"/>
      <c r="PI3" s="21"/>
      <c r="PJ3" s="21"/>
      <c r="PK3" s="21"/>
      <c r="PL3" s="21"/>
      <c r="PM3" s="21"/>
      <c r="PN3" s="21"/>
      <c r="PO3" s="21"/>
      <c r="PP3" s="21"/>
      <c r="PQ3" s="21"/>
      <c r="PR3" s="21"/>
      <c r="PS3" s="21"/>
      <c r="PT3" s="21"/>
      <c r="PU3" s="21"/>
      <c r="PV3" s="21"/>
      <c r="PW3" s="21"/>
      <c r="PX3" s="21"/>
      <c r="PY3" s="21"/>
      <c r="PZ3" s="21"/>
      <c r="QA3" s="21"/>
      <c r="QB3" s="21"/>
      <c r="QC3" s="21"/>
      <c r="QD3" s="21"/>
      <c r="QE3" s="21"/>
      <c r="QF3" s="21"/>
      <c r="QG3" s="21"/>
      <c r="QH3" s="21"/>
      <c r="QI3" s="21"/>
      <c r="QJ3" s="21"/>
      <c r="QK3" s="21"/>
      <c r="QL3" s="21"/>
      <c r="QM3" s="21"/>
      <c r="QN3" s="21"/>
      <c r="QO3" s="21"/>
      <c r="QP3" s="21"/>
      <c r="QQ3" s="21"/>
      <c r="QR3" s="21"/>
      <c r="QS3" s="21"/>
      <c r="QT3" s="21"/>
      <c r="QU3" s="21"/>
      <c r="QV3" s="21"/>
      <c r="QW3" s="21"/>
      <c r="QX3" s="21"/>
      <c r="QY3" s="21"/>
      <c r="QZ3" s="21"/>
      <c r="RA3" s="21"/>
      <c r="RB3" s="21"/>
      <c r="RC3" s="21"/>
      <c r="RD3" s="21"/>
      <c r="RE3" s="21"/>
      <c r="RF3" s="21"/>
      <c r="RG3" s="21"/>
      <c r="RH3" s="21"/>
      <c r="RI3" s="21"/>
      <c r="RJ3" s="21"/>
      <c r="RK3" s="21"/>
      <c r="RL3" s="21"/>
      <c r="RM3" s="21"/>
      <c r="RN3" s="21"/>
      <c r="RO3" s="21"/>
      <c r="RP3" s="21"/>
      <c r="RQ3" s="21"/>
      <c r="RR3" s="21"/>
      <c r="RS3" s="21"/>
      <c r="RT3" s="21"/>
      <c r="RU3" s="21"/>
      <c r="RV3" s="21"/>
      <c r="RW3" s="21"/>
      <c r="RX3" s="21"/>
      <c r="RY3" s="21"/>
      <c r="RZ3" s="21"/>
      <c r="SA3" s="21"/>
      <c r="SB3" s="21"/>
      <c r="SC3" s="21"/>
      <c r="SD3" s="21"/>
      <c r="SE3" s="21"/>
      <c r="SF3" s="21"/>
      <c r="SG3" s="21"/>
      <c r="SH3" s="21"/>
      <c r="SI3" s="21"/>
      <c r="SJ3" s="21"/>
      <c r="SK3" s="21"/>
      <c r="SL3" s="21"/>
      <c r="SM3" s="21"/>
      <c r="SN3" s="21"/>
      <c r="SO3" s="21"/>
      <c r="SP3" s="21"/>
      <c r="SQ3" s="21"/>
      <c r="SR3" s="21"/>
      <c r="SS3" s="21"/>
      <c r="ST3" s="21"/>
      <c r="SU3" s="21"/>
      <c r="SV3" s="21"/>
      <c r="SW3" s="21"/>
      <c r="SX3" s="21"/>
      <c r="SY3" s="21"/>
      <c r="SZ3" s="21"/>
      <c r="TA3" s="21"/>
      <c r="TB3" s="21"/>
      <c r="TC3" s="21"/>
      <c r="TD3" s="21"/>
      <c r="TE3" s="21"/>
      <c r="TF3" s="21"/>
      <c r="TG3" s="21"/>
      <c r="TH3" s="21"/>
      <c r="TI3" s="21"/>
      <c r="TJ3" s="21"/>
      <c r="TK3" s="21"/>
      <c r="TL3" s="21"/>
      <c r="TM3" s="21"/>
      <c r="TN3" s="21"/>
      <c r="TO3" s="21"/>
      <c r="TP3" s="21"/>
      <c r="TQ3" s="21"/>
      <c r="TR3" s="21"/>
      <c r="TS3" s="21"/>
      <c r="TT3" s="21"/>
      <c r="TU3" s="21"/>
      <c r="TV3" s="21"/>
      <c r="TW3" s="21"/>
      <c r="TX3" s="21"/>
      <c r="TY3" s="21"/>
      <c r="TZ3" s="21"/>
      <c r="UA3" s="21"/>
      <c r="UB3" s="21"/>
      <c r="UC3" s="21"/>
      <c r="UD3" s="21"/>
      <c r="UE3" s="21"/>
      <c r="UF3" s="21"/>
      <c r="UG3" s="21"/>
      <c r="UH3" s="21"/>
      <c r="UI3" s="21"/>
      <c r="UJ3" s="21"/>
      <c r="UK3" s="21"/>
      <c r="UL3" s="21"/>
      <c r="UM3" s="21"/>
      <c r="UN3" s="21"/>
      <c r="UO3" s="21"/>
      <c r="UP3" s="21"/>
      <c r="UQ3" s="21"/>
      <c r="UR3" s="21"/>
      <c r="US3" s="21"/>
      <c r="UT3" s="21"/>
      <c r="UU3" s="21"/>
      <c r="UV3" s="21"/>
      <c r="UW3" s="21"/>
      <c r="UX3" s="21"/>
      <c r="UY3" s="21"/>
      <c r="UZ3" s="21"/>
      <c r="VA3" s="21"/>
      <c r="VB3" s="21"/>
      <c r="VC3" s="21"/>
      <c r="VD3" s="21"/>
      <c r="VE3" s="21"/>
      <c r="VF3" s="21"/>
      <c r="VG3" s="21"/>
      <c r="VH3" s="21"/>
      <c r="VI3" s="21"/>
      <c r="VJ3" s="21"/>
      <c r="VK3" s="21"/>
      <c r="VL3" s="21"/>
      <c r="VM3" s="21"/>
      <c r="VN3" s="21"/>
      <c r="VO3" s="21"/>
      <c r="VP3" s="21"/>
      <c r="VQ3" s="21"/>
      <c r="VR3" s="21"/>
      <c r="VS3" s="21"/>
      <c r="VT3" s="21"/>
      <c r="VU3" s="21"/>
      <c r="VV3" s="21"/>
      <c r="VW3" s="21"/>
      <c r="VX3" s="21"/>
      <c r="VY3" s="21"/>
      <c r="VZ3" s="21"/>
      <c r="WA3" s="21"/>
      <c r="WB3" s="21"/>
      <c r="WC3" s="21"/>
      <c r="WD3" s="21"/>
      <c r="WE3" s="21"/>
      <c r="WF3" s="21"/>
      <c r="WG3" s="21"/>
      <c r="WH3" s="21"/>
      <c r="WI3" s="21"/>
      <c r="WJ3" s="21"/>
      <c r="WK3" s="21"/>
      <c r="WL3" s="21"/>
      <c r="WM3" s="21"/>
      <c r="WN3" s="21"/>
      <c r="WO3" s="21"/>
      <c r="WP3" s="21"/>
      <c r="WQ3" s="21"/>
      <c r="WR3" s="21"/>
      <c r="WS3" s="21"/>
      <c r="WT3" s="21"/>
      <c r="WU3" s="21"/>
      <c r="WV3" s="21"/>
      <c r="WW3" s="21"/>
      <c r="WX3" s="21"/>
      <c r="WY3" s="21"/>
      <c r="WZ3" s="21"/>
      <c r="XA3" s="21"/>
      <c r="XB3" s="21"/>
      <c r="XC3" s="21"/>
      <c r="XD3" s="21"/>
      <c r="XE3" s="21"/>
      <c r="XF3" s="21"/>
      <c r="XG3" s="21"/>
      <c r="XH3" s="21"/>
      <c r="XI3" s="21"/>
      <c r="XJ3" s="21"/>
      <c r="XK3" s="21"/>
      <c r="XL3" s="21"/>
      <c r="XM3" s="21"/>
      <c r="XN3" s="21"/>
      <c r="XO3" s="21"/>
      <c r="XP3" s="21"/>
      <c r="XQ3" s="21"/>
      <c r="XR3" s="21"/>
      <c r="XS3" s="21"/>
      <c r="XT3" s="21"/>
      <c r="XU3" s="21"/>
      <c r="XV3" s="21"/>
      <c r="XW3" s="21"/>
      <c r="XX3" s="21"/>
      <c r="XY3" s="21"/>
      <c r="XZ3" s="21"/>
      <c r="YA3" s="21"/>
      <c r="YB3" s="21"/>
      <c r="YC3" s="21"/>
      <c r="YD3" s="21"/>
      <c r="YE3" s="21"/>
      <c r="YF3" s="21"/>
      <c r="YG3" s="21"/>
      <c r="YH3" s="21"/>
      <c r="YI3" s="21"/>
      <c r="YJ3" s="21"/>
      <c r="YK3" s="21"/>
      <c r="YL3" s="21"/>
      <c r="YM3" s="21"/>
      <c r="YN3" s="21"/>
      <c r="YO3" s="21"/>
      <c r="YP3" s="21"/>
      <c r="YQ3" s="21"/>
      <c r="YR3" s="21"/>
      <c r="YS3" s="21"/>
      <c r="YT3" s="21"/>
      <c r="YU3" s="21"/>
      <c r="YV3" s="21"/>
      <c r="YW3" s="21"/>
      <c r="YX3" s="21"/>
      <c r="YY3" s="21"/>
      <c r="YZ3" s="21"/>
      <c r="ZA3" s="21"/>
      <c r="ZB3" s="21"/>
      <c r="ZC3" s="21"/>
      <c r="ZD3" s="21"/>
      <c r="ZE3" s="21"/>
      <c r="ZF3" s="21"/>
      <c r="ZG3" s="21"/>
      <c r="ZH3" s="21"/>
      <c r="ZI3" s="21"/>
      <c r="ZJ3" s="21"/>
      <c r="ZK3" s="21"/>
      <c r="ZL3" s="21"/>
      <c r="ZM3" s="21"/>
      <c r="ZN3" s="21"/>
      <c r="ZO3" s="21"/>
      <c r="ZP3" s="21"/>
      <c r="ZQ3" s="21"/>
      <c r="ZR3" s="21"/>
      <c r="ZS3" s="21"/>
      <c r="ZT3" s="21"/>
      <c r="ZU3" s="21"/>
      <c r="ZV3" s="21"/>
      <c r="ZW3" s="21"/>
      <c r="ZX3" s="21"/>
      <c r="ZY3" s="21"/>
      <c r="ZZ3" s="21"/>
      <c r="AAA3" s="21"/>
      <c r="AAB3" s="21"/>
      <c r="AAC3" s="21"/>
      <c r="AAD3" s="21"/>
      <c r="AAE3" s="21"/>
      <c r="AAF3" s="21"/>
      <c r="AAG3" s="21"/>
      <c r="AAH3" s="21"/>
      <c r="AAI3" s="21"/>
      <c r="AAJ3" s="21"/>
      <c r="AAK3" s="21"/>
      <c r="AAL3" s="21"/>
      <c r="AAM3" s="21"/>
      <c r="AAN3" s="21"/>
      <c r="AAO3" s="21"/>
      <c r="AAP3" s="21"/>
      <c r="AAQ3" s="21"/>
      <c r="AAR3" s="21"/>
      <c r="AAS3" s="21"/>
      <c r="AAT3" s="21"/>
      <c r="AAU3" s="21"/>
      <c r="AAV3" s="21"/>
      <c r="AAW3" s="21"/>
      <c r="AAX3" s="21"/>
      <c r="AAY3" s="21"/>
      <c r="AAZ3" s="21"/>
      <c r="ABA3" s="21"/>
      <c r="ABB3" s="21"/>
      <c r="ABC3" s="21"/>
      <c r="ABD3" s="21"/>
      <c r="ABE3" s="21"/>
      <c r="ABF3" s="21"/>
      <c r="ABG3" s="21"/>
      <c r="ABH3" s="21"/>
      <c r="ABI3" s="21"/>
      <c r="ABJ3" s="21"/>
      <c r="ABK3" s="21"/>
      <c r="ABL3" s="21"/>
      <c r="ABM3" s="21"/>
      <c r="ABN3" s="21"/>
      <c r="ABO3" s="21"/>
      <c r="ABP3" s="21"/>
      <c r="ABQ3" s="21"/>
      <c r="ABR3" s="21"/>
      <c r="ABS3" s="21"/>
      <c r="ABT3" s="21"/>
      <c r="ABU3" s="21"/>
      <c r="ABV3" s="21"/>
      <c r="ABW3" s="21"/>
      <c r="ABX3" s="21"/>
      <c r="ABY3" s="21"/>
      <c r="ABZ3" s="21"/>
      <c r="ACA3" s="21"/>
      <c r="ACB3" s="21"/>
      <c r="ACC3" s="21"/>
      <c r="ACD3" s="21"/>
      <c r="ACE3" s="21"/>
      <c r="ACF3" s="21"/>
      <c r="ACG3" s="21"/>
      <c r="ACH3" s="21"/>
      <c r="ACI3" s="21"/>
      <c r="ACJ3" s="21"/>
      <c r="ACK3" s="21"/>
      <c r="ACL3" s="21"/>
      <c r="ACM3" s="21"/>
      <c r="ACN3" s="21"/>
      <c r="ACO3" s="21"/>
      <c r="ACP3" s="21"/>
      <c r="ACQ3" s="21"/>
      <c r="ACR3" s="21"/>
      <c r="ACS3" s="21"/>
      <c r="ACT3" s="21"/>
      <c r="ACU3" s="21"/>
      <c r="ACV3" s="21"/>
      <c r="ACW3" s="21"/>
      <c r="ACX3" s="21"/>
      <c r="ACY3" s="21"/>
      <c r="ACZ3" s="21"/>
      <c r="ADA3" s="21"/>
      <c r="ADB3" s="21"/>
      <c r="ADC3" s="21"/>
      <c r="ADD3" s="21"/>
      <c r="ADE3" s="21"/>
      <c r="ADF3" s="21"/>
      <c r="ADG3" s="21"/>
      <c r="ADH3" s="21"/>
      <c r="ADI3" s="21"/>
      <c r="ADJ3" s="21"/>
      <c r="ADK3" s="21"/>
      <c r="ADL3" s="21"/>
      <c r="ADM3" s="21"/>
      <c r="ADN3" s="21"/>
      <c r="ADO3" s="21"/>
      <c r="ADP3" s="21"/>
      <c r="ADQ3" s="21"/>
      <c r="ADR3" s="21"/>
      <c r="ADS3" s="21"/>
      <c r="ADT3" s="21"/>
      <c r="ADU3" s="21"/>
      <c r="ADV3" s="21"/>
      <c r="ADW3" s="21"/>
      <c r="ADX3" s="21"/>
      <c r="ADY3" s="21"/>
      <c r="ADZ3" s="21"/>
      <c r="AEA3" s="21"/>
      <c r="AEB3" s="21"/>
      <c r="AEC3" s="21"/>
      <c r="AED3" s="21"/>
      <c r="AEE3" s="21"/>
      <c r="AEF3" s="21"/>
      <c r="AEG3" s="21"/>
      <c r="AEH3" s="21"/>
      <c r="AEI3" s="21"/>
      <c r="AEJ3" s="21"/>
      <c r="AEK3" s="21"/>
      <c r="AEL3" s="21"/>
      <c r="AEM3" s="21"/>
      <c r="AEN3" s="21"/>
      <c r="AEO3" s="21"/>
      <c r="AEP3" s="21"/>
      <c r="AEQ3" s="21"/>
      <c r="AER3" s="21"/>
      <c r="AES3" s="21"/>
      <c r="AET3" s="21"/>
      <c r="AEU3" s="21"/>
      <c r="AEV3" s="21"/>
      <c r="AEW3" s="21"/>
      <c r="AEX3" s="21"/>
      <c r="AEY3" s="21"/>
      <c r="AEZ3" s="21"/>
      <c r="AFA3" s="21"/>
      <c r="AFB3" s="21"/>
      <c r="AFC3" s="21"/>
      <c r="AFD3" s="21"/>
      <c r="AFE3" s="21"/>
      <c r="AFF3" s="21"/>
      <c r="AFG3" s="21"/>
      <c r="AFH3" s="21"/>
      <c r="AFI3" s="21"/>
      <c r="AFJ3" s="21"/>
      <c r="AFK3" s="21"/>
      <c r="AFL3" s="21"/>
      <c r="AFM3" s="21"/>
      <c r="AFN3" s="21"/>
      <c r="AFO3" s="21"/>
      <c r="AFP3" s="21"/>
      <c r="AFQ3" s="21"/>
      <c r="AFR3" s="21"/>
      <c r="AFS3" s="21"/>
      <c r="AFT3" s="21"/>
      <c r="AFU3" s="21"/>
      <c r="AFV3" s="21"/>
      <c r="AFW3" s="21"/>
      <c r="AFX3" s="21"/>
      <c r="AFY3" s="21"/>
      <c r="AFZ3" s="21"/>
      <c r="AGA3" s="21"/>
      <c r="AGB3" s="21"/>
      <c r="AGC3" s="21"/>
      <c r="AGD3" s="21"/>
      <c r="AGE3" s="21"/>
      <c r="AGF3" s="21"/>
      <c r="AGG3" s="21"/>
      <c r="AGH3" s="21"/>
      <c r="AGI3" s="21"/>
      <c r="AGJ3" s="21"/>
      <c r="AGK3" s="21"/>
      <c r="AGL3" s="21"/>
      <c r="AGM3" s="21"/>
      <c r="AGN3" s="21"/>
      <c r="AGO3" s="21"/>
      <c r="AGP3" s="21"/>
      <c r="AGQ3" s="21"/>
      <c r="AGR3" s="21"/>
      <c r="AGS3" s="21"/>
    </row>
    <row r="4" spans="1:877" ht="13">
      <c r="A4" s="12"/>
      <c r="B4" s="17" t="s">
        <v>15</v>
      </c>
      <c r="C4" s="12"/>
      <c r="D4" s="22"/>
      <c r="E4" s="22"/>
      <c r="F4" s="23"/>
      <c r="G4" s="23">
        <v>45839</v>
      </c>
      <c r="H4" s="23">
        <v>45870</v>
      </c>
      <c r="I4" s="23">
        <v>45901</v>
      </c>
      <c r="J4" s="23">
        <v>45931</v>
      </c>
      <c r="K4" s="23">
        <v>45962</v>
      </c>
      <c r="L4" s="23">
        <v>45992</v>
      </c>
      <c r="M4" s="23">
        <v>46023</v>
      </c>
      <c r="N4" s="23">
        <v>46054</v>
      </c>
      <c r="O4" s="23">
        <v>46082</v>
      </c>
      <c r="P4" s="23">
        <v>46113</v>
      </c>
      <c r="Q4" s="23">
        <v>46143</v>
      </c>
      <c r="R4" s="23">
        <v>46174</v>
      </c>
      <c r="S4" s="23">
        <v>46204</v>
      </c>
      <c r="T4" s="23">
        <v>46235</v>
      </c>
      <c r="U4" s="23">
        <v>46266</v>
      </c>
      <c r="V4" s="23">
        <v>46296</v>
      </c>
      <c r="W4" s="23">
        <v>46327</v>
      </c>
      <c r="X4" s="23">
        <v>46357</v>
      </c>
      <c r="Y4" s="23">
        <v>46388</v>
      </c>
      <c r="Z4" s="23">
        <v>46419</v>
      </c>
      <c r="AA4" s="23">
        <v>46447</v>
      </c>
      <c r="AB4" s="23">
        <v>46478</v>
      </c>
      <c r="AC4" s="23">
        <v>46508</v>
      </c>
      <c r="AD4" s="23">
        <v>46539</v>
      </c>
      <c r="AE4" s="23">
        <v>46569</v>
      </c>
      <c r="AF4" s="23">
        <v>46600</v>
      </c>
      <c r="AG4" s="23">
        <v>46631</v>
      </c>
      <c r="AH4" s="23">
        <v>46661</v>
      </c>
      <c r="AI4" s="23">
        <v>46692</v>
      </c>
      <c r="AJ4" s="23">
        <v>46722</v>
      </c>
      <c r="AK4" s="23">
        <v>46753</v>
      </c>
      <c r="AL4" s="23">
        <v>46784</v>
      </c>
      <c r="AM4" s="23">
        <v>46813</v>
      </c>
      <c r="AN4" s="23">
        <v>46844</v>
      </c>
      <c r="AO4" s="23">
        <v>46874</v>
      </c>
      <c r="AP4" s="23">
        <v>46905</v>
      </c>
      <c r="AQ4" s="23">
        <v>46935</v>
      </c>
      <c r="AR4" s="23">
        <v>46966</v>
      </c>
      <c r="AS4" s="23">
        <v>46997</v>
      </c>
      <c r="AT4" s="23">
        <v>47027</v>
      </c>
      <c r="AU4" s="23">
        <v>47058</v>
      </c>
      <c r="AV4" s="23">
        <v>47088</v>
      </c>
      <c r="AW4" s="23">
        <v>47119</v>
      </c>
      <c r="AX4" s="23">
        <v>47150</v>
      </c>
      <c r="AY4" s="23">
        <v>47178</v>
      </c>
      <c r="AZ4" s="23">
        <v>47209</v>
      </c>
      <c r="BA4" s="23">
        <v>47239</v>
      </c>
      <c r="BB4" s="23">
        <v>47270</v>
      </c>
      <c r="BC4" s="23">
        <v>47300</v>
      </c>
      <c r="BD4" s="23">
        <v>47331</v>
      </c>
      <c r="BE4" s="23">
        <v>47362</v>
      </c>
      <c r="BF4" s="23">
        <v>47392</v>
      </c>
      <c r="BG4" s="23">
        <v>47423</v>
      </c>
      <c r="BH4" s="23">
        <v>47453</v>
      </c>
      <c r="BI4" s="23">
        <v>47484</v>
      </c>
      <c r="BJ4" s="24">
        <v>47515</v>
      </c>
      <c r="BK4" s="24">
        <v>47543</v>
      </c>
      <c r="BL4" s="24">
        <v>47574</v>
      </c>
      <c r="BM4" s="24">
        <v>47604</v>
      </c>
      <c r="BN4" s="24">
        <v>47635</v>
      </c>
      <c r="BO4" s="24">
        <v>47665</v>
      </c>
      <c r="BP4" s="24">
        <v>47696</v>
      </c>
      <c r="BQ4" s="24">
        <v>47727</v>
      </c>
      <c r="BR4" s="24">
        <v>47757</v>
      </c>
      <c r="BS4" s="24">
        <v>47788</v>
      </c>
      <c r="BT4" s="24">
        <v>47818</v>
      </c>
      <c r="BU4" s="24">
        <v>47849</v>
      </c>
      <c r="BV4" s="24">
        <v>47880</v>
      </c>
      <c r="BW4" s="24">
        <v>47908</v>
      </c>
      <c r="BX4" s="24">
        <v>47939</v>
      </c>
      <c r="BY4" s="24">
        <v>47969</v>
      </c>
      <c r="BZ4" s="24">
        <v>48000</v>
      </c>
      <c r="CA4" s="24">
        <v>48030</v>
      </c>
      <c r="CB4" s="24">
        <v>48061</v>
      </c>
      <c r="CC4" s="24">
        <v>48092</v>
      </c>
      <c r="CD4" s="24">
        <v>48122</v>
      </c>
      <c r="CE4" s="24">
        <v>48153</v>
      </c>
      <c r="CF4" s="24">
        <v>48183</v>
      </c>
      <c r="CG4" s="24">
        <v>48214</v>
      </c>
      <c r="CH4" s="24">
        <v>48245</v>
      </c>
      <c r="CI4" s="24">
        <v>48274</v>
      </c>
      <c r="CJ4" s="24">
        <v>48305</v>
      </c>
      <c r="CK4" s="24">
        <v>48335</v>
      </c>
      <c r="CL4" s="24">
        <v>48366</v>
      </c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  <c r="IY4" s="21"/>
      <c r="IZ4" s="21"/>
      <c r="JA4" s="21"/>
      <c r="JB4" s="21"/>
      <c r="JC4" s="21"/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1"/>
      <c r="JY4" s="21"/>
      <c r="JZ4" s="21"/>
      <c r="KA4" s="21"/>
      <c r="KB4" s="21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1"/>
      <c r="KT4" s="21"/>
      <c r="KU4" s="21"/>
      <c r="KV4" s="21"/>
      <c r="KW4" s="21"/>
      <c r="KX4" s="21"/>
      <c r="KY4" s="21"/>
      <c r="KZ4" s="21"/>
      <c r="LA4" s="21"/>
      <c r="LB4" s="21"/>
      <c r="LC4" s="21"/>
      <c r="LD4" s="21"/>
      <c r="LE4" s="21"/>
      <c r="LF4" s="21"/>
      <c r="LG4" s="21"/>
      <c r="LH4" s="21"/>
      <c r="LI4" s="21"/>
      <c r="LJ4" s="21"/>
      <c r="LK4" s="21"/>
      <c r="LL4" s="21"/>
      <c r="LM4" s="21"/>
      <c r="LN4" s="21"/>
      <c r="LO4" s="21"/>
      <c r="LP4" s="21"/>
      <c r="LQ4" s="21"/>
      <c r="LR4" s="21"/>
      <c r="LS4" s="21"/>
      <c r="LT4" s="21"/>
      <c r="LU4" s="21"/>
      <c r="LV4" s="21"/>
      <c r="LW4" s="21"/>
      <c r="LX4" s="21"/>
      <c r="LY4" s="21"/>
      <c r="LZ4" s="21"/>
      <c r="MA4" s="21"/>
      <c r="MB4" s="21"/>
      <c r="MC4" s="21"/>
      <c r="MD4" s="21"/>
      <c r="ME4" s="21"/>
      <c r="MF4" s="21"/>
      <c r="MG4" s="21"/>
      <c r="MH4" s="21"/>
      <c r="MI4" s="21"/>
      <c r="MJ4" s="21"/>
      <c r="MK4" s="21"/>
      <c r="ML4" s="21"/>
      <c r="MM4" s="21"/>
      <c r="MN4" s="21"/>
      <c r="MO4" s="21"/>
      <c r="MP4" s="21"/>
      <c r="MQ4" s="21"/>
      <c r="MR4" s="21"/>
      <c r="MS4" s="21"/>
      <c r="MT4" s="21"/>
      <c r="MU4" s="21"/>
      <c r="MV4" s="21"/>
      <c r="MW4" s="21"/>
      <c r="MX4" s="21"/>
      <c r="MY4" s="21"/>
      <c r="MZ4" s="21"/>
      <c r="NA4" s="21"/>
      <c r="NB4" s="21"/>
      <c r="NC4" s="21"/>
      <c r="ND4" s="21"/>
      <c r="NE4" s="21"/>
      <c r="NF4" s="21"/>
      <c r="NG4" s="21"/>
      <c r="NH4" s="21"/>
      <c r="NI4" s="21"/>
      <c r="NJ4" s="21"/>
      <c r="NK4" s="21"/>
      <c r="NL4" s="21"/>
      <c r="NM4" s="21"/>
      <c r="NN4" s="21"/>
      <c r="NO4" s="21"/>
      <c r="NP4" s="21"/>
      <c r="NQ4" s="21"/>
      <c r="NR4" s="21"/>
      <c r="NS4" s="21"/>
      <c r="NT4" s="21"/>
      <c r="NU4" s="21"/>
      <c r="NV4" s="21"/>
      <c r="NW4" s="21"/>
      <c r="NX4" s="21"/>
      <c r="NY4" s="21"/>
      <c r="NZ4" s="21"/>
      <c r="OA4" s="21"/>
      <c r="OB4" s="21"/>
      <c r="OC4" s="21"/>
      <c r="OD4" s="21"/>
      <c r="OE4" s="21"/>
      <c r="OF4" s="21"/>
      <c r="OG4" s="21"/>
      <c r="OH4" s="21"/>
      <c r="OI4" s="21"/>
      <c r="OJ4" s="21"/>
      <c r="OK4" s="21"/>
      <c r="OL4" s="21"/>
      <c r="OM4" s="21"/>
      <c r="ON4" s="21"/>
      <c r="OO4" s="21"/>
      <c r="OP4" s="21"/>
      <c r="OQ4" s="21"/>
      <c r="OR4" s="21"/>
      <c r="OS4" s="21"/>
      <c r="OT4" s="21"/>
      <c r="OU4" s="21"/>
      <c r="OV4" s="21"/>
      <c r="OW4" s="21"/>
      <c r="OX4" s="21"/>
      <c r="OY4" s="21"/>
      <c r="OZ4" s="21"/>
      <c r="PA4" s="21"/>
      <c r="PB4" s="21"/>
      <c r="PC4" s="21"/>
      <c r="PD4" s="21"/>
      <c r="PE4" s="21"/>
      <c r="PF4" s="21"/>
      <c r="PG4" s="21"/>
      <c r="PH4" s="21"/>
      <c r="PI4" s="21"/>
      <c r="PJ4" s="21"/>
      <c r="PK4" s="21"/>
      <c r="PL4" s="21"/>
      <c r="PM4" s="21"/>
      <c r="PN4" s="21"/>
      <c r="PO4" s="21"/>
      <c r="PP4" s="21"/>
      <c r="PQ4" s="21"/>
      <c r="PR4" s="21"/>
      <c r="PS4" s="21"/>
      <c r="PT4" s="21"/>
      <c r="PU4" s="21"/>
      <c r="PV4" s="21"/>
      <c r="PW4" s="21"/>
      <c r="PX4" s="21"/>
      <c r="PY4" s="21"/>
      <c r="PZ4" s="21"/>
      <c r="QA4" s="21"/>
      <c r="QB4" s="21"/>
      <c r="QC4" s="21"/>
      <c r="QD4" s="21"/>
      <c r="QE4" s="21"/>
      <c r="QF4" s="21"/>
      <c r="QG4" s="21"/>
      <c r="QH4" s="21"/>
      <c r="QI4" s="21"/>
      <c r="QJ4" s="21"/>
      <c r="QK4" s="21"/>
      <c r="QL4" s="21"/>
      <c r="QM4" s="21"/>
      <c r="QN4" s="21"/>
      <c r="QO4" s="21"/>
      <c r="QP4" s="21"/>
      <c r="QQ4" s="21"/>
      <c r="QR4" s="21"/>
      <c r="QS4" s="21"/>
      <c r="QT4" s="21"/>
      <c r="QU4" s="21"/>
      <c r="QV4" s="21"/>
      <c r="QW4" s="21"/>
      <c r="QX4" s="21"/>
      <c r="QY4" s="21"/>
      <c r="QZ4" s="21"/>
      <c r="RA4" s="21"/>
      <c r="RB4" s="21"/>
      <c r="RC4" s="21"/>
      <c r="RD4" s="21"/>
      <c r="RE4" s="21"/>
      <c r="RF4" s="21"/>
      <c r="RG4" s="21"/>
      <c r="RH4" s="21"/>
      <c r="RI4" s="21"/>
      <c r="RJ4" s="21"/>
      <c r="RK4" s="21"/>
      <c r="RL4" s="21"/>
      <c r="RM4" s="21"/>
      <c r="RN4" s="21"/>
      <c r="RO4" s="21"/>
      <c r="RP4" s="21"/>
      <c r="RQ4" s="21"/>
      <c r="RR4" s="21"/>
      <c r="RS4" s="21"/>
      <c r="RT4" s="21"/>
      <c r="RU4" s="21"/>
      <c r="RV4" s="21"/>
      <c r="RW4" s="21"/>
      <c r="RX4" s="21"/>
      <c r="RY4" s="21"/>
      <c r="RZ4" s="21"/>
      <c r="SA4" s="21"/>
      <c r="SB4" s="21"/>
      <c r="SC4" s="21"/>
      <c r="SD4" s="21"/>
      <c r="SE4" s="21"/>
      <c r="SF4" s="21"/>
      <c r="SG4" s="21"/>
      <c r="SH4" s="21"/>
      <c r="SI4" s="21"/>
      <c r="SJ4" s="21"/>
      <c r="SK4" s="21"/>
      <c r="SL4" s="21"/>
      <c r="SM4" s="21"/>
      <c r="SN4" s="21"/>
      <c r="SO4" s="21"/>
      <c r="SP4" s="21"/>
      <c r="SQ4" s="21"/>
      <c r="SR4" s="21"/>
      <c r="SS4" s="21"/>
      <c r="ST4" s="21"/>
      <c r="SU4" s="21"/>
      <c r="SV4" s="21"/>
      <c r="SW4" s="21"/>
      <c r="SX4" s="21"/>
      <c r="SY4" s="21"/>
      <c r="SZ4" s="21"/>
      <c r="TA4" s="21"/>
      <c r="TB4" s="21"/>
      <c r="TC4" s="21"/>
      <c r="TD4" s="21"/>
      <c r="TE4" s="21"/>
      <c r="TF4" s="21"/>
      <c r="TG4" s="21"/>
      <c r="TH4" s="21"/>
      <c r="TI4" s="21"/>
      <c r="TJ4" s="21"/>
      <c r="TK4" s="21"/>
      <c r="TL4" s="21"/>
      <c r="TM4" s="21"/>
      <c r="TN4" s="21"/>
      <c r="TO4" s="21"/>
      <c r="TP4" s="21"/>
      <c r="TQ4" s="21"/>
      <c r="TR4" s="21"/>
      <c r="TS4" s="21"/>
      <c r="TT4" s="21"/>
      <c r="TU4" s="21"/>
      <c r="TV4" s="21"/>
      <c r="TW4" s="21"/>
      <c r="TX4" s="21"/>
      <c r="TY4" s="21"/>
      <c r="TZ4" s="21"/>
      <c r="UA4" s="21"/>
      <c r="UB4" s="21"/>
      <c r="UC4" s="21"/>
      <c r="UD4" s="21"/>
      <c r="UE4" s="21"/>
      <c r="UF4" s="21"/>
      <c r="UG4" s="21"/>
      <c r="UH4" s="21"/>
      <c r="UI4" s="21"/>
      <c r="UJ4" s="21"/>
      <c r="UK4" s="21"/>
      <c r="UL4" s="21"/>
      <c r="UM4" s="21"/>
      <c r="UN4" s="21"/>
      <c r="UO4" s="21"/>
      <c r="UP4" s="21"/>
      <c r="UQ4" s="21"/>
      <c r="UR4" s="21"/>
      <c r="US4" s="21"/>
      <c r="UT4" s="21"/>
      <c r="UU4" s="21"/>
      <c r="UV4" s="21"/>
      <c r="UW4" s="21"/>
      <c r="UX4" s="21"/>
      <c r="UY4" s="21"/>
      <c r="UZ4" s="21"/>
      <c r="VA4" s="21"/>
      <c r="VB4" s="21"/>
      <c r="VC4" s="21"/>
      <c r="VD4" s="21"/>
      <c r="VE4" s="21"/>
      <c r="VF4" s="21"/>
      <c r="VG4" s="21"/>
      <c r="VH4" s="21"/>
      <c r="VI4" s="21"/>
      <c r="VJ4" s="21"/>
      <c r="VK4" s="21"/>
      <c r="VL4" s="21"/>
      <c r="VM4" s="21"/>
      <c r="VN4" s="21"/>
      <c r="VO4" s="21"/>
      <c r="VP4" s="21"/>
      <c r="VQ4" s="21"/>
      <c r="VR4" s="21"/>
      <c r="VS4" s="21"/>
      <c r="VT4" s="21"/>
      <c r="VU4" s="21"/>
      <c r="VV4" s="21"/>
      <c r="VW4" s="21"/>
      <c r="VX4" s="21"/>
      <c r="VY4" s="21"/>
      <c r="VZ4" s="21"/>
      <c r="WA4" s="21"/>
      <c r="WB4" s="21"/>
      <c r="WC4" s="21"/>
      <c r="WD4" s="21"/>
      <c r="WE4" s="21"/>
      <c r="WF4" s="21"/>
      <c r="WG4" s="21"/>
      <c r="WH4" s="21"/>
      <c r="WI4" s="21"/>
      <c r="WJ4" s="21"/>
      <c r="WK4" s="21"/>
      <c r="WL4" s="21"/>
      <c r="WM4" s="21"/>
      <c r="WN4" s="21"/>
      <c r="WO4" s="21"/>
      <c r="WP4" s="21"/>
      <c r="WQ4" s="21"/>
      <c r="WR4" s="21"/>
      <c r="WS4" s="21"/>
      <c r="WT4" s="21"/>
      <c r="WU4" s="21"/>
      <c r="WV4" s="21"/>
      <c r="WW4" s="21"/>
      <c r="WX4" s="21"/>
      <c r="WY4" s="21"/>
      <c r="WZ4" s="21"/>
      <c r="XA4" s="21"/>
      <c r="XB4" s="21"/>
      <c r="XC4" s="21"/>
      <c r="XD4" s="21"/>
      <c r="XE4" s="21"/>
      <c r="XF4" s="21"/>
      <c r="XG4" s="21"/>
      <c r="XH4" s="21"/>
      <c r="XI4" s="21"/>
      <c r="XJ4" s="21"/>
      <c r="XK4" s="21"/>
      <c r="XL4" s="21"/>
      <c r="XM4" s="21"/>
      <c r="XN4" s="21"/>
      <c r="XO4" s="21"/>
      <c r="XP4" s="21"/>
      <c r="XQ4" s="21"/>
      <c r="XR4" s="21"/>
      <c r="XS4" s="21"/>
      <c r="XT4" s="21"/>
      <c r="XU4" s="21"/>
      <c r="XV4" s="21"/>
      <c r="XW4" s="21"/>
      <c r="XX4" s="21"/>
      <c r="XY4" s="21"/>
      <c r="XZ4" s="21"/>
      <c r="YA4" s="21"/>
      <c r="YB4" s="21"/>
      <c r="YC4" s="21"/>
      <c r="YD4" s="21"/>
      <c r="YE4" s="21"/>
      <c r="YF4" s="21"/>
      <c r="YG4" s="21"/>
      <c r="YH4" s="21"/>
      <c r="YI4" s="21"/>
      <c r="YJ4" s="21"/>
      <c r="YK4" s="21"/>
      <c r="YL4" s="21"/>
      <c r="YM4" s="21"/>
      <c r="YN4" s="21"/>
      <c r="YO4" s="21"/>
      <c r="YP4" s="21"/>
      <c r="YQ4" s="21"/>
      <c r="YR4" s="21"/>
      <c r="YS4" s="21"/>
      <c r="YT4" s="21"/>
      <c r="YU4" s="21"/>
      <c r="YV4" s="21"/>
      <c r="YW4" s="21"/>
      <c r="YX4" s="21"/>
      <c r="YY4" s="21"/>
      <c r="YZ4" s="21"/>
      <c r="ZA4" s="21"/>
      <c r="ZB4" s="21"/>
      <c r="ZC4" s="21"/>
      <c r="ZD4" s="21"/>
      <c r="ZE4" s="21"/>
      <c r="ZF4" s="21"/>
      <c r="ZG4" s="21"/>
      <c r="ZH4" s="21"/>
      <c r="ZI4" s="21"/>
      <c r="ZJ4" s="21"/>
      <c r="ZK4" s="21"/>
      <c r="ZL4" s="21"/>
      <c r="ZM4" s="21"/>
      <c r="ZN4" s="21"/>
      <c r="ZO4" s="21"/>
      <c r="ZP4" s="21"/>
      <c r="ZQ4" s="21"/>
      <c r="ZR4" s="21"/>
      <c r="ZS4" s="21"/>
      <c r="ZT4" s="21"/>
      <c r="ZU4" s="21"/>
      <c r="ZV4" s="21"/>
      <c r="ZW4" s="21"/>
      <c r="ZX4" s="21"/>
      <c r="ZY4" s="21"/>
      <c r="ZZ4" s="21"/>
      <c r="AAA4" s="21"/>
      <c r="AAB4" s="21"/>
      <c r="AAC4" s="21"/>
      <c r="AAD4" s="21"/>
      <c r="AAE4" s="21"/>
      <c r="AAF4" s="21"/>
      <c r="AAG4" s="21"/>
      <c r="AAH4" s="21"/>
      <c r="AAI4" s="21"/>
      <c r="AAJ4" s="21"/>
      <c r="AAK4" s="21"/>
      <c r="AAL4" s="21"/>
      <c r="AAM4" s="21"/>
      <c r="AAN4" s="21"/>
      <c r="AAO4" s="21"/>
      <c r="AAP4" s="21"/>
      <c r="AAQ4" s="21"/>
      <c r="AAR4" s="21"/>
      <c r="AAS4" s="21"/>
      <c r="AAT4" s="21"/>
      <c r="AAU4" s="21"/>
      <c r="AAV4" s="21"/>
      <c r="AAW4" s="21"/>
      <c r="AAX4" s="21"/>
      <c r="AAY4" s="21"/>
      <c r="AAZ4" s="21"/>
      <c r="ABA4" s="21"/>
      <c r="ABB4" s="21"/>
      <c r="ABC4" s="21"/>
      <c r="ABD4" s="21"/>
      <c r="ABE4" s="21"/>
      <c r="ABF4" s="21"/>
      <c r="ABG4" s="21"/>
      <c r="ABH4" s="21"/>
      <c r="ABI4" s="21"/>
      <c r="ABJ4" s="21"/>
      <c r="ABK4" s="21"/>
      <c r="ABL4" s="21"/>
      <c r="ABM4" s="21"/>
      <c r="ABN4" s="21"/>
      <c r="ABO4" s="21"/>
      <c r="ABP4" s="21"/>
      <c r="ABQ4" s="21"/>
      <c r="ABR4" s="21"/>
      <c r="ABS4" s="21"/>
      <c r="ABT4" s="21"/>
      <c r="ABU4" s="21"/>
      <c r="ABV4" s="21"/>
      <c r="ABW4" s="21"/>
      <c r="ABX4" s="21"/>
      <c r="ABY4" s="21"/>
      <c r="ABZ4" s="21"/>
      <c r="ACA4" s="21"/>
      <c r="ACB4" s="21"/>
      <c r="ACC4" s="21"/>
      <c r="ACD4" s="21"/>
      <c r="ACE4" s="21"/>
      <c r="ACF4" s="21"/>
      <c r="ACG4" s="21"/>
      <c r="ACH4" s="21"/>
      <c r="ACI4" s="21"/>
      <c r="ACJ4" s="21"/>
      <c r="ACK4" s="21"/>
      <c r="ACL4" s="21"/>
      <c r="ACM4" s="21"/>
      <c r="ACN4" s="21"/>
      <c r="ACO4" s="21"/>
      <c r="ACP4" s="21"/>
      <c r="ACQ4" s="21"/>
      <c r="ACR4" s="21"/>
      <c r="ACS4" s="21"/>
      <c r="ACT4" s="21"/>
      <c r="ACU4" s="21"/>
      <c r="ACV4" s="21"/>
      <c r="ACW4" s="21"/>
      <c r="ACX4" s="21"/>
      <c r="ACY4" s="21"/>
      <c r="ACZ4" s="21"/>
      <c r="ADA4" s="21"/>
      <c r="ADB4" s="21"/>
      <c r="ADC4" s="21"/>
      <c r="ADD4" s="21"/>
      <c r="ADE4" s="21"/>
      <c r="ADF4" s="21"/>
      <c r="ADG4" s="21"/>
      <c r="ADH4" s="21"/>
      <c r="ADI4" s="21"/>
      <c r="ADJ4" s="21"/>
      <c r="ADK4" s="21"/>
      <c r="ADL4" s="21"/>
      <c r="ADM4" s="21"/>
      <c r="ADN4" s="21"/>
      <c r="ADO4" s="21"/>
      <c r="ADP4" s="21"/>
      <c r="ADQ4" s="21"/>
      <c r="ADR4" s="21"/>
      <c r="ADS4" s="21"/>
      <c r="ADT4" s="21"/>
      <c r="ADU4" s="21"/>
      <c r="ADV4" s="21"/>
      <c r="ADW4" s="21"/>
      <c r="ADX4" s="21"/>
      <c r="ADY4" s="21"/>
      <c r="ADZ4" s="21"/>
      <c r="AEA4" s="21"/>
      <c r="AEB4" s="21"/>
      <c r="AEC4" s="21"/>
      <c r="AED4" s="21"/>
      <c r="AEE4" s="21"/>
      <c r="AEF4" s="21"/>
      <c r="AEG4" s="21"/>
      <c r="AEH4" s="21"/>
      <c r="AEI4" s="21"/>
      <c r="AEJ4" s="21"/>
      <c r="AEK4" s="21"/>
      <c r="AEL4" s="21"/>
      <c r="AEM4" s="21"/>
      <c r="AEN4" s="21"/>
      <c r="AEO4" s="21"/>
      <c r="AEP4" s="21"/>
      <c r="AEQ4" s="21"/>
      <c r="AER4" s="21"/>
      <c r="AES4" s="21"/>
      <c r="AET4" s="21"/>
      <c r="AEU4" s="21"/>
      <c r="AEV4" s="21"/>
      <c r="AEW4" s="21"/>
      <c r="AEX4" s="21"/>
      <c r="AEY4" s="21"/>
      <c r="AEZ4" s="21"/>
      <c r="AFA4" s="21"/>
      <c r="AFB4" s="21"/>
      <c r="AFC4" s="21"/>
      <c r="AFD4" s="21"/>
      <c r="AFE4" s="21"/>
      <c r="AFF4" s="21"/>
      <c r="AFG4" s="21"/>
      <c r="AFH4" s="21"/>
      <c r="AFI4" s="21"/>
      <c r="AFJ4" s="21"/>
      <c r="AFK4" s="21"/>
      <c r="AFL4" s="21"/>
      <c r="AFM4" s="21"/>
      <c r="AFN4" s="21"/>
      <c r="AFO4" s="21"/>
      <c r="AFP4" s="21"/>
      <c r="AFQ4" s="21"/>
      <c r="AFR4" s="21"/>
      <c r="AFS4" s="21"/>
      <c r="AFT4" s="21"/>
      <c r="AFU4" s="21"/>
      <c r="AFV4" s="21"/>
      <c r="AFW4" s="21"/>
      <c r="AFX4" s="21"/>
      <c r="AFY4" s="21"/>
      <c r="AFZ4" s="21"/>
      <c r="AGA4" s="21"/>
      <c r="AGB4" s="21"/>
      <c r="AGC4" s="21"/>
      <c r="AGD4" s="21"/>
      <c r="AGE4" s="21"/>
      <c r="AGF4" s="21"/>
      <c r="AGG4" s="21"/>
      <c r="AGH4" s="21"/>
      <c r="AGI4" s="21"/>
      <c r="AGJ4" s="21"/>
      <c r="AGK4" s="21"/>
      <c r="AGL4" s="21"/>
      <c r="AGM4" s="21"/>
      <c r="AGN4" s="21"/>
      <c r="AGO4" s="21"/>
      <c r="AGP4" s="21"/>
      <c r="AGQ4" s="21"/>
      <c r="AGR4" s="21"/>
      <c r="AGS4" s="21"/>
    </row>
    <row r="5" spans="1:877" ht="13">
      <c r="A5" s="25"/>
      <c r="B5" s="25"/>
      <c r="C5" s="26"/>
      <c r="D5" s="21"/>
      <c r="E5" s="21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1"/>
      <c r="KT5" s="21"/>
      <c r="KU5" s="21"/>
      <c r="KV5" s="21"/>
      <c r="KW5" s="21"/>
      <c r="KX5" s="21"/>
      <c r="KY5" s="21"/>
      <c r="KZ5" s="21"/>
      <c r="LA5" s="21"/>
      <c r="LB5" s="21"/>
      <c r="LC5" s="21"/>
      <c r="LD5" s="21"/>
      <c r="LE5" s="21"/>
      <c r="LF5" s="21"/>
      <c r="LG5" s="21"/>
      <c r="LH5" s="21"/>
      <c r="LI5" s="21"/>
      <c r="LJ5" s="21"/>
      <c r="LK5" s="21"/>
      <c r="LL5" s="21"/>
      <c r="LM5" s="21"/>
      <c r="LN5" s="21"/>
      <c r="LO5" s="21"/>
      <c r="LP5" s="21"/>
      <c r="LQ5" s="21"/>
      <c r="LR5" s="21"/>
      <c r="LS5" s="21"/>
      <c r="LT5" s="21"/>
      <c r="LU5" s="21"/>
      <c r="LV5" s="21"/>
      <c r="LW5" s="21"/>
      <c r="LX5" s="21"/>
      <c r="LY5" s="21"/>
      <c r="LZ5" s="21"/>
      <c r="MA5" s="21"/>
      <c r="MB5" s="21"/>
      <c r="MC5" s="21"/>
      <c r="MD5" s="21"/>
      <c r="ME5" s="21"/>
      <c r="MF5" s="21"/>
      <c r="MG5" s="21"/>
      <c r="MH5" s="21"/>
      <c r="MI5" s="21"/>
      <c r="MJ5" s="21"/>
      <c r="MK5" s="21"/>
      <c r="ML5" s="21"/>
      <c r="MM5" s="21"/>
      <c r="MN5" s="21"/>
      <c r="MO5" s="21"/>
      <c r="MP5" s="21"/>
      <c r="MQ5" s="21"/>
      <c r="MR5" s="21"/>
      <c r="MS5" s="21"/>
      <c r="MT5" s="21"/>
      <c r="MU5" s="21"/>
      <c r="MV5" s="21"/>
      <c r="MW5" s="21"/>
      <c r="MX5" s="21"/>
      <c r="MY5" s="21"/>
      <c r="MZ5" s="21"/>
      <c r="NA5" s="21"/>
      <c r="NB5" s="21"/>
      <c r="NC5" s="21"/>
      <c r="ND5" s="21"/>
      <c r="NE5" s="21"/>
      <c r="NF5" s="21"/>
      <c r="NG5" s="21"/>
      <c r="NH5" s="21"/>
      <c r="NI5" s="21"/>
      <c r="NJ5" s="21"/>
      <c r="NK5" s="21"/>
      <c r="NL5" s="21"/>
      <c r="NM5" s="21"/>
      <c r="NN5" s="21"/>
      <c r="NO5" s="21"/>
      <c r="NP5" s="21"/>
      <c r="NQ5" s="21"/>
      <c r="NR5" s="21"/>
      <c r="NS5" s="21"/>
      <c r="NT5" s="21"/>
      <c r="NU5" s="21"/>
      <c r="NV5" s="21"/>
      <c r="NW5" s="21"/>
      <c r="NX5" s="21"/>
      <c r="NY5" s="21"/>
      <c r="NZ5" s="21"/>
      <c r="OA5" s="21"/>
      <c r="OB5" s="21"/>
      <c r="OC5" s="21"/>
      <c r="OD5" s="21"/>
      <c r="OE5" s="21"/>
      <c r="OF5" s="21"/>
      <c r="OG5" s="21"/>
      <c r="OH5" s="21"/>
      <c r="OI5" s="21"/>
      <c r="OJ5" s="21"/>
      <c r="OK5" s="21"/>
      <c r="OL5" s="21"/>
      <c r="OM5" s="21"/>
      <c r="ON5" s="21"/>
      <c r="OO5" s="21"/>
      <c r="OP5" s="21"/>
      <c r="OQ5" s="21"/>
      <c r="OR5" s="21"/>
      <c r="OS5" s="21"/>
      <c r="OT5" s="21"/>
      <c r="OU5" s="21"/>
      <c r="OV5" s="21"/>
      <c r="OW5" s="21"/>
      <c r="OX5" s="21"/>
      <c r="OY5" s="21"/>
      <c r="OZ5" s="21"/>
      <c r="PA5" s="21"/>
      <c r="PB5" s="21"/>
      <c r="PC5" s="21"/>
      <c r="PD5" s="21"/>
      <c r="PE5" s="21"/>
      <c r="PF5" s="21"/>
      <c r="PG5" s="21"/>
      <c r="PH5" s="21"/>
      <c r="PI5" s="21"/>
      <c r="PJ5" s="21"/>
      <c r="PK5" s="21"/>
      <c r="PL5" s="21"/>
      <c r="PM5" s="21"/>
      <c r="PN5" s="21"/>
      <c r="PO5" s="21"/>
      <c r="PP5" s="21"/>
      <c r="PQ5" s="21"/>
      <c r="PR5" s="21"/>
      <c r="PS5" s="21"/>
      <c r="PT5" s="21"/>
      <c r="PU5" s="21"/>
      <c r="PV5" s="21"/>
      <c r="PW5" s="21"/>
      <c r="PX5" s="21"/>
      <c r="PY5" s="21"/>
      <c r="PZ5" s="21"/>
      <c r="QA5" s="21"/>
      <c r="QB5" s="21"/>
      <c r="QC5" s="21"/>
      <c r="QD5" s="21"/>
      <c r="QE5" s="21"/>
      <c r="QF5" s="21"/>
      <c r="QG5" s="21"/>
      <c r="QH5" s="21"/>
      <c r="QI5" s="21"/>
      <c r="QJ5" s="21"/>
      <c r="QK5" s="21"/>
      <c r="QL5" s="21"/>
      <c r="QM5" s="21"/>
      <c r="QN5" s="21"/>
      <c r="QO5" s="21"/>
      <c r="QP5" s="21"/>
      <c r="QQ5" s="21"/>
      <c r="QR5" s="21"/>
      <c r="QS5" s="21"/>
      <c r="QT5" s="21"/>
      <c r="QU5" s="21"/>
      <c r="QV5" s="21"/>
      <c r="QW5" s="21"/>
      <c r="QX5" s="21"/>
      <c r="QY5" s="21"/>
      <c r="QZ5" s="21"/>
      <c r="RA5" s="21"/>
      <c r="RB5" s="21"/>
      <c r="RC5" s="21"/>
      <c r="RD5" s="21"/>
      <c r="RE5" s="21"/>
      <c r="RF5" s="21"/>
      <c r="RG5" s="21"/>
      <c r="RH5" s="21"/>
      <c r="RI5" s="21"/>
      <c r="RJ5" s="21"/>
      <c r="RK5" s="21"/>
      <c r="RL5" s="21"/>
      <c r="RM5" s="21"/>
      <c r="RN5" s="21"/>
      <c r="RO5" s="21"/>
      <c r="RP5" s="21"/>
      <c r="RQ5" s="21"/>
      <c r="RR5" s="21"/>
      <c r="RS5" s="21"/>
      <c r="RT5" s="21"/>
      <c r="RU5" s="21"/>
      <c r="RV5" s="21"/>
      <c r="RW5" s="21"/>
      <c r="RX5" s="21"/>
      <c r="RY5" s="21"/>
      <c r="RZ5" s="21"/>
      <c r="SA5" s="21"/>
      <c r="SB5" s="21"/>
      <c r="SC5" s="21"/>
      <c r="SD5" s="21"/>
      <c r="SE5" s="21"/>
      <c r="SF5" s="21"/>
      <c r="SG5" s="21"/>
      <c r="SH5" s="21"/>
      <c r="SI5" s="21"/>
      <c r="SJ5" s="21"/>
      <c r="SK5" s="21"/>
      <c r="SL5" s="21"/>
      <c r="SM5" s="21"/>
      <c r="SN5" s="21"/>
      <c r="SO5" s="21"/>
      <c r="SP5" s="21"/>
      <c r="SQ5" s="21"/>
      <c r="SR5" s="21"/>
      <c r="SS5" s="21"/>
      <c r="ST5" s="21"/>
      <c r="SU5" s="21"/>
      <c r="SV5" s="21"/>
      <c r="SW5" s="21"/>
      <c r="SX5" s="21"/>
      <c r="SY5" s="21"/>
      <c r="SZ5" s="21"/>
      <c r="TA5" s="21"/>
      <c r="TB5" s="21"/>
      <c r="TC5" s="21"/>
      <c r="TD5" s="21"/>
      <c r="TE5" s="21"/>
      <c r="TF5" s="21"/>
      <c r="TG5" s="21"/>
      <c r="TH5" s="21"/>
      <c r="TI5" s="21"/>
      <c r="TJ5" s="21"/>
      <c r="TK5" s="21"/>
      <c r="TL5" s="21"/>
      <c r="TM5" s="21"/>
      <c r="TN5" s="21"/>
      <c r="TO5" s="21"/>
      <c r="TP5" s="21"/>
      <c r="TQ5" s="21"/>
      <c r="TR5" s="21"/>
      <c r="TS5" s="21"/>
      <c r="TT5" s="21"/>
      <c r="TU5" s="21"/>
      <c r="TV5" s="21"/>
      <c r="TW5" s="21"/>
      <c r="TX5" s="21"/>
      <c r="TY5" s="21"/>
      <c r="TZ5" s="21"/>
      <c r="UA5" s="21"/>
      <c r="UB5" s="21"/>
      <c r="UC5" s="21"/>
      <c r="UD5" s="21"/>
      <c r="UE5" s="21"/>
      <c r="UF5" s="21"/>
      <c r="UG5" s="21"/>
      <c r="UH5" s="21"/>
      <c r="UI5" s="21"/>
      <c r="UJ5" s="21"/>
      <c r="UK5" s="21"/>
      <c r="UL5" s="21"/>
      <c r="UM5" s="21"/>
      <c r="UN5" s="21"/>
      <c r="UO5" s="21"/>
      <c r="UP5" s="21"/>
      <c r="UQ5" s="21"/>
      <c r="UR5" s="21"/>
      <c r="US5" s="21"/>
      <c r="UT5" s="21"/>
      <c r="UU5" s="21"/>
      <c r="UV5" s="21"/>
      <c r="UW5" s="21"/>
      <c r="UX5" s="21"/>
      <c r="UY5" s="21"/>
      <c r="UZ5" s="21"/>
      <c r="VA5" s="21"/>
      <c r="VB5" s="21"/>
      <c r="VC5" s="21"/>
      <c r="VD5" s="21"/>
      <c r="VE5" s="21"/>
      <c r="VF5" s="21"/>
      <c r="VG5" s="21"/>
      <c r="VH5" s="21"/>
      <c r="VI5" s="21"/>
      <c r="VJ5" s="21"/>
      <c r="VK5" s="21"/>
      <c r="VL5" s="21"/>
      <c r="VM5" s="21"/>
      <c r="VN5" s="21"/>
      <c r="VO5" s="21"/>
      <c r="VP5" s="21"/>
      <c r="VQ5" s="21"/>
      <c r="VR5" s="21"/>
      <c r="VS5" s="21"/>
      <c r="VT5" s="21"/>
      <c r="VU5" s="21"/>
      <c r="VV5" s="21"/>
      <c r="VW5" s="21"/>
      <c r="VX5" s="21"/>
      <c r="VY5" s="21"/>
      <c r="VZ5" s="21"/>
      <c r="WA5" s="21"/>
      <c r="WB5" s="21"/>
      <c r="WC5" s="21"/>
      <c r="WD5" s="21"/>
      <c r="WE5" s="21"/>
      <c r="WF5" s="21"/>
      <c r="WG5" s="21"/>
      <c r="WH5" s="21"/>
      <c r="WI5" s="21"/>
      <c r="WJ5" s="21"/>
      <c r="WK5" s="21"/>
      <c r="WL5" s="21"/>
      <c r="WM5" s="21"/>
      <c r="WN5" s="21"/>
      <c r="WO5" s="21"/>
      <c r="WP5" s="21"/>
      <c r="WQ5" s="21"/>
      <c r="WR5" s="21"/>
      <c r="WS5" s="21"/>
      <c r="WT5" s="21"/>
      <c r="WU5" s="21"/>
      <c r="WV5" s="21"/>
      <c r="WW5" s="21"/>
      <c r="WX5" s="21"/>
      <c r="WY5" s="21"/>
      <c r="WZ5" s="21"/>
      <c r="XA5" s="21"/>
      <c r="XB5" s="21"/>
      <c r="XC5" s="21"/>
      <c r="XD5" s="21"/>
      <c r="XE5" s="21"/>
      <c r="XF5" s="21"/>
      <c r="XG5" s="21"/>
      <c r="XH5" s="21"/>
      <c r="XI5" s="21"/>
      <c r="XJ5" s="21"/>
      <c r="XK5" s="21"/>
      <c r="XL5" s="21"/>
      <c r="XM5" s="21"/>
      <c r="XN5" s="21"/>
      <c r="XO5" s="21"/>
      <c r="XP5" s="21"/>
      <c r="XQ5" s="21"/>
      <c r="XR5" s="21"/>
      <c r="XS5" s="21"/>
      <c r="XT5" s="21"/>
      <c r="XU5" s="21"/>
      <c r="XV5" s="21"/>
      <c r="XW5" s="21"/>
      <c r="XX5" s="21"/>
      <c r="XY5" s="21"/>
      <c r="XZ5" s="21"/>
      <c r="YA5" s="21"/>
      <c r="YB5" s="21"/>
      <c r="YC5" s="21"/>
      <c r="YD5" s="21"/>
      <c r="YE5" s="21"/>
      <c r="YF5" s="21"/>
      <c r="YG5" s="21"/>
      <c r="YH5" s="21"/>
      <c r="YI5" s="21"/>
      <c r="YJ5" s="21"/>
      <c r="YK5" s="21"/>
      <c r="YL5" s="21"/>
      <c r="YM5" s="21"/>
      <c r="YN5" s="21"/>
      <c r="YO5" s="21"/>
      <c r="YP5" s="21"/>
      <c r="YQ5" s="21"/>
      <c r="YR5" s="21"/>
      <c r="YS5" s="21"/>
      <c r="YT5" s="21"/>
      <c r="YU5" s="21"/>
      <c r="YV5" s="21"/>
      <c r="YW5" s="21"/>
      <c r="YX5" s="21"/>
      <c r="YY5" s="21"/>
      <c r="YZ5" s="21"/>
      <c r="ZA5" s="21"/>
      <c r="ZB5" s="21"/>
      <c r="ZC5" s="21"/>
      <c r="ZD5" s="21"/>
      <c r="ZE5" s="21"/>
      <c r="ZF5" s="21"/>
      <c r="ZG5" s="21"/>
      <c r="ZH5" s="21"/>
      <c r="ZI5" s="21"/>
      <c r="ZJ5" s="21"/>
      <c r="ZK5" s="21"/>
      <c r="ZL5" s="21"/>
      <c r="ZM5" s="21"/>
      <c r="ZN5" s="21"/>
      <c r="ZO5" s="21"/>
      <c r="ZP5" s="21"/>
      <c r="ZQ5" s="21"/>
      <c r="ZR5" s="21"/>
      <c r="ZS5" s="21"/>
      <c r="ZT5" s="21"/>
      <c r="ZU5" s="21"/>
      <c r="ZV5" s="21"/>
      <c r="ZW5" s="21"/>
      <c r="ZX5" s="21"/>
      <c r="ZY5" s="21"/>
      <c r="ZZ5" s="21"/>
      <c r="AAA5" s="21"/>
      <c r="AAB5" s="21"/>
      <c r="AAC5" s="21"/>
      <c r="AAD5" s="21"/>
      <c r="AAE5" s="21"/>
      <c r="AAF5" s="21"/>
      <c r="AAG5" s="21"/>
      <c r="AAH5" s="21"/>
      <c r="AAI5" s="21"/>
      <c r="AAJ5" s="21"/>
      <c r="AAK5" s="21"/>
      <c r="AAL5" s="21"/>
      <c r="AAM5" s="21"/>
      <c r="AAN5" s="21"/>
      <c r="AAO5" s="21"/>
      <c r="AAP5" s="21"/>
      <c r="AAQ5" s="21"/>
      <c r="AAR5" s="21"/>
      <c r="AAS5" s="21"/>
      <c r="AAT5" s="21"/>
      <c r="AAU5" s="21"/>
      <c r="AAV5" s="21"/>
      <c r="AAW5" s="21"/>
      <c r="AAX5" s="21"/>
      <c r="AAY5" s="21"/>
      <c r="AAZ5" s="21"/>
      <c r="ABA5" s="21"/>
      <c r="ABB5" s="21"/>
      <c r="ABC5" s="21"/>
      <c r="ABD5" s="21"/>
      <c r="ABE5" s="21"/>
      <c r="ABF5" s="21"/>
      <c r="ABG5" s="21"/>
      <c r="ABH5" s="21"/>
      <c r="ABI5" s="21"/>
      <c r="ABJ5" s="21"/>
      <c r="ABK5" s="21"/>
      <c r="ABL5" s="21"/>
      <c r="ABM5" s="21"/>
      <c r="ABN5" s="21"/>
      <c r="ABO5" s="21"/>
      <c r="ABP5" s="21"/>
      <c r="ABQ5" s="21"/>
      <c r="ABR5" s="21"/>
      <c r="ABS5" s="21"/>
      <c r="ABT5" s="21"/>
      <c r="ABU5" s="21"/>
      <c r="ABV5" s="21"/>
      <c r="ABW5" s="21"/>
      <c r="ABX5" s="21"/>
      <c r="ABY5" s="21"/>
      <c r="ABZ5" s="21"/>
      <c r="ACA5" s="21"/>
      <c r="ACB5" s="21"/>
      <c r="ACC5" s="21"/>
      <c r="ACD5" s="21"/>
      <c r="ACE5" s="21"/>
      <c r="ACF5" s="21"/>
      <c r="ACG5" s="21"/>
      <c r="ACH5" s="21"/>
      <c r="ACI5" s="21"/>
      <c r="ACJ5" s="21"/>
      <c r="ACK5" s="21"/>
      <c r="ACL5" s="21"/>
      <c r="ACM5" s="21"/>
      <c r="ACN5" s="21"/>
      <c r="ACO5" s="21"/>
      <c r="ACP5" s="21"/>
      <c r="ACQ5" s="21"/>
      <c r="ACR5" s="21"/>
      <c r="ACS5" s="21"/>
      <c r="ACT5" s="21"/>
      <c r="ACU5" s="21"/>
      <c r="ACV5" s="21"/>
      <c r="ACW5" s="21"/>
      <c r="ACX5" s="21"/>
      <c r="ACY5" s="21"/>
      <c r="ACZ5" s="21"/>
      <c r="ADA5" s="21"/>
      <c r="ADB5" s="21"/>
      <c r="ADC5" s="21"/>
      <c r="ADD5" s="21"/>
      <c r="ADE5" s="21"/>
      <c r="ADF5" s="21"/>
      <c r="ADG5" s="21"/>
      <c r="ADH5" s="21"/>
      <c r="ADI5" s="21"/>
      <c r="ADJ5" s="21"/>
      <c r="ADK5" s="21"/>
      <c r="ADL5" s="21"/>
      <c r="ADM5" s="21"/>
      <c r="ADN5" s="21"/>
      <c r="ADO5" s="21"/>
      <c r="ADP5" s="21"/>
      <c r="ADQ5" s="21"/>
      <c r="ADR5" s="21"/>
      <c r="ADS5" s="21"/>
      <c r="ADT5" s="21"/>
      <c r="ADU5" s="21"/>
      <c r="ADV5" s="21"/>
      <c r="ADW5" s="21"/>
      <c r="ADX5" s="21"/>
      <c r="ADY5" s="21"/>
      <c r="ADZ5" s="21"/>
      <c r="AEA5" s="21"/>
      <c r="AEB5" s="21"/>
      <c r="AEC5" s="21"/>
      <c r="AED5" s="21"/>
      <c r="AEE5" s="21"/>
      <c r="AEF5" s="21"/>
      <c r="AEG5" s="21"/>
      <c r="AEH5" s="21"/>
      <c r="AEI5" s="21"/>
      <c r="AEJ5" s="21"/>
      <c r="AEK5" s="21"/>
      <c r="AEL5" s="21"/>
      <c r="AEM5" s="21"/>
      <c r="AEN5" s="21"/>
      <c r="AEO5" s="21"/>
      <c r="AEP5" s="21"/>
      <c r="AEQ5" s="21"/>
      <c r="AER5" s="21"/>
      <c r="AES5" s="21"/>
      <c r="AET5" s="21"/>
      <c r="AEU5" s="21"/>
      <c r="AEV5" s="21"/>
      <c r="AEW5" s="21"/>
      <c r="AEX5" s="21"/>
      <c r="AEY5" s="21"/>
      <c r="AEZ5" s="21"/>
      <c r="AFA5" s="21"/>
      <c r="AFB5" s="21"/>
      <c r="AFC5" s="21"/>
      <c r="AFD5" s="21"/>
      <c r="AFE5" s="21"/>
      <c r="AFF5" s="21"/>
      <c r="AFG5" s="21"/>
      <c r="AFH5" s="21"/>
      <c r="AFI5" s="21"/>
      <c r="AFJ5" s="21"/>
      <c r="AFK5" s="21"/>
      <c r="AFL5" s="21"/>
      <c r="AFM5" s="21"/>
      <c r="AFN5" s="21"/>
      <c r="AFO5" s="21"/>
      <c r="AFP5" s="21"/>
      <c r="AFQ5" s="21"/>
      <c r="AFR5" s="21"/>
      <c r="AFS5" s="21"/>
      <c r="AFT5" s="21"/>
      <c r="AFU5" s="21"/>
      <c r="AFV5" s="21"/>
      <c r="AFW5" s="21"/>
      <c r="AFX5" s="21"/>
      <c r="AFY5" s="21"/>
      <c r="AFZ5" s="21"/>
      <c r="AGA5" s="21"/>
      <c r="AGB5" s="21"/>
      <c r="AGC5" s="21"/>
      <c r="AGD5" s="21"/>
      <c r="AGE5" s="21"/>
      <c r="AGF5" s="21"/>
      <c r="AGG5" s="21"/>
      <c r="AGH5" s="21"/>
      <c r="AGI5" s="21"/>
      <c r="AGJ5" s="21"/>
      <c r="AGK5" s="21"/>
      <c r="AGL5" s="21"/>
      <c r="AGM5" s="21"/>
      <c r="AGN5" s="21"/>
      <c r="AGO5" s="21"/>
      <c r="AGP5" s="21"/>
      <c r="AGQ5" s="21"/>
      <c r="AGR5" s="21"/>
      <c r="AGS5" s="21"/>
    </row>
    <row r="6" spans="1:877" ht="15.75" customHeight="1">
      <c r="A6" s="17"/>
      <c r="B6" s="29" t="s">
        <v>16</v>
      </c>
      <c r="C6" s="30"/>
      <c r="D6" s="31"/>
      <c r="E6" s="31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/>
      <c r="KA6" s="21"/>
      <c r="KB6" s="21"/>
      <c r="KC6" s="21"/>
      <c r="KD6" s="21"/>
      <c r="KE6" s="21"/>
      <c r="KF6" s="21"/>
      <c r="KG6" s="21"/>
      <c r="KH6" s="21"/>
      <c r="KI6" s="21"/>
      <c r="KJ6" s="21"/>
      <c r="KK6" s="21"/>
      <c r="KL6" s="21"/>
      <c r="KM6" s="21"/>
      <c r="KN6" s="21"/>
      <c r="KO6" s="21"/>
      <c r="KP6" s="21"/>
      <c r="KQ6" s="21"/>
      <c r="KR6" s="21"/>
      <c r="KS6" s="21"/>
      <c r="KT6" s="21"/>
      <c r="KU6" s="21"/>
      <c r="KV6" s="21"/>
      <c r="KW6" s="21"/>
      <c r="KX6" s="21"/>
      <c r="KY6" s="21"/>
      <c r="KZ6" s="21"/>
      <c r="LA6" s="21"/>
      <c r="LB6" s="21"/>
      <c r="LC6" s="21"/>
      <c r="LD6" s="21"/>
      <c r="LE6" s="21"/>
      <c r="LF6" s="21"/>
      <c r="LG6" s="21"/>
      <c r="LH6" s="21"/>
      <c r="LI6" s="21"/>
      <c r="LJ6" s="21"/>
      <c r="LK6" s="21"/>
      <c r="LL6" s="21"/>
      <c r="LM6" s="21"/>
      <c r="LN6" s="21"/>
      <c r="LO6" s="21"/>
      <c r="LP6" s="21"/>
      <c r="LQ6" s="21"/>
      <c r="LR6" s="21"/>
      <c r="LS6" s="21"/>
      <c r="LT6" s="21"/>
      <c r="LU6" s="21"/>
      <c r="LV6" s="21"/>
      <c r="LW6" s="21"/>
      <c r="LX6" s="21"/>
      <c r="LY6" s="21"/>
      <c r="LZ6" s="21"/>
      <c r="MA6" s="21"/>
      <c r="MB6" s="21"/>
      <c r="MC6" s="21"/>
      <c r="MD6" s="21"/>
      <c r="ME6" s="21"/>
      <c r="MF6" s="21"/>
      <c r="MG6" s="21"/>
      <c r="MH6" s="21"/>
      <c r="MI6" s="21"/>
      <c r="MJ6" s="21"/>
      <c r="MK6" s="21"/>
      <c r="ML6" s="21"/>
      <c r="MM6" s="21"/>
      <c r="MN6" s="21"/>
      <c r="MO6" s="21"/>
      <c r="MP6" s="21"/>
      <c r="MQ6" s="21"/>
      <c r="MR6" s="21"/>
      <c r="MS6" s="21"/>
      <c r="MT6" s="21"/>
      <c r="MU6" s="21"/>
      <c r="MV6" s="21"/>
      <c r="MW6" s="21"/>
      <c r="MX6" s="21"/>
      <c r="MY6" s="21"/>
      <c r="MZ6" s="21"/>
      <c r="NA6" s="21"/>
      <c r="NB6" s="21"/>
      <c r="NC6" s="21"/>
      <c r="ND6" s="21"/>
      <c r="NE6" s="21"/>
      <c r="NF6" s="21"/>
      <c r="NG6" s="21"/>
      <c r="NH6" s="21"/>
      <c r="NI6" s="21"/>
      <c r="NJ6" s="21"/>
      <c r="NK6" s="21"/>
      <c r="NL6" s="21"/>
      <c r="NM6" s="21"/>
      <c r="NN6" s="21"/>
      <c r="NO6" s="21"/>
      <c r="NP6" s="21"/>
      <c r="NQ6" s="21"/>
      <c r="NR6" s="21"/>
      <c r="NS6" s="21"/>
      <c r="NT6" s="21"/>
      <c r="NU6" s="21"/>
      <c r="NV6" s="21"/>
      <c r="NW6" s="21"/>
      <c r="NX6" s="21"/>
      <c r="NY6" s="21"/>
      <c r="NZ6" s="21"/>
      <c r="OA6" s="21"/>
      <c r="OB6" s="21"/>
      <c r="OC6" s="21"/>
      <c r="OD6" s="21"/>
      <c r="OE6" s="21"/>
      <c r="OF6" s="21"/>
      <c r="OG6" s="21"/>
      <c r="OH6" s="21"/>
      <c r="OI6" s="21"/>
      <c r="OJ6" s="21"/>
      <c r="OK6" s="21"/>
      <c r="OL6" s="21"/>
      <c r="OM6" s="21"/>
      <c r="ON6" s="21"/>
      <c r="OO6" s="21"/>
      <c r="OP6" s="21"/>
      <c r="OQ6" s="21"/>
      <c r="OR6" s="21"/>
      <c r="OS6" s="21"/>
      <c r="OT6" s="21"/>
      <c r="OU6" s="21"/>
      <c r="OV6" s="21"/>
      <c r="OW6" s="21"/>
      <c r="OX6" s="21"/>
      <c r="OY6" s="21"/>
      <c r="OZ6" s="21"/>
      <c r="PA6" s="21"/>
      <c r="PB6" s="21"/>
      <c r="PC6" s="21"/>
      <c r="PD6" s="21"/>
      <c r="PE6" s="21"/>
      <c r="PF6" s="21"/>
      <c r="PG6" s="21"/>
      <c r="PH6" s="21"/>
      <c r="PI6" s="21"/>
      <c r="PJ6" s="21"/>
      <c r="PK6" s="21"/>
      <c r="PL6" s="21"/>
      <c r="PM6" s="21"/>
      <c r="PN6" s="21"/>
      <c r="PO6" s="21"/>
      <c r="PP6" s="21"/>
      <c r="PQ6" s="21"/>
      <c r="PR6" s="21"/>
      <c r="PS6" s="21"/>
      <c r="PT6" s="21"/>
      <c r="PU6" s="21"/>
      <c r="PV6" s="21"/>
      <c r="PW6" s="21"/>
      <c r="PX6" s="21"/>
      <c r="PY6" s="21"/>
      <c r="PZ6" s="21"/>
      <c r="QA6" s="21"/>
      <c r="QB6" s="21"/>
      <c r="QC6" s="21"/>
      <c r="QD6" s="21"/>
      <c r="QE6" s="21"/>
      <c r="QF6" s="21"/>
      <c r="QG6" s="21"/>
      <c r="QH6" s="21"/>
      <c r="QI6" s="21"/>
      <c r="QJ6" s="21"/>
      <c r="QK6" s="21"/>
      <c r="QL6" s="21"/>
      <c r="QM6" s="21"/>
      <c r="QN6" s="21"/>
      <c r="QO6" s="21"/>
      <c r="QP6" s="21"/>
      <c r="QQ6" s="21"/>
      <c r="QR6" s="21"/>
      <c r="QS6" s="21"/>
      <c r="QT6" s="21"/>
      <c r="QU6" s="21"/>
      <c r="QV6" s="21"/>
      <c r="QW6" s="21"/>
      <c r="QX6" s="21"/>
      <c r="QY6" s="21"/>
      <c r="QZ6" s="21"/>
      <c r="RA6" s="21"/>
      <c r="RB6" s="21"/>
      <c r="RC6" s="21"/>
      <c r="RD6" s="21"/>
      <c r="RE6" s="21"/>
      <c r="RF6" s="21"/>
      <c r="RG6" s="21"/>
      <c r="RH6" s="21"/>
      <c r="RI6" s="21"/>
      <c r="RJ6" s="21"/>
      <c r="RK6" s="21"/>
      <c r="RL6" s="21"/>
      <c r="RM6" s="21"/>
      <c r="RN6" s="21"/>
      <c r="RO6" s="21"/>
      <c r="RP6" s="21"/>
      <c r="RQ6" s="21"/>
      <c r="RR6" s="21"/>
      <c r="RS6" s="21"/>
      <c r="RT6" s="21"/>
      <c r="RU6" s="21"/>
      <c r="RV6" s="21"/>
      <c r="RW6" s="21"/>
      <c r="RX6" s="21"/>
      <c r="RY6" s="21"/>
      <c r="RZ6" s="21"/>
      <c r="SA6" s="21"/>
      <c r="SB6" s="21"/>
      <c r="SC6" s="21"/>
      <c r="SD6" s="21"/>
      <c r="SE6" s="21"/>
      <c r="SF6" s="21"/>
      <c r="SG6" s="21"/>
      <c r="SH6" s="21"/>
      <c r="SI6" s="21"/>
      <c r="SJ6" s="21"/>
      <c r="SK6" s="21"/>
      <c r="SL6" s="21"/>
      <c r="SM6" s="21"/>
      <c r="SN6" s="21"/>
      <c r="SO6" s="21"/>
      <c r="SP6" s="21"/>
      <c r="SQ6" s="21"/>
      <c r="SR6" s="21"/>
      <c r="SS6" s="21"/>
      <c r="ST6" s="21"/>
      <c r="SU6" s="21"/>
      <c r="SV6" s="21"/>
      <c r="SW6" s="21"/>
      <c r="SX6" s="21"/>
      <c r="SY6" s="21"/>
      <c r="SZ6" s="21"/>
      <c r="TA6" s="21"/>
      <c r="TB6" s="21"/>
      <c r="TC6" s="21"/>
      <c r="TD6" s="21"/>
      <c r="TE6" s="21"/>
      <c r="TF6" s="21"/>
      <c r="TG6" s="21"/>
      <c r="TH6" s="21"/>
      <c r="TI6" s="21"/>
      <c r="TJ6" s="21"/>
      <c r="TK6" s="21"/>
      <c r="TL6" s="21"/>
      <c r="TM6" s="21"/>
      <c r="TN6" s="21"/>
      <c r="TO6" s="21"/>
      <c r="TP6" s="21"/>
      <c r="TQ6" s="21"/>
      <c r="TR6" s="21"/>
      <c r="TS6" s="21"/>
      <c r="TT6" s="21"/>
      <c r="TU6" s="21"/>
      <c r="TV6" s="21"/>
      <c r="TW6" s="21"/>
      <c r="TX6" s="21"/>
      <c r="TY6" s="21"/>
      <c r="TZ6" s="21"/>
      <c r="UA6" s="21"/>
      <c r="UB6" s="21"/>
      <c r="UC6" s="21"/>
      <c r="UD6" s="21"/>
      <c r="UE6" s="21"/>
      <c r="UF6" s="21"/>
      <c r="UG6" s="21"/>
      <c r="UH6" s="21"/>
      <c r="UI6" s="21"/>
      <c r="UJ6" s="21"/>
      <c r="UK6" s="21"/>
      <c r="UL6" s="21"/>
      <c r="UM6" s="21"/>
      <c r="UN6" s="21"/>
      <c r="UO6" s="21"/>
      <c r="UP6" s="21"/>
      <c r="UQ6" s="21"/>
      <c r="UR6" s="21"/>
      <c r="US6" s="21"/>
      <c r="UT6" s="21"/>
      <c r="UU6" s="21"/>
      <c r="UV6" s="21"/>
      <c r="UW6" s="21"/>
      <c r="UX6" s="21"/>
      <c r="UY6" s="21"/>
      <c r="UZ6" s="21"/>
      <c r="VA6" s="21"/>
      <c r="VB6" s="21"/>
      <c r="VC6" s="21"/>
      <c r="VD6" s="21"/>
      <c r="VE6" s="21"/>
      <c r="VF6" s="21"/>
      <c r="VG6" s="21"/>
      <c r="VH6" s="21"/>
      <c r="VI6" s="21"/>
      <c r="VJ6" s="21"/>
      <c r="VK6" s="21"/>
      <c r="VL6" s="21"/>
      <c r="VM6" s="21"/>
      <c r="VN6" s="21"/>
      <c r="VO6" s="21"/>
      <c r="VP6" s="21"/>
      <c r="VQ6" s="21"/>
      <c r="VR6" s="21"/>
      <c r="VS6" s="21"/>
      <c r="VT6" s="21"/>
      <c r="VU6" s="21"/>
      <c r="VV6" s="21"/>
      <c r="VW6" s="21"/>
      <c r="VX6" s="21"/>
      <c r="VY6" s="21"/>
      <c r="VZ6" s="21"/>
      <c r="WA6" s="21"/>
      <c r="WB6" s="21"/>
      <c r="WC6" s="21"/>
      <c r="WD6" s="21"/>
      <c r="WE6" s="21"/>
      <c r="WF6" s="21"/>
      <c r="WG6" s="21"/>
      <c r="WH6" s="21"/>
      <c r="WI6" s="21"/>
      <c r="WJ6" s="21"/>
      <c r="WK6" s="21"/>
      <c r="WL6" s="21"/>
      <c r="WM6" s="21"/>
      <c r="WN6" s="21"/>
      <c r="WO6" s="21"/>
      <c r="WP6" s="21"/>
      <c r="WQ6" s="21"/>
      <c r="WR6" s="21"/>
      <c r="WS6" s="21"/>
      <c r="WT6" s="21"/>
      <c r="WU6" s="21"/>
      <c r="WV6" s="21"/>
      <c r="WW6" s="21"/>
      <c r="WX6" s="21"/>
      <c r="WY6" s="21"/>
      <c r="WZ6" s="21"/>
      <c r="XA6" s="21"/>
      <c r="XB6" s="21"/>
      <c r="XC6" s="21"/>
      <c r="XD6" s="21"/>
      <c r="XE6" s="21"/>
      <c r="XF6" s="21"/>
      <c r="XG6" s="21"/>
      <c r="XH6" s="21"/>
      <c r="XI6" s="21"/>
      <c r="XJ6" s="21"/>
      <c r="XK6" s="21"/>
      <c r="XL6" s="21"/>
      <c r="XM6" s="21"/>
      <c r="XN6" s="21"/>
      <c r="XO6" s="21"/>
      <c r="XP6" s="21"/>
      <c r="XQ6" s="21"/>
      <c r="XR6" s="21"/>
      <c r="XS6" s="21"/>
      <c r="XT6" s="21"/>
      <c r="XU6" s="21"/>
      <c r="XV6" s="21"/>
      <c r="XW6" s="21"/>
      <c r="XX6" s="21"/>
      <c r="XY6" s="21"/>
      <c r="XZ6" s="21"/>
      <c r="YA6" s="21"/>
      <c r="YB6" s="21"/>
      <c r="YC6" s="21"/>
      <c r="YD6" s="21"/>
      <c r="YE6" s="21"/>
      <c r="YF6" s="21"/>
      <c r="YG6" s="21"/>
      <c r="YH6" s="21"/>
      <c r="YI6" s="21"/>
      <c r="YJ6" s="21"/>
      <c r="YK6" s="21"/>
      <c r="YL6" s="21"/>
      <c r="YM6" s="21"/>
      <c r="YN6" s="21"/>
      <c r="YO6" s="21"/>
      <c r="YP6" s="21"/>
      <c r="YQ6" s="21"/>
      <c r="YR6" s="21"/>
      <c r="YS6" s="21"/>
      <c r="YT6" s="21"/>
      <c r="YU6" s="21"/>
      <c r="YV6" s="21"/>
      <c r="YW6" s="21"/>
      <c r="YX6" s="21"/>
      <c r="YY6" s="21"/>
      <c r="YZ6" s="21"/>
      <c r="ZA6" s="21"/>
      <c r="ZB6" s="21"/>
      <c r="ZC6" s="21"/>
      <c r="ZD6" s="21"/>
      <c r="ZE6" s="21"/>
      <c r="ZF6" s="21"/>
      <c r="ZG6" s="21"/>
      <c r="ZH6" s="21"/>
      <c r="ZI6" s="21"/>
      <c r="ZJ6" s="21"/>
      <c r="ZK6" s="21"/>
      <c r="ZL6" s="21"/>
      <c r="ZM6" s="21"/>
      <c r="ZN6" s="21"/>
      <c r="ZO6" s="21"/>
      <c r="ZP6" s="21"/>
      <c r="ZQ6" s="21"/>
      <c r="ZR6" s="21"/>
      <c r="ZS6" s="21"/>
      <c r="ZT6" s="21"/>
      <c r="ZU6" s="21"/>
      <c r="ZV6" s="21"/>
      <c r="ZW6" s="21"/>
      <c r="ZX6" s="21"/>
      <c r="ZY6" s="21"/>
      <c r="ZZ6" s="21"/>
      <c r="AAA6" s="21"/>
      <c r="AAB6" s="21"/>
      <c r="AAC6" s="21"/>
      <c r="AAD6" s="21"/>
      <c r="AAE6" s="21"/>
      <c r="AAF6" s="21"/>
      <c r="AAG6" s="21"/>
      <c r="AAH6" s="21"/>
      <c r="AAI6" s="21"/>
      <c r="AAJ6" s="21"/>
      <c r="AAK6" s="21"/>
      <c r="AAL6" s="21"/>
      <c r="AAM6" s="21"/>
      <c r="AAN6" s="21"/>
      <c r="AAO6" s="21"/>
      <c r="AAP6" s="21"/>
      <c r="AAQ6" s="21"/>
      <c r="AAR6" s="21"/>
      <c r="AAS6" s="21"/>
      <c r="AAT6" s="21"/>
      <c r="AAU6" s="21"/>
      <c r="AAV6" s="21"/>
      <c r="AAW6" s="21"/>
      <c r="AAX6" s="21"/>
      <c r="AAY6" s="21"/>
      <c r="AAZ6" s="21"/>
      <c r="ABA6" s="21"/>
      <c r="ABB6" s="21"/>
      <c r="ABC6" s="21"/>
      <c r="ABD6" s="21"/>
      <c r="ABE6" s="21"/>
      <c r="ABF6" s="21"/>
      <c r="ABG6" s="21"/>
      <c r="ABH6" s="21"/>
      <c r="ABI6" s="21"/>
      <c r="ABJ6" s="21"/>
      <c r="ABK6" s="21"/>
      <c r="ABL6" s="21"/>
      <c r="ABM6" s="21"/>
      <c r="ABN6" s="21"/>
      <c r="ABO6" s="21"/>
      <c r="ABP6" s="21"/>
      <c r="ABQ6" s="21"/>
      <c r="ABR6" s="21"/>
      <c r="ABS6" s="21"/>
      <c r="ABT6" s="21"/>
      <c r="ABU6" s="21"/>
      <c r="ABV6" s="21"/>
      <c r="ABW6" s="21"/>
      <c r="ABX6" s="21"/>
      <c r="ABY6" s="21"/>
      <c r="ABZ6" s="21"/>
      <c r="ACA6" s="21"/>
      <c r="ACB6" s="21"/>
      <c r="ACC6" s="21"/>
      <c r="ACD6" s="21"/>
      <c r="ACE6" s="21"/>
      <c r="ACF6" s="21"/>
      <c r="ACG6" s="21"/>
      <c r="ACH6" s="21"/>
      <c r="ACI6" s="21"/>
      <c r="ACJ6" s="21"/>
      <c r="ACK6" s="21"/>
      <c r="ACL6" s="21"/>
      <c r="ACM6" s="21"/>
      <c r="ACN6" s="21"/>
      <c r="ACO6" s="21"/>
      <c r="ACP6" s="21"/>
      <c r="ACQ6" s="21"/>
      <c r="ACR6" s="21"/>
      <c r="ACS6" s="21"/>
      <c r="ACT6" s="21"/>
      <c r="ACU6" s="21"/>
      <c r="ACV6" s="21"/>
      <c r="ACW6" s="21"/>
      <c r="ACX6" s="21"/>
      <c r="ACY6" s="21"/>
      <c r="ACZ6" s="21"/>
      <c r="ADA6" s="21"/>
      <c r="ADB6" s="21"/>
      <c r="ADC6" s="21"/>
      <c r="ADD6" s="21"/>
      <c r="ADE6" s="21"/>
      <c r="ADF6" s="21"/>
      <c r="ADG6" s="21"/>
      <c r="ADH6" s="21"/>
      <c r="ADI6" s="21"/>
      <c r="ADJ6" s="21"/>
      <c r="ADK6" s="21"/>
      <c r="ADL6" s="21"/>
      <c r="ADM6" s="21"/>
      <c r="ADN6" s="21"/>
      <c r="ADO6" s="21"/>
      <c r="ADP6" s="21"/>
      <c r="ADQ6" s="21"/>
      <c r="ADR6" s="21"/>
      <c r="ADS6" s="21"/>
      <c r="ADT6" s="21"/>
      <c r="ADU6" s="21"/>
      <c r="ADV6" s="21"/>
      <c r="ADW6" s="21"/>
      <c r="ADX6" s="21"/>
      <c r="ADY6" s="21"/>
      <c r="ADZ6" s="21"/>
      <c r="AEA6" s="21"/>
      <c r="AEB6" s="21"/>
      <c r="AEC6" s="21"/>
      <c r="AED6" s="21"/>
      <c r="AEE6" s="21"/>
      <c r="AEF6" s="21"/>
      <c r="AEG6" s="21"/>
      <c r="AEH6" s="21"/>
      <c r="AEI6" s="21"/>
      <c r="AEJ6" s="21"/>
      <c r="AEK6" s="21"/>
      <c r="AEL6" s="21"/>
      <c r="AEM6" s="21"/>
      <c r="AEN6" s="21"/>
      <c r="AEO6" s="21"/>
      <c r="AEP6" s="21"/>
      <c r="AEQ6" s="21"/>
      <c r="AER6" s="21"/>
      <c r="AES6" s="21"/>
      <c r="AET6" s="21"/>
      <c r="AEU6" s="21"/>
      <c r="AEV6" s="21"/>
      <c r="AEW6" s="21"/>
      <c r="AEX6" s="21"/>
      <c r="AEY6" s="21"/>
      <c r="AEZ6" s="21"/>
      <c r="AFA6" s="21"/>
      <c r="AFB6" s="21"/>
      <c r="AFC6" s="21"/>
      <c r="AFD6" s="21"/>
      <c r="AFE6" s="21"/>
      <c r="AFF6" s="21"/>
      <c r="AFG6" s="21"/>
      <c r="AFH6" s="21"/>
      <c r="AFI6" s="21"/>
      <c r="AFJ6" s="21"/>
      <c r="AFK6" s="21"/>
      <c r="AFL6" s="21"/>
      <c r="AFM6" s="21"/>
      <c r="AFN6" s="21"/>
      <c r="AFO6" s="21"/>
      <c r="AFP6" s="21"/>
      <c r="AFQ6" s="21"/>
      <c r="AFR6" s="21"/>
      <c r="AFS6" s="21"/>
      <c r="AFT6" s="21"/>
      <c r="AFU6" s="21"/>
      <c r="AFV6" s="21"/>
      <c r="AFW6" s="21"/>
      <c r="AFX6" s="21"/>
      <c r="AFY6" s="21"/>
      <c r="AFZ6" s="21"/>
      <c r="AGA6" s="21"/>
      <c r="AGB6" s="21"/>
      <c r="AGC6" s="21"/>
      <c r="AGD6" s="21"/>
      <c r="AGE6" s="21"/>
      <c r="AGF6" s="21"/>
      <c r="AGG6" s="21"/>
      <c r="AGH6" s="21"/>
      <c r="AGI6" s="21"/>
      <c r="AGJ6" s="21"/>
      <c r="AGK6" s="21"/>
      <c r="AGL6" s="21"/>
      <c r="AGM6" s="21"/>
      <c r="AGN6" s="21"/>
      <c r="AGO6" s="21"/>
      <c r="AGP6" s="21"/>
      <c r="AGQ6" s="21"/>
      <c r="AGR6" s="21"/>
      <c r="AGS6" s="21"/>
    </row>
    <row r="7" spans="1:877" ht="13">
      <c r="A7" s="25"/>
      <c r="B7" s="25"/>
      <c r="C7" s="26" t="s">
        <v>17</v>
      </c>
      <c r="D7" s="21"/>
      <c r="E7" s="21"/>
      <c r="F7" s="27"/>
      <c r="G7" s="27">
        <f t="shared" ref="G7:CL7" si="1">G12+G13+G20+G21+G28+G29+G36+G37+G44+G45+G52+G53+G60+G61</f>
        <v>370833.33333333337</v>
      </c>
      <c r="H7" s="27">
        <f t="shared" si="1"/>
        <v>370833.33333333337</v>
      </c>
      <c r="I7" s="27">
        <f t="shared" si="1"/>
        <v>370833.33333333337</v>
      </c>
      <c r="J7" s="27">
        <f t="shared" si="1"/>
        <v>370833.33333333337</v>
      </c>
      <c r="K7" s="27">
        <f t="shared" si="1"/>
        <v>370833.33333333337</v>
      </c>
      <c r="L7" s="27">
        <f t="shared" si="1"/>
        <v>370833.33333333337</v>
      </c>
      <c r="M7" s="27">
        <f t="shared" si="1"/>
        <v>370833.33333333337</v>
      </c>
      <c r="N7" s="27">
        <f t="shared" si="1"/>
        <v>370833.33333333337</v>
      </c>
      <c r="O7" s="27">
        <f t="shared" si="1"/>
        <v>370833.33333333337</v>
      </c>
      <c r="P7" s="27">
        <f t="shared" si="1"/>
        <v>370833.33333333337</v>
      </c>
      <c r="Q7" s="27">
        <f t="shared" si="1"/>
        <v>370833.33333333337</v>
      </c>
      <c r="R7" s="28">
        <f t="shared" si="1"/>
        <v>370833.33333333337</v>
      </c>
      <c r="S7" s="28">
        <f t="shared" si="1"/>
        <v>569269.66666666663</v>
      </c>
      <c r="T7" s="28">
        <f t="shared" si="1"/>
        <v>569269.66666666663</v>
      </c>
      <c r="U7" s="28">
        <f t="shared" si="1"/>
        <v>569269.66666666663</v>
      </c>
      <c r="V7" s="28">
        <f t="shared" si="1"/>
        <v>569269.66666666663</v>
      </c>
      <c r="W7" s="28">
        <f t="shared" si="1"/>
        <v>569269.66666666663</v>
      </c>
      <c r="X7" s="28">
        <f t="shared" si="1"/>
        <v>569269.66666666663</v>
      </c>
      <c r="Y7" s="28">
        <f t="shared" si="1"/>
        <v>569269.66666666663</v>
      </c>
      <c r="Z7" s="28">
        <f t="shared" si="1"/>
        <v>569269.66666666663</v>
      </c>
      <c r="AA7" s="28">
        <f t="shared" si="1"/>
        <v>569269.66666666663</v>
      </c>
      <c r="AB7" s="28">
        <f t="shared" si="1"/>
        <v>569269.66666666663</v>
      </c>
      <c r="AC7" s="28">
        <f t="shared" si="1"/>
        <v>569269.66666666663</v>
      </c>
      <c r="AD7" s="28">
        <f t="shared" si="1"/>
        <v>569269.66666666663</v>
      </c>
      <c r="AE7" s="28">
        <f t="shared" si="1"/>
        <v>1206545.1038461539</v>
      </c>
      <c r="AF7" s="28">
        <f t="shared" si="1"/>
        <v>1206545.1038461539</v>
      </c>
      <c r="AG7" s="28">
        <f t="shared" si="1"/>
        <v>1206545.1038461539</v>
      </c>
      <c r="AH7" s="28">
        <f t="shared" si="1"/>
        <v>1206545.1038461539</v>
      </c>
      <c r="AI7" s="28">
        <f t="shared" si="1"/>
        <v>1206545.1038461539</v>
      </c>
      <c r="AJ7" s="28">
        <f t="shared" si="1"/>
        <v>1206545.1038461539</v>
      </c>
      <c r="AK7" s="28">
        <f t="shared" si="1"/>
        <v>1206545.1038461539</v>
      </c>
      <c r="AL7" s="28">
        <f t="shared" si="1"/>
        <v>1206545.1038461539</v>
      </c>
      <c r="AM7" s="28">
        <f t="shared" si="1"/>
        <v>1206545.1038461539</v>
      </c>
      <c r="AN7" s="28">
        <f t="shared" si="1"/>
        <v>1206545.1038461539</v>
      </c>
      <c r="AO7" s="28">
        <f t="shared" si="1"/>
        <v>1206545.1038461539</v>
      </c>
      <c r="AP7" s="28">
        <f t="shared" si="1"/>
        <v>1206545.1038461539</v>
      </c>
      <c r="AQ7" s="28">
        <f t="shared" si="1"/>
        <v>1448968.9799542127</v>
      </c>
      <c r="AR7" s="28">
        <f t="shared" si="1"/>
        <v>1448968.9799542127</v>
      </c>
      <c r="AS7" s="28">
        <f t="shared" si="1"/>
        <v>1448968.9799542127</v>
      </c>
      <c r="AT7" s="28">
        <f t="shared" si="1"/>
        <v>1448968.9799542127</v>
      </c>
      <c r="AU7" s="28">
        <f t="shared" si="1"/>
        <v>1448968.9799542127</v>
      </c>
      <c r="AV7" s="28">
        <f t="shared" si="1"/>
        <v>1448968.9799542127</v>
      </c>
      <c r="AW7" s="28">
        <f t="shared" si="1"/>
        <v>1448968.9799542127</v>
      </c>
      <c r="AX7" s="28">
        <f t="shared" si="1"/>
        <v>1448968.9799542127</v>
      </c>
      <c r="AY7" s="28">
        <f t="shared" si="1"/>
        <v>1448968.9799542127</v>
      </c>
      <c r="AZ7" s="28">
        <f t="shared" si="1"/>
        <v>1448968.9799542127</v>
      </c>
      <c r="BA7" s="28">
        <f t="shared" si="1"/>
        <v>1448968.9799542127</v>
      </c>
      <c r="BB7" s="28">
        <f t="shared" si="1"/>
        <v>1448968.9799542127</v>
      </c>
      <c r="BC7" s="28">
        <f t="shared" si="1"/>
        <v>3024347.7325792126</v>
      </c>
      <c r="BD7" s="28">
        <f t="shared" si="1"/>
        <v>3024347.7325792126</v>
      </c>
      <c r="BE7" s="28">
        <f t="shared" si="1"/>
        <v>3024347.7325792126</v>
      </c>
      <c r="BF7" s="28">
        <f t="shared" si="1"/>
        <v>3024347.7325792126</v>
      </c>
      <c r="BG7" s="28">
        <f t="shared" si="1"/>
        <v>3024347.7325792126</v>
      </c>
      <c r="BH7" s="28">
        <f t="shared" si="1"/>
        <v>3024347.7325792126</v>
      </c>
      <c r="BI7" s="28">
        <f t="shared" si="1"/>
        <v>3024347.7325792126</v>
      </c>
      <c r="BJ7" s="28">
        <f t="shared" si="1"/>
        <v>3024347.7325792126</v>
      </c>
      <c r="BK7" s="28">
        <f t="shared" si="1"/>
        <v>3024347.7325792126</v>
      </c>
      <c r="BL7" s="28">
        <f t="shared" si="1"/>
        <v>3024347.7325792126</v>
      </c>
      <c r="BM7" s="28">
        <f t="shared" si="1"/>
        <v>3024347.7325792126</v>
      </c>
      <c r="BN7" s="28">
        <f t="shared" si="1"/>
        <v>3024347.7325792126</v>
      </c>
      <c r="BO7" s="28">
        <f t="shared" si="1"/>
        <v>2094888.8028292123</v>
      </c>
      <c r="BP7" s="28">
        <f t="shared" si="1"/>
        <v>2094888.8028292123</v>
      </c>
      <c r="BQ7" s="28">
        <f t="shared" si="1"/>
        <v>2094888.8028292123</v>
      </c>
      <c r="BR7" s="28">
        <f t="shared" si="1"/>
        <v>2094888.8028292123</v>
      </c>
      <c r="BS7" s="28">
        <f t="shared" si="1"/>
        <v>2094888.8028292123</v>
      </c>
      <c r="BT7" s="28">
        <f t="shared" si="1"/>
        <v>2094888.8028292123</v>
      </c>
      <c r="BU7" s="28">
        <f t="shared" si="1"/>
        <v>2094888.8028292123</v>
      </c>
      <c r="BV7" s="28">
        <f t="shared" si="1"/>
        <v>2094888.8028292123</v>
      </c>
      <c r="BW7" s="28">
        <f t="shared" si="1"/>
        <v>2094888.8028292123</v>
      </c>
      <c r="BX7" s="28">
        <f t="shared" si="1"/>
        <v>2094888.8028292123</v>
      </c>
      <c r="BY7" s="28">
        <f t="shared" si="1"/>
        <v>2094888.8028292123</v>
      </c>
      <c r="BZ7" s="28">
        <f t="shared" si="1"/>
        <v>2094888.8028292123</v>
      </c>
      <c r="CA7" s="28">
        <f t="shared" si="1"/>
        <v>1457151.8430792124</v>
      </c>
      <c r="CB7" s="28">
        <f t="shared" si="1"/>
        <v>1457151.8430792124</v>
      </c>
      <c r="CC7" s="28">
        <f t="shared" si="1"/>
        <v>1457151.8430792124</v>
      </c>
      <c r="CD7" s="28">
        <f t="shared" si="1"/>
        <v>1457151.8430792124</v>
      </c>
      <c r="CE7" s="28">
        <f t="shared" si="1"/>
        <v>1457151.8430792124</v>
      </c>
      <c r="CF7" s="28">
        <f t="shared" si="1"/>
        <v>1457151.8430792124</v>
      </c>
      <c r="CG7" s="28">
        <f t="shared" si="1"/>
        <v>1457151.8430792124</v>
      </c>
      <c r="CH7" s="28">
        <f t="shared" si="1"/>
        <v>1457151.8430792124</v>
      </c>
      <c r="CI7" s="28">
        <f t="shared" si="1"/>
        <v>1457151.8430792124</v>
      </c>
      <c r="CJ7" s="28">
        <f t="shared" si="1"/>
        <v>1457151.8430792124</v>
      </c>
      <c r="CK7" s="28">
        <f t="shared" si="1"/>
        <v>1457151.8430792124</v>
      </c>
      <c r="CL7" s="28">
        <f t="shared" si="1"/>
        <v>1457151.8430792124</v>
      </c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/>
      <c r="KA7" s="21"/>
      <c r="KB7" s="21"/>
      <c r="KC7" s="21"/>
      <c r="KD7" s="21"/>
      <c r="KE7" s="21"/>
      <c r="KF7" s="21"/>
      <c r="KG7" s="21"/>
      <c r="KH7" s="21"/>
      <c r="KI7" s="21"/>
      <c r="KJ7" s="21"/>
      <c r="KK7" s="21"/>
      <c r="KL7" s="21"/>
      <c r="KM7" s="21"/>
      <c r="KN7" s="21"/>
      <c r="KO7" s="21"/>
      <c r="KP7" s="21"/>
      <c r="KQ7" s="21"/>
      <c r="KR7" s="21"/>
      <c r="KS7" s="21"/>
      <c r="KT7" s="21"/>
      <c r="KU7" s="21"/>
      <c r="KV7" s="21"/>
      <c r="KW7" s="21"/>
      <c r="KX7" s="21"/>
      <c r="KY7" s="21"/>
      <c r="KZ7" s="21"/>
      <c r="LA7" s="21"/>
      <c r="LB7" s="21"/>
      <c r="LC7" s="21"/>
      <c r="LD7" s="21"/>
      <c r="LE7" s="21"/>
      <c r="LF7" s="21"/>
      <c r="LG7" s="21"/>
      <c r="LH7" s="21"/>
      <c r="LI7" s="21"/>
      <c r="LJ7" s="21"/>
      <c r="LK7" s="21"/>
      <c r="LL7" s="21"/>
      <c r="LM7" s="21"/>
      <c r="LN7" s="21"/>
      <c r="LO7" s="21"/>
      <c r="LP7" s="21"/>
      <c r="LQ7" s="21"/>
      <c r="LR7" s="21"/>
      <c r="LS7" s="21"/>
      <c r="LT7" s="21"/>
      <c r="LU7" s="21"/>
      <c r="LV7" s="21"/>
      <c r="LW7" s="21"/>
      <c r="LX7" s="21"/>
      <c r="LY7" s="21"/>
      <c r="LZ7" s="21"/>
      <c r="MA7" s="21"/>
      <c r="MB7" s="21"/>
      <c r="MC7" s="21"/>
      <c r="MD7" s="21"/>
      <c r="ME7" s="21"/>
      <c r="MF7" s="21"/>
      <c r="MG7" s="21"/>
      <c r="MH7" s="21"/>
      <c r="MI7" s="21"/>
      <c r="MJ7" s="21"/>
      <c r="MK7" s="21"/>
      <c r="ML7" s="21"/>
      <c r="MM7" s="21"/>
      <c r="MN7" s="21"/>
      <c r="MO7" s="21"/>
      <c r="MP7" s="21"/>
      <c r="MQ7" s="21"/>
      <c r="MR7" s="21"/>
      <c r="MS7" s="21"/>
      <c r="MT7" s="21"/>
      <c r="MU7" s="21"/>
      <c r="MV7" s="21"/>
      <c r="MW7" s="21"/>
      <c r="MX7" s="21"/>
      <c r="MY7" s="21"/>
      <c r="MZ7" s="21"/>
      <c r="NA7" s="21"/>
      <c r="NB7" s="21"/>
      <c r="NC7" s="21"/>
      <c r="ND7" s="21"/>
      <c r="NE7" s="21"/>
      <c r="NF7" s="21"/>
      <c r="NG7" s="21"/>
      <c r="NH7" s="21"/>
      <c r="NI7" s="21"/>
      <c r="NJ7" s="21"/>
      <c r="NK7" s="21"/>
      <c r="NL7" s="21"/>
      <c r="NM7" s="21"/>
      <c r="NN7" s="21"/>
      <c r="NO7" s="21"/>
      <c r="NP7" s="21"/>
      <c r="NQ7" s="21"/>
      <c r="NR7" s="21"/>
      <c r="NS7" s="21"/>
      <c r="NT7" s="21"/>
      <c r="NU7" s="21"/>
      <c r="NV7" s="21"/>
      <c r="NW7" s="21"/>
      <c r="NX7" s="21"/>
      <c r="NY7" s="21"/>
      <c r="NZ7" s="21"/>
      <c r="OA7" s="21"/>
      <c r="OB7" s="21"/>
      <c r="OC7" s="21"/>
      <c r="OD7" s="21"/>
      <c r="OE7" s="21"/>
      <c r="OF7" s="21"/>
      <c r="OG7" s="21"/>
      <c r="OH7" s="21"/>
      <c r="OI7" s="21"/>
      <c r="OJ7" s="21"/>
      <c r="OK7" s="21"/>
      <c r="OL7" s="21"/>
      <c r="OM7" s="21"/>
      <c r="ON7" s="21"/>
      <c r="OO7" s="21"/>
      <c r="OP7" s="21"/>
      <c r="OQ7" s="21"/>
      <c r="OR7" s="21"/>
      <c r="OS7" s="21"/>
      <c r="OT7" s="21"/>
      <c r="OU7" s="21"/>
      <c r="OV7" s="21"/>
      <c r="OW7" s="21"/>
      <c r="OX7" s="21"/>
      <c r="OY7" s="21"/>
      <c r="OZ7" s="21"/>
      <c r="PA7" s="21"/>
      <c r="PB7" s="21"/>
      <c r="PC7" s="21"/>
      <c r="PD7" s="21"/>
      <c r="PE7" s="21"/>
      <c r="PF7" s="21"/>
      <c r="PG7" s="21"/>
      <c r="PH7" s="21"/>
      <c r="PI7" s="21"/>
      <c r="PJ7" s="21"/>
      <c r="PK7" s="21"/>
      <c r="PL7" s="21"/>
      <c r="PM7" s="21"/>
      <c r="PN7" s="21"/>
      <c r="PO7" s="21"/>
      <c r="PP7" s="21"/>
      <c r="PQ7" s="21"/>
      <c r="PR7" s="21"/>
      <c r="PS7" s="21"/>
      <c r="PT7" s="21"/>
      <c r="PU7" s="21"/>
      <c r="PV7" s="21"/>
      <c r="PW7" s="21"/>
      <c r="PX7" s="21"/>
      <c r="PY7" s="21"/>
      <c r="PZ7" s="21"/>
      <c r="QA7" s="21"/>
      <c r="QB7" s="21"/>
      <c r="QC7" s="21"/>
      <c r="QD7" s="21"/>
      <c r="QE7" s="21"/>
      <c r="QF7" s="21"/>
      <c r="QG7" s="21"/>
      <c r="QH7" s="21"/>
      <c r="QI7" s="21"/>
      <c r="QJ7" s="21"/>
      <c r="QK7" s="21"/>
      <c r="QL7" s="21"/>
      <c r="QM7" s="21"/>
      <c r="QN7" s="21"/>
      <c r="QO7" s="21"/>
      <c r="QP7" s="21"/>
      <c r="QQ7" s="21"/>
      <c r="QR7" s="21"/>
      <c r="QS7" s="21"/>
      <c r="QT7" s="21"/>
      <c r="QU7" s="21"/>
      <c r="QV7" s="21"/>
      <c r="QW7" s="21"/>
      <c r="QX7" s="21"/>
      <c r="QY7" s="21"/>
      <c r="QZ7" s="21"/>
      <c r="RA7" s="21"/>
      <c r="RB7" s="21"/>
      <c r="RC7" s="21"/>
      <c r="RD7" s="21"/>
      <c r="RE7" s="21"/>
      <c r="RF7" s="21"/>
      <c r="RG7" s="21"/>
      <c r="RH7" s="21"/>
      <c r="RI7" s="21"/>
      <c r="RJ7" s="21"/>
      <c r="RK7" s="21"/>
      <c r="RL7" s="21"/>
      <c r="RM7" s="21"/>
      <c r="RN7" s="21"/>
      <c r="RO7" s="21"/>
      <c r="RP7" s="21"/>
      <c r="RQ7" s="21"/>
      <c r="RR7" s="21"/>
      <c r="RS7" s="21"/>
      <c r="RT7" s="21"/>
      <c r="RU7" s="21"/>
      <c r="RV7" s="21"/>
      <c r="RW7" s="21"/>
      <c r="RX7" s="21"/>
      <c r="RY7" s="21"/>
      <c r="RZ7" s="21"/>
      <c r="SA7" s="21"/>
      <c r="SB7" s="21"/>
      <c r="SC7" s="21"/>
      <c r="SD7" s="21"/>
      <c r="SE7" s="21"/>
      <c r="SF7" s="21"/>
      <c r="SG7" s="21"/>
      <c r="SH7" s="21"/>
      <c r="SI7" s="21"/>
      <c r="SJ7" s="21"/>
      <c r="SK7" s="21"/>
      <c r="SL7" s="21"/>
      <c r="SM7" s="21"/>
      <c r="SN7" s="21"/>
      <c r="SO7" s="21"/>
      <c r="SP7" s="21"/>
      <c r="SQ7" s="21"/>
      <c r="SR7" s="21"/>
      <c r="SS7" s="21"/>
      <c r="ST7" s="21"/>
      <c r="SU7" s="21"/>
      <c r="SV7" s="21"/>
      <c r="SW7" s="21"/>
      <c r="SX7" s="21"/>
      <c r="SY7" s="21"/>
      <c r="SZ7" s="21"/>
      <c r="TA7" s="21"/>
      <c r="TB7" s="21"/>
      <c r="TC7" s="21"/>
      <c r="TD7" s="21"/>
      <c r="TE7" s="21"/>
      <c r="TF7" s="21"/>
      <c r="TG7" s="21"/>
      <c r="TH7" s="21"/>
      <c r="TI7" s="21"/>
      <c r="TJ7" s="21"/>
      <c r="TK7" s="21"/>
      <c r="TL7" s="21"/>
      <c r="TM7" s="21"/>
      <c r="TN7" s="21"/>
      <c r="TO7" s="21"/>
      <c r="TP7" s="21"/>
      <c r="TQ7" s="21"/>
      <c r="TR7" s="21"/>
      <c r="TS7" s="21"/>
      <c r="TT7" s="21"/>
      <c r="TU7" s="21"/>
      <c r="TV7" s="21"/>
      <c r="TW7" s="21"/>
      <c r="TX7" s="21"/>
      <c r="TY7" s="21"/>
      <c r="TZ7" s="21"/>
      <c r="UA7" s="21"/>
      <c r="UB7" s="21"/>
      <c r="UC7" s="21"/>
      <c r="UD7" s="21"/>
      <c r="UE7" s="21"/>
      <c r="UF7" s="21"/>
      <c r="UG7" s="21"/>
      <c r="UH7" s="21"/>
      <c r="UI7" s="21"/>
      <c r="UJ7" s="21"/>
      <c r="UK7" s="21"/>
      <c r="UL7" s="21"/>
      <c r="UM7" s="21"/>
      <c r="UN7" s="21"/>
      <c r="UO7" s="21"/>
      <c r="UP7" s="21"/>
      <c r="UQ7" s="21"/>
      <c r="UR7" s="21"/>
      <c r="US7" s="21"/>
      <c r="UT7" s="21"/>
      <c r="UU7" s="21"/>
      <c r="UV7" s="21"/>
      <c r="UW7" s="21"/>
      <c r="UX7" s="21"/>
      <c r="UY7" s="21"/>
      <c r="UZ7" s="21"/>
      <c r="VA7" s="21"/>
      <c r="VB7" s="21"/>
      <c r="VC7" s="21"/>
      <c r="VD7" s="21"/>
      <c r="VE7" s="21"/>
      <c r="VF7" s="21"/>
      <c r="VG7" s="21"/>
      <c r="VH7" s="21"/>
      <c r="VI7" s="21"/>
      <c r="VJ7" s="21"/>
      <c r="VK7" s="21"/>
      <c r="VL7" s="21"/>
      <c r="VM7" s="21"/>
      <c r="VN7" s="21"/>
      <c r="VO7" s="21"/>
      <c r="VP7" s="21"/>
      <c r="VQ7" s="21"/>
      <c r="VR7" s="21"/>
      <c r="VS7" s="21"/>
      <c r="VT7" s="21"/>
      <c r="VU7" s="21"/>
      <c r="VV7" s="21"/>
      <c r="VW7" s="21"/>
      <c r="VX7" s="21"/>
      <c r="VY7" s="21"/>
      <c r="VZ7" s="21"/>
      <c r="WA7" s="21"/>
      <c r="WB7" s="21"/>
      <c r="WC7" s="21"/>
      <c r="WD7" s="21"/>
      <c r="WE7" s="21"/>
      <c r="WF7" s="21"/>
      <c r="WG7" s="21"/>
      <c r="WH7" s="21"/>
      <c r="WI7" s="21"/>
      <c r="WJ7" s="21"/>
      <c r="WK7" s="21"/>
      <c r="WL7" s="21"/>
      <c r="WM7" s="21"/>
      <c r="WN7" s="21"/>
      <c r="WO7" s="21"/>
      <c r="WP7" s="21"/>
      <c r="WQ7" s="21"/>
      <c r="WR7" s="21"/>
      <c r="WS7" s="21"/>
      <c r="WT7" s="21"/>
      <c r="WU7" s="21"/>
      <c r="WV7" s="21"/>
      <c r="WW7" s="21"/>
      <c r="WX7" s="21"/>
      <c r="WY7" s="21"/>
      <c r="WZ7" s="21"/>
      <c r="XA7" s="21"/>
      <c r="XB7" s="21"/>
      <c r="XC7" s="21"/>
      <c r="XD7" s="21"/>
      <c r="XE7" s="21"/>
      <c r="XF7" s="21"/>
      <c r="XG7" s="21"/>
      <c r="XH7" s="21"/>
      <c r="XI7" s="21"/>
      <c r="XJ7" s="21"/>
      <c r="XK7" s="21"/>
      <c r="XL7" s="21"/>
      <c r="XM7" s="21"/>
      <c r="XN7" s="21"/>
      <c r="XO7" s="21"/>
      <c r="XP7" s="21"/>
      <c r="XQ7" s="21"/>
      <c r="XR7" s="21"/>
      <c r="XS7" s="21"/>
      <c r="XT7" s="21"/>
      <c r="XU7" s="21"/>
      <c r="XV7" s="21"/>
      <c r="XW7" s="21"/>
      <c r="XX7" s="21"/>
      <c r="XY7" s="21"/>
      <c r="XZ7" s="21"/>
      <c r="YA7" s="21"/>
      <c r="YB7" s="21"/>
      <c r="YC7" s="21"/>
      <c r="YD7" s="21"/>
      <c r="YE7" s="21"/>
      <c r="YF7" s="21"/>
      <c r="YG7" s="21"/>
      <c r="YH7" s="21"/>
      <c r="YI7" s="21"/>
      <c r="YJ7" s="21"/>
      <c r="YK7" s="21"/>
      <c r="YL7" s="21"/>
      <c r="YM7" s="21"/>
      <c r="YN7" s="21"/>
      <c r="YO7" s="21"/>
      <c r="YP7" s="21"/>
      <c r="YQ7" s="21"/>
      <c r="YR7" s="21"/>
      <c r="YS7" s="21"/>
      <c r="YT7" s="21"/>
      <c r="YU7" s="21"/>
      <c r="YV7" s="21"/>
      <c r="YW7" s="21"/>
      <c r="YX7" s="21"/>
      <c r="YY7" s="21"/>
      <c r="YZ7" s="21"/>
      <c r="ZA7" s="21"/>
      <c r="ZB7" s="21"/>
      <c r="ZC7" s="21"/>
      <c r="ZD7" s="21"/>
      <c r="ZE7" s="21"/>
      <c r="ZF7" s="21"/>
      <c r="ZG7" s="21"/>
      <c r="ZH7" s="21"/>
      <c r="ZI7" s="21"/>
      <c r="ZJ7" s="21"/>
      <c r="ZK7" s="21"/>
      <c r="ZL7" s="21"/>
      <c r="ZM7" s="21"/>
      <c r="ZN7" s="21"/>
      <c r="ZO7" s="21"/>
      <c r="ZP7" s="21"/>
      <c r="ZQ7" s="21"/>
      <c r="ZR7" s="21"/>
      <c r="ZS7" s="21"/>
      <c r="ZT7" s="21"/>
      <c r="ZU7" s="21"/>
      <c r="ZV7" s="21"/>
      <c r="ZW7" s="21"/>
      <c r="ZX7" s="21"/>
      <c r="ZY7" s="21"/>
      <c r="ZZ7" s="21"/>
      <c r="AAA7" s="21"/>
      <c r="AAB7" s="21"/>
      <c r="AAC7" s="21"/>
      <c r="AAD7" s="21"/>
      <c r="AAE7" s="21"/>
      <c r="AAF7" s="21"/>
      <c r="AAG7" s="21"/>
      <c r="AAH7" s="21"/>
      <c r="AAI7" s="21"/>
      <c r="AAJ7" s="21"/>
      <c r="AAK7" s="21"/>
      <c r="AAL7" s="21"/>
      <c r="AAM7" s="21"/>
      <c r="AAN7" s="21"/>
      <c r="AAO7" s="21"/>
      <c r="AAP7" s="21"/>
      <c r="AAQ7" s="21"/>
      <c r="AAR7" s="21"/>
      <c r="AAS7" s="21"/>
      <c r="AAT7" s="21"/>
      <c r="AAU7" s="21"/>
      <c r="AAV7" s="21"/>
      <c r="AAW7" s="21"/>
      <c r="AAX7" s="21"/>
      <c r="AAY7" s="21"/>
      <c r="AAZ7" s="21"/>
      <c r="ABA7" s="21"/>
      <c r="ABB7" s="21"/>
      <c r="ABC7" s="21"/>
      <c r="ABD7" s="21"/>
      <c r="ABE7" s="21"/>
      <c r="ABF7" s="21"/>
      <c r="ABG7" s="21"/>
      <c r="ABH7" s="21"/>
      <c r="ABI7" s="21"/>
      <c r="ABJ7" s="21"/>
      <c r="ABK7" s="21"/>
      <c r="ABL7" s="21"/>
      <c r="ABM7" s="21"/>
      <c r="ABN7" s="21"/>
      <c r="ABO7" s="21"/>
      <c r="ABP7" s="21"/>
      <c r="ABQ7" s="21"/>
      <c r="ABR7" s="21"/>
      <c r="ABS7" s="21"/>
      <c r="ABT7" s="21"/>
      <c r="ABU7" s="21"/>
      <c r="ABV7" s="21"/>
      <c r="ABW7" s="21"/>
      <c r="ABX7" s="21"/>
      <c r="ABY7" s="21"/>
      <c r="ABZ7" s="21"/>
      <c r="ACA7" s="21"/>
      <c r="ACB7" s="21"/>
      <c r="ACC7" s="21"/>
      <c r="ACD7" s="21"/>
      <c r="ACE7" s="21"/>
      <c r="ACF7" s="21"/>
      <c r="ACG7" s="21"/>
      <c r="ACH7" s="21"/>
      <c r="ACI7" s="21"/>
      <c r="ACJ7" s="21"/>
      <c r="ACK7" s="21"/>
      <c r="ACL7" s="21"/>
      <c r="ACM7" s="21"/>
      <c r="ACN7" s="21"/>
      <c r="ACO7" s="21"/>
      <c r="ACP7" s="21"/>
      <c r="ACQ7" s="21"/>
      <c r="ACR7" s="21"/>
      <c r="ACS7" s="21"/>
      <c r="ACT7" s="21"/>
      <c r="ACU7" s="21"/>
      <c r="ACV7" s="21"/>
      <c r="ACW7" s="21"/>
      <c r="ACX7" s="21"/>
      <c r="ACY7" s="21"/>
      <c r="ACZ7" s="21"/>
      <c r="ADA7" s="21"/>
      <c r="ADB7" s="21"/>
      <c r="ADC7" s="21"/>
      <c r="ADD7" s="21"/>
      <c r="ADE7" s="21"/>
      <c r="ADF7" s="21"/>
      <c r="ADG7" s="21"/>
      <c r="ADH7" s="21"/>
      <c r="ADI7" s="21"/>
      <c r="ADJ7" s="21"/>
      <c r="ADK7" s="21"/>
      <c r="ADL7" s="21"/>
      <c r="ADM7" s="21"/>
      <c r="ADN7" s="21"/>
      <c r="ADO7" s="21"/>
      <c r="ADP7" s="21"/>
      <c r="ADQ7" s="21"/>
      <c r="ADR7" s="21"/>
      <c r="ADS7" s="21"/>
      <c r="ADT7" s="21"/>
      <c r="ADU7" s="21"/>
      <c r="ADV7" s="21"/>
      <c r="ADW7" s="21"/>
      <c r="ADX7" s="21"/>
      <c r="ADY7" s="21"/>
      <c r="ADZ7" s="21"/>
      <c r="AEA7" s="21"/>
      <c r="AEB7" s="21"/>
      <c r="AEC7" s="21"/>
      <c r="AED7" s="21"/>
      <c r="AEE7" s="21"/>
      <c r="AEF7" s="21"/>
      <c r="AEG7" s="21"/>
      <c r="AEH7" s="21"/>
      <c r="AEI7" s="21"/>
      <c r="AEJ7" s="21"/>
      <c r="AEK7" s="21"/>
      <c r="AEL7" s="21"/>
      <c r="AEM7" s="21"/>
      <c r="AEN7" s="21"/>
      <c r="AEO7" s="21"/>
      <c r="AEP7" s="21"/>
      <c r="AEQ7" s="21"/>
      <c r="AER7" s="21"/>
      <c r="AES7" s="21"/>
      <c r="AET7" s="21"/>
      <c r="AEU7" s="21"/>
      <c r="AEV7" s="21"/>
      <c r="AEW7" s="21"/>
      <c r="AEX7" s="21"/>
      <c r="AEY7" s="21"/>
      <c r="AEZ7" s="21"/>
      <c r="AFA7" s="21"/>
      <c r="AFB7" s="21"/>
      <c r="AFC7" s="21"/>
      <c r="AFD7" s="21"/>
      <c r="AFE7" s="21"/>
      <c r="AFF7" s="21"/>
      <c r="AFG7" s="21"/>
      <c r="AFH7" s="21"/>
      <c r="AFI7" s="21"/>
      <c r="AFJ7" s="21"/>
      <c r="AFK7" s="21"/>
      <c r="AFL7" s="21"/>
      <c r="AFM7" s="21"/>
      <c r="AFN7" s="21"/>
      <c r="AFO7" s="21"/>
      <c r="AFP7" s="21"/>
      <c r="AFQ7" s="21"/>
      <c r="AFR7" s="21"/>
      <c r="AFS7" s="21"/>
      <c r="AFT7" s="21"/>
      <c r="AFU7" s="21"/>
      <c r="AFV7" s="21"/>
      <c r="AFW7" s="21"/>
      <c r="AFX7" s="21"/>
      <c r="AFY7" s="21"/>
      <c r="AFZ7" s="21"/>
      <c r="AGA7" s="21"/>
      <c r="AGB7" s="21"/>
      <c r="AGC7" s="21"/>
      <c r="AGD7" s="21"/>
      <c r="AGE7" s="21"/>
      <c r="AGF7" s="21"/>
      <c r="AGG7" s="21"/>
      <c r="AGH7" s="21"/>
      <c r="AGI7" s="21"/>
      <c r="AGJ7" s="21"/>
      <c r="AGK7" s="21"/>
      <c r="AGL7" s="21"/>
      <c r="AGM7" s="21"/>
      <c r="AGN7" s="21"/>
      <c r="AGO7" s="21"/>
      <c r="AGP7" s="21"/>
      <c r="AGQ7" s="21"/>
      <c r="AGR7" s="21"/>
      <c r="AGS7" s="21"/>
    </row>
    <row r="8" spans="1:877" ht="13">
      <c r="A8" s="25"/>
      <c r="B8" s="25"/>
      <c r="C8" s="26" t="s">
        <v>18</v>
      </c>
      <c r="D8" s="21"/>
      <c r="E8" s="21"/>
      <c r="F8" s="27"/>
      <c r="G8" s="27">
        <f t="shared" ref="G8:CL8" si="2">G14+G22+G30+G38+G46+G54+G62</f>
        <v>0</v>
      </c>
      <c r="H8" s="27">
        <f t="shared" si="2"/>
        <v>0</v>
      </c>
      <c r="I8" s="27">
        <f t="shared" si="2"/>
        <v>0</v>
      </c>
      <c r="J8" s="27">
        <f t="shared" si="2"/>
        <v>0</v>
      </c>
      <c r="K8" s="27">
        <f t="shared" si="2"/>
        <v>0</v>
      </c>
      <c r="L8" s="27">
        <f t="shared" si="2"/>
        <v>0</v>
      </c>
      <c r="M8" s="27">
        <f t="shared" si="2"/>
        <v>0</v>
      </c>
      <c r="N8" s="27">
        <f t="shared" si="2"/>
        <v>0</v>
      </c>
      <c r="O8" s="27">
        <f t="shared" si="2"/>
        <v>0</v>
      </c>
      <c r="P8" s="27">
        <f t="shared" si="2"/>
        <v>0</v>
      </c>
      <c r="Q8" s="27">
        <f t="shared" si="2"/>
        <v>0</v>
      </c>
      <c r="R8" s="28">
        <f t="shared" si="2"/>
        <v>0</v>
      </c>
      <c r="S8" s="28">
        <f t="shared" si="2"/>
        <v>7500</v>
      </c>
      <c r="T8" s="28">
        <f t="shared" si="2"/>
        <v>7500</v>
      </c>
      <c r="U8" s="28">
        <f t="shared" si="2"/>
        <v>7500</v>
      </c>
      <c r="V8" s="28">
        <f t="shared" si="2"/>
        <v>7500</v>
      </c>
      <c r="W8" s="28">
        <f t="shared" si="2"/>
        <v>7500</v>
      </c>
      <c r="X8" s="28">
        <f t="shared" si="2"/>
        <v>7500</v>
      </c>
      <c r="Y8" s="28">
        <f t="shared" si="2"/>
        <v>37500</v>
      </c>
      <c r="Z8" s="28">
        <f t="shared" si="2"/>
        <v>37500</v>
      </c>
      <c r="AA8" s="28">
        <f t="shared" si="2"/>
        <v>37500</v>
      </c>
      <c r="AB8" s="28">
        <f t="shared" si="2"/>
        <v>37500</v>
      </c>
      <c r="AC8" s="28">
        <f t="shared" si="2"/>
        <v>37500</v>
      </c>
      <c r="AD8" s="28">
        <f t="shared" si="2"/>
        <v>37500</v>
      </c>
      <c r="AE8" s="28">
        <f t="shared" si="2"/>
        <v>75000</v>
      </c>
      <c r="AF8" s="28">
        <f t="shared" si="2"/>
        <v>75000</v>
      </c>
      <c r="AG8" s="28">
        <f t="shared" si="2"/>
        <v>75000</v>
      </c>
      <c r="AH8" s="28">
        <f t="shared" si="2"/>
        <v>75000</v>
      </c>
      <c r="AI8" s="28">
        <f t="shared" si="2"/>
        <v>75000</v>
      </c>
      <c r="AJ8" s="28">
        <f t="shared" si="2"/>
        <v>75000</v>
      </c>
      <c r="AK8" s="28">
        <f t="shared" si="2"/>
        <v>112500</v>
      </c>
      <c r="AL8" s="28">
        <f t="shared" si="2"/>
        <v>112500</v>
      </c>
      <c r="AM8" s="28">
        <f t="shared" si="2"/>
        <v>112500</v>
      </c>
      <c r="AN8" s="28">
        <f t="shared" si="2"/>
        <v>112500</v>
      </c>
      <c r="AO8" s="28">
        <f t="shared" si="2"/>
        <v>112500</v>
      </c>
      <c r="AP8" s="28">
        <f t="shared" si="2"/>
        <v>112500</v>
      </c>
      <c r="AQ8" s="28">
        <f t="shared" si="2"/>
        <v>225000</v>
      </c>
      <c r="AR8" s="28">
        <f t="shared" si="2"/>
        <v>225000</v>
      </c>
      <c r="AS8" s="28">
        <f t="shared" si="2"/>
        <v>225000</v>
      </c>
      <c r="AT8" s="28">
        <f t="shared" si="2"/>
        <v>225000</v>
      </c>
      <c r="AU8" s="28">
        <f t="shared" si="2"/>
        <v>225000</v>
      </c>
      <c r="AV8" s="28">
        <f t="shared" si="2"/>
        <v>225000</v>
      </c>
      <c r="AW8" s="28">
        <f t="shared" si="2"/>
        <v>225000</v>
      </c>
      <c r="AX8" s="28">
        <f t="shared" si="2"/>
        <v>225000</v>
      </c>
      <c r="AY8" s="28">
        <f t="shared" si="2"/>
        <v>225000</v>
      </c>
      <c r="AZ8" s="28">
        <f t="shared" si="2"/>
        <v>225000</v>
      </c>
      <c r="BA8" s="28">
        <f t="shared" si="2"/>
        <v>225000</v>
      </c>
      <c r="BB8" s="28">
        <f t="shared" si="2"/>
        <v>225000</v>
      </c>
      <c r="BC8" s="28">
        <f t="shared" si="2"/>
        <v>375000</v>
      </c>
      <c r="BD8" s="28">
        <f t="shared" si="2"/>
        <v>375000</v>
      </c>
      <c r="BE8" s="28">
        <f t="shared" si="2"/>
        <v>375000</v>
      </c>
      <c r="BF8" s="28">
        <f t="shared" si="2"/>
        <v>375000</v>
      </c>
      <c r="BG8" s="28">
        <f t="shared" si="2"/>
        <v>375000</v>
      </c>
      <c r="BH8" s="28">
        <f t="shared" si="2"/>
        <v>375000</v>
      </c>
      <c r="BI8" s="28">
        <f t="shared" si="2"/>
        <v>375000</v>
      </c>
      <c r="BJ8" s="28">
        <f t="shared" si="2"/>
        <v>375000</v>
      </c>
      <c r="BK8" s="28">
        <f t="shared" si="2"/>
        <v>375000</v>
      </c>
      <c r="BL8" s="28">
        <f t="shared" si="2"/>
        <v>375000</v>
      </c>
      <c r="BM8" s="28">
        <f t="shared" si="2"/>
        <v>375000</v>
      </c>
      <c r="BN8" s="28">
        <f t="shared" si="2"/>
        <v>375000</v>
      </c>
      <c r="BO8" s="28">
        <f t="shared" si="2"/>
        <v>675000</v>
      </c>
      <c r="BP8" s="28">
        <f t="shared" si="2"/>
        <v>675000</v>
      </c>
      <c r="BQ8" s="28">
        <f t="shared" si="2"/>
        <v>675000</v>
      </c>
      <c r="BR8" s="28">
        <f t="shared" si="2"/>
        <v>675000</v>
      </c>
      <c r="BS8" s="28">
        <f t="shared" si="2"/>
        <v>675000</v>
      </c>
      <c r="BT8" s="28">
        <f t="shared" si="2"/>
        <v>675000</v>
      </c>
      <c r="BU8" s="28">
        <f t="shared" si="2"/>
        <v>675000</v>
      </c>
      <c r="BV8" s="28">
        <f t="shared" si="2"/>
        <v>675000</v>
      </c>
      <c r="BW8" s="28">
        <f t="shared" si="2"/>
        <v>675000</v>
      </c>
      <c r="BX8" s="28">
        <f t="shared" si="2"/>
        <v>675000</v>
      </c>
      <c r="BY8" s="28">
        <f t="shared" si="2"/>
        <v>675000</v>
      </c>
      <c r="BZ8" s="28">
        <f t="shared" si="2"/>
        <v>675000</v>
      </c>
      <c r="CA8" s="28">
        <f t="shared" si="2"/>
        <v>900000</v>
      </c>
      <c r="CB8" s="28">
        <f t="shared" si="2"/>
        <v>900000</v>
      </c>
      <c r="CC8" s="28">
        <f t="shared" si="2"/>
        <v>900000</v>
      </c>
      <c r="CD8" s="28">
        <f t="shared" si="2"/>
        <v>900000</v>
      </c>
      <c r="CE8" s="28">
        <f t="shared" si="2"/>
        <v>900000</v>
      </c>
      <c r="CF8" s="28">
        <f t="shared" si="2"/>
        <v>900000</v>
      </c>
      <c r="CG8" s="28">
        <f t="shared" si="2"/>
        <v>900000</v>
      </c>
      <c r="CH8" s="28">
        <f t="shared" si="2"/>
        <v>900000</v>
      </c>
      <c r="CI8" s="28">
        <f t="shared" si="2"/>
        <v>900000</v>
      </c>
      <c r="CJ8" s="28">
        <f t="shared" si="2"/>
        <v>900000</v>
      </c>
      <c r="CK8" s="28">
        <f t="shared" si="2"/>
        <v>900000</v>
      </c>
      <c r="CL8" s="28">
        <f t="shared" si="2"/>
        <v>900000</v>
      </c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1"/>
      <c r="LU8" s="21"/>
      <c r="LV8" s="21"/>
      <c r="LW8" s="21"/>
      <c r="LX8" s="21"/>
      <c r="LY8" s="21"/>
      <c r="LZ8" s="21"/>
      <c r="MA8" s="21"/>
      <c r="MB8" s="21"/>
      <c r="MC8" s="21"/>
      <c r="MD8" s="21"/>
      <c r="ME8" s="21"/>
      <c r="MF8" s="21"/>
      <c r="MG8" s="21"/>
      <c r="MH8" s="21"/>
      <c r="MI8" s="21"/>
      <c r="MJ8" s="21"/>
      <c r="MK8" s="21"/>
      <c r="ML8" s="21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1"/>
      <c r="MZ8" s="21"/>
      <c r="NA8" s="21"/>
      <c r="NB8" s="21"/>
      <c r="NC8" s="21"/>
      <c r="ND8" s="21"/>
      <c r="NE8" s="21"/>
      <c r="NF8" s="21"/>
      <c r="NG8" s="21"/>
      <c r="NH8" s="21"/>
      <c r="NI8" s="21"/>
      <c r="NJ8" s="21"/>
      <c r="NK8" s="21"/>
      <c r="NL8" s="21"/>
      <c r="NM8" s="21"/>
      <c r="NN8" s="21"/>
      <c r="NO8" s="21"/>
      <c r="NP8" s="21"/>
      <c r="NQ8" s="21"/>
      <c r="NR8" s="21"/>
      <c r="NS8" s="21"/>
      <c r="NT8" s="21"/>
      <c r="NU8" s="21"/>
      <c r="NV8" s="21"/>
      <c r="NW8" s="21"/>
      <c r="NX8" s="21"/>
      <c r="NY8" s="21"/>
      <c r="NZ8" s="21"/>
      <c r="OA8" s="21"/>
      <c r="OB8" s="21"/>
      <c r="OC8" s="21"/>
      <c r="OD8" s="21"/>
      <c r="OE8" s="21"/>
      <c r="OF8" s="21"/>
      <c r="OG8" s="21"/>
      <c r="OH8" s="21"/>
      <c r="OI8" s="21"/>
      <c r="OJ8" s="21"/>
      <c r="OK8" s="21"/>
      <c r="OL8" s="21"/>
      <c r="OM8" s="21"/>
      <c r="ON8" s="21"/>
      <c r="OO8" s="21"/>
      <c r="OP8" s="21"/>
      <c r="OQ8" s="21"/>
      <c r="OR8" s="21"/>
      <c r="OS8" s="21"/>
      <c r="OT8" s="21"/>
      <c r="OU8" s="21"/>
      <c r="OV8" s="21"/>
      <c r="OW8" s="21"/>
      <c r="OX8" s="21"/>
      <c r="OY8" s="21"/>
      <c r="OZ8" s="21"/>
      <c r="PA8" s="21"/>
      <c r="PB8" s="21"/>
      <c r="PC8" s="21"/>
      <c r="PD8" s="21"/>
      <c r="PE8" s="21"/>
      <c r="PF8" s="21"/>
      <c r="PG8" s="21"/>
      <c r="PH8" s="21"/>
      <c r="PI8" s="21"/>
      <c r="PJ8" s="21"/>
      <c r="PK8" s="21"/>
      <c r="PL8" s="21"/>
      <c r="PM8" s="21"/>
      <c r="PN8" s="21"/>
      <c r="PO8" s="21"/>
      <c r="PP8" s="21"/>
      <c r="PQ8" s="21"/>
      <c r="PR8" s="21"/>
      <c r="PS8" s="21"/>
      <c r="PT8" s="21"/>
      <c r="PU8" s="21"/>
      <c r="PV8" s="21"/>
      <c r="PW8" s="21"/>
      <c r="PX8" s="21"/>
      <c r="PY8" s="21"/>
      <c r="PZ8" s="21"/>
      <c r="QA8" s="21"/>
      <c r="QB8" s="21"/>
      <c r="QC8" s="21"/>
      <c r="QD8" s="21"/>
      <c r="QE8" s="21"/>
      <c r="QF8" s="21"/>
      <c r="QG8" s="21"/>
      <c r="QH8" s="21"/>
      <c r="QI8" s="21"/>
      <c r="QJ8" s="21"/>
      <c r="QK8" s="21"/>
      <c r="QL8" s="21"/>
      <c r="QM8" s="21"/>
      <c r="QN8" s="21"/>
      <c r="QO8" s="21"/>
      <c r="QP8" s="21"/>
      <c r="QQ8" s="21"/>
      <c r="QR8" s="21"/>
      <c r="QS8" s="21"/>
      <c r="QT8" s="21"/>
      <c r="QU8" s="21"/>
      <c r="QV8" s="21"/>
      <c r="QW8" s="21"/>
      <c r="QX8" s="21"/>
      <c r="QY8" s="21"/>
      <c r="QZ8" s="21"/>
      <c r="RA8" s="21"/>
      <c r="RB8" s="21"/>
      <c r="RC8" s="21"/>
      <c r="RD8" s="21"/>
      <c r="RE8" s="21"/>
      <c r="RF8" s="21"/>
      <c r="RG8" s="21"/>
      <c r="RH8" s="21"/>
      <c r="RI8" s="21"/>
      <c r="RJ8" s="21"/>
      <c r="RK8" s="21"/>
      <c r="RL8" s="21"/>
      <c r="RM8" s="21"/>
      <c r="RN8" s="21"/>
      <c r="RO8" s="21"/>
      <c r="RP8" s="21"/>
      <c r="RQ8" s="21"/>
      <c r="RR8" s="21"/>
      <c r="RS8" s="21"/>
      <c r="RT8" s="21"/>
      <c r="RU8" s="21"/>
      <c r="RV8" s="21"/>
      <c r="RW8" s="21"/>
      <c r="RX8" s="21"/>
      <c r="RY8" s="21"/>
      <c r="RZ8" s="21"/>
      <c r="SA8" s="21"/>
      <c r="SB8" s="21"/>
      <c r="SC8" s="21"/>
      <c r="SD8" s="21"/>
      <c r="SE8" s="21"/>
      <c r="SF8" s="21"/>
      <c r="SG8" s="21"/>
      <c r="SH8" s="21"/>
      <c r="SI8" s="21"/>
      <c r="SJ8" s="21"/>
      <c r="SK8" s="21"/>
      <c r="SL8" s="21"/>
      <c r="SM8" s="21"/>
      <c r="SN8" s="21"/>
      <c r="SO8" s="21"/>
      <c r="SP8" s="21"/>
      <c r="SQ8" s="21"/>
      <c r="SR8" s="21"/>
      <c r="SS8" s="21"/>
      <c r="ST8" s="21"/>
      <c r="SU8" s="21"/>
      <c r="SV8" s="21"/>
      <c r="SW8" s="21"/>
      <c r="SX8" s="21"/>
      <c r="SY8" s="21"/>
      <c r="SZ8" s="21"/>
      <c r="TA8" s="21"/>
      <c r="TB8" s="21"/>
      <c r="TC8" s="21"/>
      <c r="TD8" s="21"/>
      <c r="TE8" s="21"/>
      <c r="TF8" s="21"/>
      <c r="TG8" s="21"/>
      <c r="TH8" s="21"/>
      <c r="TI8" s="21"/>
      <c r="TJ8" s="21"/>
      <c r="TK8" s="21"/>
      <c r="TL8" s="21"/>
      <c r="TM8" s="21"/>
      <c r="TN8" s="21"/>
      <c r="TO8" s="21"/>
      <c r="TP8" s="21"/>
      <c r="TQ8" s="21"/>
      <c r="TR8" s="21"/>
      <c r="TS8" s="21"/>
      <c r="TT8" s="21"/>
      <c r="TU8" s="21"/>
      <c r="TV8" s="21"/>
      <c r="TW8" s="21"/>
      <c r="TX8" s="21"/>
      <c r="TY8" s="21"/>
      <c r="TZ8" s="21"/>
      <c r="UA8" s="21"/>
      <c r="UB8" s="21"/>
      <c r="UC8" s="21"/>
      <c r="UD8" s="21"/>
      <c r="UE8" s="21"/>
      <c r="UF8" s="21"/>
      <c r="UG8" s="21"/>
      <c r="UH8" s="21"/>
      <c r="UI8" s="21"/>
      <c r="UJ8" s="21"/>
      <c r="UK8" s="21"/>
      <c r="UL8" s="21"/>
      <c r="UM8" s="21"/>
      <c r="UN8" s="21"/>
      <c r="UO8" s="21"/>
      <c r="UP8" s="21"/>
      <c r="UQ8" s="21"/>
      <c r="UR8" s="21"/>
      <c r="US8" s="21"/>
      <c r="UT8" s="21"/>
      <c r="UU8" s="21"/>
      <c r="UV8" s="21"/>
      <c r="UW8" s="21"/>
      <c r="UX8" s="21"/>
      <c r="UY8" s="21"/>
      <c r="UZ8" s="21"/>
      <c r="VA8" s="21"/>
      <c r="VB8" s="21"/>
      <c r="VC8" s="21"/>
      <c r="VD8" s="21"/>
      <c r="VE8" s="21"/>
      <c r="VF8" s="21"/>
      <c r="VG8" s="21"/>
      <c r="VH8" s="21"/>
      <c r="VI8" s="21"/>
      <c r="VJ8" s="21"/>
      <c r="VK8" s="21"/>
      <c r="VL8" s="21"/>
      <c r="VM8" s="21"/>
      <c r="VN8" s="21"/>
      <c r="VO8" s="21"/>
      <c r="VP8" s="21"/>
      <c r="VQ8" s="21"/>
      <c r="VR8" s="21"/>
      <c r="VS8" s="21"/>
      <c r="VT8" s="21"/>
      <c r="VU8" s="21"/>
      <c r="VV8" s="21"/>
      <c r="VW8" s="21"/>
      <c r="VX8" s="21"/>
      <c r="VY8" s="21"/>
      <c r="VZ8" s="21"/>
      <c r="WA8" s="21"/>
      <c r="WB8" s="21"/>
      <c r="WC8" s="21"/>
      <c r="WD8" s="21"/>
      <c r="WE8" s="21"/>
      <c r="WF8" s="21"/>
      <c r="WG8" s="21"/>
      <c r="WH8" s="21"/>
      <c r="WI8" s="21"/>
      <c r="WJ8" s="21"/>
      <c r="WK8" s="21"/>
      <c r="WL8" s="21"/>
      <c r="WM8" s="21"/>
      <c r="WN8" s="21"/>
      <c r="WO8" s="21"/>
      <c r="WP8" s="21"/>
      <c r="WQ8" s="21"/>
      <c r="WR8" s="21"/>
      <c r="WS8" s="21"/>
      <c r="WT8" s="21"/>
      <c r="WU8" s="21"/>
      <c r="WV8" s="21"/>
      <c r="WW8" s="21"/>
      <c r="WX8" s="21"/>
      <c r="WY8" s="21"/>
      <c r="WZ8" s="21"/>
      <c r="XA8" s="21"/>
      <c r="XB8" s="21"/>
      <c r="XC8" s="21"/>
      <c r="XD8" s="21"/>
      <c r="XE8" s="21"/>
      <c r="XF8" s="21"/>
      <c r="XG8" s="21"/>
      <c r="XH8" s="21"/>
      <c r="XI8" s="21"/>
      <c r="XJ8" s="21"/>
      <c r="XK8" s="21"/>
      <c r="XL8" s="21"/>
      <c r="XM8" s="21"/>
      <c r="XN8" s="21"/>
      <c r="XO8" s="21"/>
      <c r="XP8" s="21"/>
      <c r="XQ8" s="21"/>
      <c r="XR8" s="21"/>
      <c r="XS8" s="21"/>
      <c r="XT8" s="21"/>
      <c r="XU8" s="21"/>
      <c r="XV8" s="21"/>
      <c r="XW8" s="21"/>
      <c r="XX8" s="21"/>
      <c r="XY8" s="21"/>
      <c r="XZ8" s="21"/>
      <c r="YA8" s="21"/>
      <c r="YB8" s="21"/>
      <c r="YC8" s="21"/>
      <c r="YD8" s="21"/>
      <c r="YE8" s="21"/>
      <c r="YF8" s="21"/>
      <c r="YG8" s="21"/>
      <c r="YH8" s="21"/>
      <c r="YI8" s="21"/>
      <c r="YJ8" s="21"/>
      <c r="YK8" s="21"/>
      <c r="YL8" s="21"/>
      <c r="YM8" s="21"/>
      <c r="YN8" s="21"/>
      <c r="YO8" s="21"/>
      <c r="YP8" s="21"/>
      <c r="YQ8" s="21"/>
      <c r="YR8" s="21"/>
      <c r="YS8" s="21"/>
      <c r="YT8" s="21"/>
      <c r="YU8" s="21"/>
      <c r="YV8" s="21"/>
      <c r="YW8" s="21"/>
      <c r="YX8" s="21"/>
      <c r="YY8" s="21"/>
      <c r="YZ8" s="21"/>
      <c r="ZA8" s="21"/>
      <c r="ZB8" s="21"/>
      <c r="ZC8" s="21"/>
      <c r="ZD8" s="21"/>
      <c r="ZE8" s="21"/>
      <c r="ZF8" s="21"/>
      <c r="ZG8" s="21"/>
      <c r="ZH8" s="21"/>
      <c r="ZI8" s="21"/>
      <c r="ZJ8" s="21"/>
      <c r="ZK8" s="21"/>
      <c r="ZL8" s="21"/>
      <c r="ZM8" s="21"/>
      <c r="ZN8" s="21"/>
      <c r="ZO8" s="21"/>
      <c r="ZP8" s="21"/>
      <c r="ZQ8" s="21"/>
      <c r="ZR8" s="21"/>
      <c r="ZS8" s="21"/>
      <c r="ZT8" s="21"/>
      <c r="ZU8" s="21"/>
      <c r="ZV8" s="21"/>
      <c r="ZW8" s="21"/>
      <c r="ZX8" s="21"/>
      <c r="ZY8" s="21"/>
      <c r="ZZ8" s="21"/>
      <c r="AAA8" s="21"/>
      <c r="AAB8" s="21"/>
      <c r="AAC8" s="21"/>
      <c r="AAD8" s="21"/>
      <c r="AAE8" s="21"/>
      <c r="AAF8" s="21"/>
      <c r="AAG8" s="21"/>
      <c r="AAH8" s="21"/>
      <c r="AAI8" s="21"/>
      <c r="AAJ8" s="21"/>
      <c r="AAK8" s="21"/>
      <c r="AAL8" s="21"/>
      <c r="AAM8" s="21"/>
      <c r="AAN8" s="21"/>
      <c r="AAO8" s="21"/>
      <c r="AAP8" s="21"/>
      <c r="AAQ8" s="21"/>
      <c r="AAR8" s="21"/>
      <c r="AAS8" s="21"/>
      <c r="AAT8" s="21"/>
      <c r="AAU8" s="21"/>
      <c r="AAV8" s="21"/>
      <c r="AAW8" s="21"/>
      <c r="AAX8" s="21"/>
      <c r="AAY8" s="21"/>
      <c r="AAZ8" s="21"/>
      <c r="ABA8" s="21"/>
      <c r="ABB8" s="21"/>
      <c r="ABC8" s="21"/>
      <c r="ABD8" s="21"/>
      <c r="ABE8" s="21"/>
      <c r="ABF8" s="21"/>
      <c r="ABG8" s="21"/>
      <c r="ABH8" s="21"/>
      <c r="ABI8" s="21"/>
      <c r="ABJ8" s="21"/>
      <c r="ABK8" s="21"/>
      <c r="ABL8" s="21"/>
      <c r="ABM8" s="21"/>
      <c r="ABN8" s="21"/>
      <c r="ABO8" s="21"/>
      <c r="ABP8" s="21"/>
      <c r="ABQ8" s="21"/>
      <c r="ABR8" s="21"/>
      <c r="ABS8" s="21"/>
      <c r="ABT8" s="21"/>
      <c r="ABU8" s="21"/>
      <c r="ABV8" s="21"/>
      <c r="ABW8" s="21"/>
      <c r="ABX8" s="21"/>
      <c r="ABY8" s="21"/>
      <c r="ABZ8" s="21"/>
      <c r="ACA8" s="21"/>
      <c r="ACB8" s="21"/>
      <c r="ACC8" s="21"/>
      <c r="ACD8" s="21"/>
      <c r="ACE8" s="21"/>
      <c r="ACF8" s="21"/>
      <c r="ACG8" s="21"/>
      <c r="ACH8" s="21"/>
      <c r="ACI8" s="21"/>
      <c r="ACJ8" s="21"/>
      <c r="ACK8" s="21"/>
      <c r="ACL8" s="21"/>
      <c r="ACM8" s="21"/>
      <c r="ACN8" s="21"/>
      <c r="ACO8" s="21"/>
      <c r="ACP8" s="21"/>
      <c r="ACQ8" s="21"/>
      <c r="ACR8" s="21"/>
      <c r="ACS8" s="21"/>
      <c r="ACT8" s="21"/>
      <c r="ACU8" s="21"/>
      <c r="ACV8" s="21"/>
      <c r="ACW8" s="21"/>
      <c r="ACX8" s="21"/>
      <c r="ACY8" s="21"/>
      <c r="ACZ8" s="21"/>
      <c r="ADA8" s="21"/>
      <c r="ADB8" s="21"/>
      <c r="ADC8" s="21"/>
      <c r="ADD8" s="21"/>
      <c r="ADE8" s="21"/>
      <c r="ADF8" s="21"/>
      <c r="ADG8" s="21"/>
      <c r="ADH8" s="21"/>
      <c r="ADI8" s="21"/>
      <c r="ADJ8" s="21"/>
      <c r="ADK8" s="21"/>
      <c r="ADL8" s="21"/>
      <c r="ADM8" s="21"/>
      <c r="ADN8" s="21"/>
      <c r="ADO8" s="21"/>
      <c r="ADP8" s="21"/>
      <c r="ADQ8" s="21"/>
      <c r="ADR8" s="21"/>
      <c r="ADS8" s="21"/>
      <c r="ADT8" s="21"/>
      <c r="ADU8" s="21"/>
      <c r="ADV8" s="21"/>
      <c r="ADW8" s="21"/>
      <c r="ADX8" s="21"/>
      <c r="ADY8" s="21"/>
      <c r="ADZ8" s="21"/>
      <c r="AEA8" s="21"/>
      <c r="AEB8" s="21"/>
      <c r="AEC8" s="21"/>
      <c r="AED8" s="21"/>
      <c r="AEE8" s="21"/>
      <c r="AEF8" s="21"/>
      <c r="AEG8" s="21"/>
      <c r="AEH8" s="21"/>
      <c r="AEI8" s="21"/>
      <c r="AEJ8" s="21"/>
      <c r="AEK8" s="21"/>
      <c r="AEL8" s="21"/>
      <c r="AEM8" s="21"/>
      <c r="AEN8" s="21"/>
      <c r="AEO8" s="21"/>
      <c r="AEP8" s="21"/>
      <c r="AEQ8" s="21"/>
      <c r="AER8" s="21"/>
      <c r="AES8" s="21"/>
      <c r="AET8" s="21"/>
      <c r="AEU8" s="21"/>
      <c r="AEV8" s="21"/>
      <c r="AEW8" s="21"/>
      <c r="AEX8" s="21"/>
      <c r="AEY8" s="21"/>
      <c r="AEZ8" s="21"/>
      <c r="AFA8" s="21"/>
      <c r="AFB8" s="21"/>
      <c r="AFC8" s="21"/>
      <c r="AFD8" s="21"/>
      <c r="AFE8" s="21"/>
      <c r="AFF8" s="21"/>
      <c r="AFG8" s="21"/>
      <c r="AFH8" s="21"/>
      <c r="AFI8" s="21"/>
      <c r="AFJ8" s="21"/>
      <c r="AFK8" s="21"/>
      <c r="AFL8" s="21"/>
      <c r="AFM8" s="21"/>
      <c r="AFN8" s="21"/>
      <c r="AFO8" s="21"/>
      <c r="AFP8" s="21"/>
      <c r="AFQ8" s="21"/>
      <c r="AFR8" s="21"/>
      <c r="AFS8" s="21"/>
      <c r="AFT8" s="21"/>
      <c r="AFU8" s="21"/>
      <c r="AFV8" s="21"/>
      <c r="AFW8" s="21"/>
      <c r="AFX8" s="21"/>
      <c r="AFY8" s="21"/>
      <c r="AFZ8" s="21"/>
      <c r="AGA8" s="21"/>
      <c r="AGB8" s="21"/>
      <c r="AGC8" s="21"/>
      <c r="AGD8" s="21"/>
      <c r="AGE8" s="21"/>
      <c r="AGF8" s="21"/>
      <c r="AGG8" s="21"/>
      <c r="AGH8" s="21"/>
      <c r="AGI8" s="21"/>
      <c r="AGJ8" s="21"/>
      <c r="AGK8" s="21"/>
      <c r="AGL8" s="21"/>
      <c r="AGM8" s="21"/>
      <c r="AGN8" s="21"/>
      <c r="AGO8" s="21"/>
      <c r="AGP8" s="21"/>
      <c r="AGQ8" s="21"/>
      <c r="AGR8" s="21"/>
      <c r="AGS8" s="21"/>
    </row>
    <row r="9" spans="1:877" ht="13">
      <c r="A9" s="25"/>
      <c r="B9" s="25"/>
      <c r="C9" s="33" t="s">
        <v>19</v>
      </c>
      <c r="D9" s="34"/>
      <c r="E9" s="34"/>
      <c r="F9" s="35"/>
      <c r="G9" s="35">
        <f t="shared" ref="G9:CL9" si="3">(G17+G25+G33+G41+G49+G57+G65)-G7</f>
        <v>-370833.33333333337</v>
      </c>
      <c r="H9" s="35">
        <f t="shared" si="3"/>
        <v>-370833.33333333337</v>
      </c>
      <c r="I9" s="35">
        <f t="shared" si="3"/>
        <v>-370833.33333333337</v>
      </c>
      <c r="J9" s="35">
        <f t="shared" si="3"/>
        <v>-370833.33333333337</v>
      </c>
      <c r="K9" s="35">
        <f t="shared" si="3"/>
        <v>-370833.33333333337</v>
      </c>
      <c r="L9" s="35">
        <f t="shared" si="3"/>
        <v>-370833.33333333337</v>
      </c>
      <c r="M9" s="35">
        <f t="shared" si="3"/>
        <v>-370833.33333333337</v>
      </c>
      <c r="N9" s="35">
        <f t="shared" si="3"/>
        <v>-370833.33333333337</v>
      </c>
      <c r="O9" s="35">
        <f t="shared" si="3"/>
        <v>-370833.33333333337</v>
      </c>
      <c r="P9" s="35">
        <f t="shared" si="3"/>
        <v>-370833.33333333337</v>
      </c>
      <c r="Q9" s="35">
        <f t="shared" si="3"/>
        <v>-370833.33333333337</v>
      </c>
      <c r="R9" s="35">
        <f t="shared" si="3"/>
        <v>-370833.33333333337</v>
      </c>
      <c r="S9" s="35">
        <f t="shared" si="3"/>
        <v>-401418.67982456135</v>
      </c>
      <c r="T9" s="35">
        <f t="shared" si="3"/>
        <v>-401418.67982456135</v>
      </c>
      <c r="U9" s="35">
        <f t="shared" si="3"/>
        <v>-401418.67982456135</v>
      </c>
      <c r="V9" s="35">
        <f t="shared" si="3"/>
        <v>-401418.67982456135</v>
      </c>
      <c r="W9" s="35">
        <f t="shared" si="3"/>
        <v>-401418.67982456135</v>
      </c>
      <c r="X9" s="35">
        <f t="shared" si="3"/>
        <v>-401418.67982456135</v>
      </c>
      <c r="Y9" s="35">
        <f t="shared" si="3"/>
        <v>269985.26754385966</v>
      </c>
      <c r="Z9" s="35">
        <f t="shared" si="3"/>
        <v>269985.26754385966</v>
      </c>
      <c r="AA9" s="35">
        <f t="shared" si="3"/>
        <v>269985.26754385966</v>
      </c>
      <c r="AB9" s="35">
        <f t="shared" si="3"/>
        <v>269985.26754385966</v>
      </c>
      <c r="AC9" s="35">
        <f t="shared" si="3"/>
        <v>269985.26754385966</v>
      </c>
      <c r="AD9" s="35">
        <f t="shared" si="3"/>
        <v>269985.26754385966</v>
      </c>
      <c r="AE9" s="35">
        <f t="shared" si="3"/>
        <v>471964.76457489864</v>
      </c>
      <c r="AF9" s="35">
        <f t="shared" si="3"/>
        <v>471964.76457489864</v>
      </c>
      <c r="AG9" s="35">
        <f t="shared" si="3"/>
        <v>471964.76457489864</v>
      </c>
      <c r="AH9" s="35">
        <f t="shared" si="3"/>
        <v>471964.76457489864</v>
      </c>
      <c r="AI9" s="35">
        <f t="shared" si="3"/>
        <v>471964.76457489864</v>
      </c>
      <c r="AJ9" s="35">
        <f t="shared" si="3"/>
        <v>471964.76457489864</v>
      </c>
      <c r="AK9" s="35">
        <f t="shared" si="3"/>
        <v>1311219.6987854249</v>
      </c>
      <c r="AL9" s="35">
        <f t="shared" si="3"/>
        <v>1311219.6987854249</v>
      </c>
      <c r="AM9" s="35">
        <f t="shared" si="3"/>
        <v>1311219.6987854249</v>
      </c>
      <c r="AN9" s="35">
        <f t="shared" si="3"/>
        <v>1311219.6987854249</v>
      </c>
      <c r="AO9" s="35">
        <f t="shared" si="3"/>
        <v>1311219.6987854249</v>
      </c>
      <c r="AP9" s="35">
        <f t="shared" si="3"/>
        <v>1311219.6987854249</v>
      </c>
      <c r="AQ9" s="35">
        <f t="shared" si="3"/>
        <v>3586560.6253089439</v>
      </c>
      <c r="AR9" s="35">
        <f t="shared" si="3"/>
        <v>3586560.6253089439</v>
      </c>
      <c r="AS9" s="35">
        <f t="shared" si="3"/>
        <v>3586560.6253089439</v>
      </c>
      <c r="AT9" s="35">
        <f t="shared" si="3"/>
        <v>3586560.6253089439</v>
      </c>
      <c r="AU9" s="35">
        <f t="shared" si="3"/>
        <v>3586560.6253089439</v>
      </c>
      <c r="AV9" s="35">
        <f t="shared" si="3"/>
        <v>3586560.6253089439</v>
      </c>
      <c r="AW9" s="35">
        <f t="shared" si="3"/>
        <v>3586560.6253089439</v>
      </c>
      <c r="AX9" s="35">
        <f t="shared" si="3"/>
        <v>3586560.6253089439</v>
      </c>
      <c r="AY9" s="35">
        <f t="shared" si="3"/>
        <v>3586560.6253089439</v>
      </c>
      <c r="AZ9" s="35">
        <f t="shared" si="3"/>
        <v>3586560.6253089439</v>
      </c>
      <c r="BA9" s="35">
        <f t="shared" si="3"/>
        <v>3586560.6253089439</v>
      </c>
      <c r="BB9" s="35">
        <f t="shared" si="3"/>
        <v>3586560.6253089439</v>
      </c>
      <c r="BC9" s="35">
        <f t="shared" si="3"/>
        <v>5368201.6095260493</v>
      </c>
      <c r="BD9" s="35">
        <f t="shared" si="3"/>
        <v>5368201.6095260493</v>
      </c>
      <c r="BE9" s="35">
        <f t="shared" si="3"/>
        <v>5368201.6095260493</v>
      </c>
      <c r="BF9" s="35">
        <f t="shared" si="3"/>
        <v>5368201.6095260493</v>
      </c>
      <c r="BG9" s="35">
        <f t="shared" si="3"/>
        <v>5368201.6095260493</v>
      </c>
      <c r="BH9" s="35">
        <f t="shared" si="3"/>
        <v>5368201.6095260493</v>
      </c>
      <c r="BI9" s="35">
        <f t="shared" si="3"/>
        <v>5368201.6095260493</v>
      </c>
      <c r="BJ9" s="35">
        <f t="shared" si="3"/>
        <v>5368201.6095260493</v>
      </c>
      <c r="BK9" s="35">
        <f t="shared" si="3"/>
        <v>5368201.6095260493</v>
      </c>
      <c r="BL9" s="35">
        <f t="shared" si="3"/>
        <v>5368201.6095260493</v>
      </c>
      <c r="BM9" s="35">
        <f t="shared" si="3"/>
        <v>5368201.6095260493</v>
      </c>
      <c r="BN9" s="35">
        <f t="shared" si="3"/>
        <v>5368201.6095260493</v>
      </c>
      <c r="BO9" s="35">
        <f t="shared" si="3"/>
        <v>13011700.012960261</v>
      </c>
      <c r="BP9" s="35">
        <f t="shared" si="3"/>
        <v>13011700.012960261</v>
      </c>
      <c r="BQ9" s="35">
        <f t="shared" si="3"/>
        <v>13011700.012960261</v>
      </c>
      <c r="BR9" s="35">
        <f t="shared" si="3"/>
        <v>13011700.012960261</v>
      </c>
      <c r="BS9" s="35">
        <f t="shared" si="3"/>
        <v>13011700.012960261</v>
      </c>
      <c r="BT9" s="35">
        <f t="shared" si="3"/>
        <v>13011700.012960261</v>
      </c>
      <c r="BU9" s="35">
        <f t="shared" si="3"/>
        <v>13011700.012960261</v>
      </c>
      <c r="BV9" s="35">
        <f t="shared" si="3"/>
        <v>13011700.012960261</v>
      </c>
      <c r="BW9" s="35">
        <f t="shared" si="3"/>
        <v>13011700.012960261</v>
      </c>
      <c r="BX9" s="35">
        <f t="shared" si="3"/>
        <v>13011700.012960261</v>
      </c>
      <c r="BY9" s="35">
        <f t="shared" si="3"/>
        <v>13011700.012960261</v>
      </c>
      <c r="BZ9" s="35">
        <f t="shared" si="3"/>
        <v>13011700.012960261</v>
      </c>
      <c r="CA9" s="35">
        <f t="shared" si="3"/>
        <v>18684966.577973414</v>
      </c>
      <c r="CB9" s="35">
        <f t="shared" si="3"/>
        <v>18684966.577973414</v>
      </c>
      <c r="CC9" s="35">
        <f t="shared" si="3"/>
        <v>18684966.577973414</v>
      </c>
      <c r="CD9" s="35">
        <f t="shared" si="3"/>
        <v>18684966.577973414</v>
      </c>
      <c r="CE9" s="35">
        <f t="shared" si="3"/>
        <v>18684966.577973414</v>
      </c>
      <c r="CF9" s="35">
        <f t="shared" si="3"/>
        <v>18684966.577973414</v>
      </c>
      <c r="CG9" s="35">
        <f t="shared" si="3"/>
        <v>18684966.577973414</v>
      </c>
      <c r="CH9" s="35">
        <f t="shared" si="3"/>
        <v>18684966.577973414</v>
      </c>
      <c r="CI9" s="35">
        <f t="shared" si="3"/>
        <v>18684966.577973414</v>
      </c>
      <c r="CJ9" s="35">
        <f t="shared" si="3"/>
        <v>18684966.577973414</v>
      </c>
      <c r="CK9" s="35">
        <f t="shared" si="3"/>
        <v>18684966.577973414</v>
      </c>
      <c r="CL9" s="35">
        <f t="shared" si="3"/>
        <v>18684966.577973414</v>
      </c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  <c r="KJ9" s="21"/>
      <c r="KK9" s="21"/>
      <c r="KL9" s="21"/>
      <c r="KM9" s="21"/>
      <c r="KN9" s="21"/>
      <c r="KO9" s="21"/>
      <c r="KP9" s="21"/>
      <c r="KQ9" s="21"/>
      <c r="KR9" s="21"/>
      <c r="KS9" s="21"/>
      <c r="KT9" s="21"/>
      <c r="KU9" s="21"/>
      <c r="KV9" s="21"/>
      <c r="KW9" s="21"/>
      <c r="KX9" s="21"/>
      <c r="KY9" s="21"/>
      <c r="KZ9" s="21"/>
      <c r="LA9" s="21"/>
      <c r="LB9" s="21"/>
      <c r="LC9" s="21"/>
      <c r="LD9" s="21"/>
      <c r="LE9" s="21"/>
      <c r="LF9" s="21"/>
      <c r="LG9" s="21"/>
      <c r="LH9" s="21"/>
      <c r="LI9" s="21"/>
      <c r="LJ9" s="21"/>
      <c r="LK9" s="21"/>
      <c r="LL9" s="21"/>
      <c r="LM9" s="21"/>
      <c r="LN9" s="21"/>
      <c r="LO9" s="21"/>
      <c r="LP9" s="21"/>
      <c r="LQ9" s="21"/>
      <c r="LR9" s="21"/>
      <c r="LS9" s="21"/>
      <c r="LT9" s="21"/>
      <c r="LU9" s="21"/>
      <c r="LV9" s="21"/>
      <c r="LW9" s="21"/>
      <c r="LX9" s="21"/>
      <c r="LY9" s="21"/>
      <c r="LZ9" s="21"/>
      <c r="MA9" s="21"/>
      <c r="MB9" s="21"/>
      <c r="MC9" s="21"/>
      <c r="MD9" s="21"/>
      <c r="ME9" s="21"/>
      <c r="MF9" s="21"/>
      <c r="MG9" s="21"/>
      <c r="MH9" s="21"/>
      <c r="MI9" s="21"/>
      <c r="MJ9" s="21"/>
      <c r="MK9" s="21"/>
      <c r="ML9" s="21"/>
      <c r="MM9" s="21"/>
      <c r="MN9" s="21"/>
      <c r="MO9" s="21"/>
      <c r="MP9" s="21"/>
      <c r="MQ9" s="21"/>
      <c r="MR9" s="21"/>
      <c r="MS9" s="21"/>
      <c r="MT9" s="21"/>
      <c r="MU9" s="21"/>
      <c r="MV9" s="21"/>
      <c r="MW9" s="21"/>
      <c r="MX9" s="21"/>
      <c r="MY9" s="21"/>
      <c r="MZ9" s="21"/>
      <c r="NA9" s="21"/>
      <c r="NB9" s="21"/>
      <c r="NC9" s="21"/>
      <c r="ND9" s="21"/>
      <c r="NE9" s="21"/>
      <c r="NF9" s="21"/>
      <c r="NG9" s="21"/>
      <c r="NH9" s="21"/>
      <c r="NI9" s="21"/>
      <c r="NJ9" s="21"/>
      <c r="NK9" s="21"/>
      <c r="NL9" s="21"/>
      <c r="NM9" s="21"/>
      <c r="NN9" s="21"/>
      <c r="NO9" s="21"/>
      <c r="NP9" s="21"/>
      <c r="NQ9" s="21"/>
      <c r="NR9" s="21"/>
      <c r="NS9" s="21"/>
      <c r="NT9" s="21"/>
      <c r="NU9" s="21"/>
      <c r="NV9" s="21"/>
      <c r="NW9" s="21"/>
      <c r="NX9" s="21"/>
      <c r="NY9" s="21"/>
      <c r="NZ9" s="21"/>
      <c r="OA9" s="21"/>
      <c r="OB9" s="21"/>
      <c r="OC9" s="21"/>
      <c r="OD9" s="21"/>
      <c r="OE9" s="21"/>
      <c r="OF9" s="21"/>
      <c r="OG9" s="21"/>
      <c r="OH9" s="21"/>
      <c r="OI9" s="21"/>
      <c r="OJ9" s="21"/>
      <c r="OK9" s="21"/>
      <c r="OL9" s="21"/>
      <c r="OM9" s="21"/>
      <c r="ON9" s="21"/>
      <c r="OO9" s="21"/>
      <c r="OP9" s="21"/>
      <c r="OQ9" s="21"/>
      <c r="OR9" s="21"/>
      <c r="OS9" s="21"/>
      <c r="OT9" s="21"/>
      <c r="OU9" s="21"/>
      <c r="OV9" s="21"/>
      <c r="OW9" s="21"/>
      <c r="OX9" s="21"/>
      <c r="OY9" s="21"/>
      <c r="OZ9" s="21"/>
      <c r="PA9" s="21"/>
      <c r="PB9" s="21"/>
      <c r="PC9" s="21"/>
      <c r="PD9" s="21"/>
      <c r="PE9" s="21"/>
      <c r="PF9" s="21"/>
      <c r="PG9" s="21"/>
      <c r="PH9" s="21"/>
      <c r="PI9" s="21"/>
      <c r="PJ9" s="21"/>
      <c r="PK9" s="21"/>
      <c r="PL9" s="21"/>
      <c r="PM9" s="21"/>
      <c r="PN9" s="21"/>
      <c r="PO9" s="21"/>
      <c r="PP9" s="21"/>
      <c r="PQ9" s="21"/>
      <c r="PR9" s="21"/>
      <c r="PS9" s="21"/>
      <c r="PT9" s="21"/>
      <c r="PU9" s="21"/>
      <c r="PV9" s="21"/>
      <c r="PW9" s="21"/>
      <c r="PX9" s="21"/>
      <c r="PY9" s="21"/>
      <c r="PZ9" s="21"/>
      <c r="QA9" s="21"/>
      <c r="QB9" s="21"/>
      <c r="QC9" s="21"/>
      <c r="QD9" s="21"/>
      <c r="QE9" s="21"/>
      <c r="QF9" s="21"/>
      <c r="QG9" s="21"/>
      <c r="QH9" s="21"/>
      <c r="QI9" s="21"/>
      <c r="QJ9" s="21"/>
      <c r="QK9" s="21"/>
      <c r="QL9" s="21"/>
      <c r="QM9" s="21"/>
      <c r="QN9" s="21"/>
      <c r="QO9" s="21"/>
      <c r="QP9" s="21"/>
      <c r="QQ9" s="21"/>
      <c r="QR9" s="21"/>
      <c r="QS9" s="21"/>
      <c r="QT9" s="21"/>
      <c r="QU9" s="21"/>
      <c r="QV9" s="21"/>
      <c r="QW9" s="21"/>
      <c r="QX9" s="21"/>
      <c r="QY9" s="21"/>
      <c r="QZ9" s="21"/>
      <c r="RA9" s="21"/>
      <c r="RB9" s="21"/>
      <c r="RC9" s="21"/>
      <c r="RD9" s="21"/>
      <c r="RE9" s="21"/>
      <c r="RF9" s="21"/>
      <c r="RG9" s="21"/>
      <c r="RH9" s="21"/>
      <c r="RI9" s="21"/>
      <c r="RJ9" s="21"/>
      <c r="RK9" s="21"/>
      <c r="RL9" s="21"/>
      <c r="RM9" s="21"/>
      <c r="RN9" s="21"/>
      <c r="RO9" s="21"/>
      <c r="RP9" s="21"/>
      <c r="RQ9" s="21"/>
      <c r="RR9" s="21"/>
      <c r="RS9" s="21"/>
      <c r="RT9" s="21"/>
      <c r="RU9" s="21"/>
      <c r="RV9" s="21"/>
      <c r="RW9" s="21"/>
      <c r="RX9" s="21"/>
      <c r="RY9" s="21"/>
      <c r="RZ9" s="21"/>
      <c r="SA9" s="21"/>
      <c r="SB9" s="21"/>
      <c r="SC9" s="21"/>
      <c r="SD9" s="21"/>
      <c r="SE9" s="21"/>
      <c r="SF9" s="21"/>
      <c r="SG9" s="21"/>
      <c r="SH9" s="21"/>
      <c r="SI9" s="21"/>
      <c r="SJ9" s="21"/>
      <c r="SK9" s="21"/>
      <c r="SL9" s="21"/>
      <c r="SM9" s="21"/>
      <c r="SN9" s="21"/>
      <c r="SO9" s="21"/>
      <c r="SP9" s="21"/>
      <c r="SQ9" s="21"/>
      <c r="SR9" s="21"/>
      <c r="SS9" s="21"/>
      <c r="ST9" s="21"/>
      <c r="SU9" s="21"/>
      <c r="SV9" s="21"/>
      <c r="SW9" s="21"/>
      <c r="SX9" s="21"/>
      <c r="SY9" s="21"/>
      <c r="SZ9" s="21"/>
      <c r="TA9" s="21"/>
      <c r="TB9" s="21"/>
      <c r="TC9" s="21"/>
      <c r="TD9" s="21"/>
      <c r="TE9" s="21"/>
      <c r="TF9" s="21"/>
      <c r="TG9" s="21"/>
      <c r="TH9" s="21"/>
      <c r="TI9" s="21"/>
      <c r="TJ9" s="21"/>
      <c r="TK9" s="21"/>
      <c r="TL9" s="21"/>
      <c r="TM9" s="21"/>
      <c r="TN9" s="21"/>
      <c r="TO9" s="21"/>
      <c r="TP9" s="21"/>
      <c r="TQ9" s="21"/>
      <c r="TR9" s="21"/>
      <c r="TS9" s="21"/>
      <c r="TT9" s="21"/>
      <c r="TU9" s="21"/>
      <c r="TV9" s="21"/>
      <c r="TW9" s="21"/>
      <c r="TX9" s="21"/>
      <c r="TY9" s="21"/>
      <c r="TZ9" s="21"/>
      <c r="UA9" s="21"/>
      <c r="UB9" s="21"/>
      <c r="UC9" s="21"/>
      <c r="UD9" s="21"/>
      <c r="UE9" s="21"/>
      <c r="UF9" s="21"/>
      <c r="UG9" s="21"/>
      <c r="UH9" s="21"/>
      <c r="UI9" s="21"/>
      <c r="UJ9" s="21"/>
      <c r="UK9" s="21"/>
      <c r="UL9" s="21"/>
      <c r="UM9" s="21"/>
      <c r="UN9" s="21"/>
      <c r="UO9" s="21"/>
      <c r="UP9" s="21"/>
      <c r="UQ9" s="21"/>
      <c r="UR9" s="21"/>
      <c r="US9" s="21"/>
      <c r="UT9" s="21"/>
      <c r="UU9" s="21"/>
      <c r="UV9" s="21"/>
      <c r="UW9" s="21"/>
      <c r="UX9" s="21"/>
      <c r="UY9" s="21"/>
      <c r="UZ9" s="21"/>
      <c r="VA9" s="21"/>
      <c r="VB9" s="21"/>
      <c r="VC9" s="21"/>
      <c r="VD9" s="21"/>
      <c r="VE9" s="21"/>
      <c r="VF9" s="21"/>
      <c r="VG9" s="21"/>
      <c r="VH9" s="21"/>
      <c r="VI9" s="21"/>
      <c r="VJ9" s="21"/>
      <c r="VK9" s="21"/>
      <c r="VL9" s="21"/>
      <c r="VM9" s="21"/>
      <c r="VN9" s="21"/>
      <c r="VO9" s="21"/>
      <c r="VP9" s="21"/>
      <c r="VQ9" s="21"/>
      <c r="VR9" s="21"/>
      <c r="VS9" s="21"/>
      <c r="VT9" s="21"/>
      <c r="VU9" s="21"/>
      <c r="VV9" s="21"/>
      <c r="VW9" s="21"/>
      <c r="VX9" s="21"/>
      <c r="VY9" s="21"/>
      <c r="VZ9" s="21"/>
      <c r="WA9" s="21"/>
      <c r="WB9" s="21"/>
      <c r="WC9" s="21"/>
      <c r="WD9" s="21"/>
      <c r="WE9" s="21"/>
      <c r="WF9" s="21"/>
      <c r="WG9" s="21"/>
      <c r="WH9" s="21"/>
      <c r="WI9" s="21"/>
      <c r="WJ9" s="21"/>
      <c r="WK9" s="21"/>
      <c r="WL9" s="21"/>
      <c r="WM9" s="21"/>
      <c r="WN9" s="21"/>
      <c r="WO9" s="21"/>
      <c r="WP9" s="21"/>
      <c r="WQ9" s="21"/>
      <c r="WR9" s="21"/>
      <c r="WS9" s="21"/>
      <c r="WT9" s="21"/>
      <c r="WU9" s="21"/>
      <c r="WV9" s="21"/>
      <c r="WW9" s="21"/>
      <c r="WX9" s="21"/>
      <c r="WY9" s="21"/>
      <c r="WZ9" s="21"/>
      <c r="XA9" s="21"/>
      <c r="XB9" s="21"/>
      <c r="XC9" s="21"/>
      <c r="XD9" s="21"/>
      <c r="XE9" s="21"/>
      <c r="XF9" s="21"/>
      <c r="XG9" s="21"/>
      <c r="XH9" s="21"/>
      <c r="XI9" s="21"/>
      <c r="XJ9" s="21"/>
      <c r="XK9" s="21"/>
      <c r="XL9" s="21"/>
      <c r="XM9" s="21"/>
      <c r="XN9" s="21"/>
      <c r="XO9" s="21"/>
      <c r="XP9" s="21"/>
      <c r="XQ9" s="21"/>
      <c r="XR9" s="21"/>
      <c r="XS9" s="21"/>
      <c r="XT9" s="21"/>
      <c r="XU9" s="21"/>
      <c r="XV9" s="21"/>
      <c r="XW9" s="21"/>
      <c r="XX9" s="21"/>
      <c r="XY9" s="21"/>
      <c r="XZ9" s="21"/>
      <c r="YA9" s="21"/>
      <c r="YB9" s="21"/>
      <c r="YC9" s="21"/>
      <c r="YD9" s="21"/>
      <c r="YE9" s="21"/>
      <c r="YF9" s="21"/>
      <c r="YG9" s="21"/>
      <c r="YH9" s="21"/>
      <c r="YI9" s="21"/>
      <c r="YJ9" s="21"/>
      <c r="YK9" s="21"/>
      <c r="YL9" s="21"/>
      <c r="YM9" s="21"/>
      <c r="YN9" s="21"/>
      <c r="YO9" s="21"/>
      <c r="YP9" s="21"/>
      <c r="YQ9" s="21"/>
      <c r="YR9" s="21"/>
      <c r="YS9" s="21"/>
      <c r="YT9" s="21"/>
      <c r="YU9" s="21"/>
      <c r="YV9" s="21"/>
      <c r="YW9" s="21"/>
      <c r="YX9" s="21"/>
      <c r="YY9" s="21"/>
      <c r="YZ9" s="21"/>
      <c r="ZA9" s="21"/>
      <c r="ZB9" s="21"/>
      <c r="ZC9" s="21"/>
      <c r="ZD9" s="21"/>
      <c r="ZE9" s="21"/>
      <c r="ZF9" s="21"/>
      <c r="ZG9" s="21"/>
      <c r="ZH9" s="21"/>
      <c r="ZI9" s="21"/>
      <c r="ZJ9" s="21"/>
      <c r="ZK9" s="21"/>
      <c r="ZL9" s="21"/>
      <c r="ZM9" s="21"/>
      <c r="ZN9" s="21"/>
      <c r="ZO9" s="21"/>
      <c r="ZP9" s="21"/>
      <c r="ZQ9" s="21"/>
      <c r="ZR9" s="21"/>
      <c r="ZS9" s="21"/>
      <c r="ZT9" s="21"/>
      <c r="ZU9" s="21"/>
      <c r="ZV9" s="21"/>
      <c r="ZW9" s="21"/>
      <c r="ZX9" s="21"/>
      <c r="ZY9" s="21"/>
      <c r="ZZ9" s="21"/>
      <c r="AAA9" s="21"/>
      <c r="AAB9" s="21"/>
      <c r="AAC9" s="21"/>
      <c r="AAD9" s="21"/>
      <c r="AAE9" s="21"/>
      <c r="AAF9" s="21"/>
      <c r="AAG9" s="21"/>
      <c r="AAH9" s="21"/>
      <c r="AAI9" s="21"/>
      <c r="AAJ9" s="21"/>
      <c r="AAK9" s="21"/>
      <c r="AAL9" s="21"/>
      <c r="AAM9" s="21"/>
      <c r="AAN9" s="21"/>
      <c r="AAO9" s="21"/>
      <c r="AAP9" s="21"/>
      <c r="AAQ9" s="21"/>
      <c r="AAR9" s="21"/>
      <c r="AAS9" s="21"/>
      <c r="AAT9" s="21"/>
      <c r="AAU9" s="21"/>
      <c r="AAV9" s="21"/>
      <c r="AAW9" s="21"/>
      <c r="AAX9" s="21"/>
      <c r="AAY9" s="21"/>
      <c r="AAZ9" s="21"/>
      <c r="ABA9" s="21"/>
      <c r="ABB9" s="21"/>
      <c r="ABC9" s="21"/>
      <c r="ABD9" s="21"/>
      <c r="ABE9" s="21"/>
      <c r="ABF9" s="21"/>
      <c r="ABG9" s="21"/>
      <c r="ABH9" s="21"/>
      <c r="ABI9" s="21"/>
      <c r="ABJ9" s="21"/>
      <c r="ABK9" s="21"/>
      <c r="ABL9" s="21"/>
      <c r="ABM9" s="21"/>
      <c r="ABN9" s="21"/>
      <c r="ABO9" s="21"/>
      <c r="ABP9" s="21"/>
      <c r="ABQ9" s="21"/>
      <c r="ABR9" s="21"/>
      <c r="ABS9" s="21"/>
      <c r="ABT9" s="21"/>
      <c r="ABU9" s="21"/>
      <c r="ABV9" s="21"/>
      <c r="ABW9" s="21"/>
      <c r="ABX9" s="21"/>
      <c r="ABY9" s="21"/>
      <c r="ABZ9" s="21"/>
      <c r="ACA9" s="21"/>
      <c r="ACB9" s="21"/>
      <c r="ACC9" s="21"/>
      <c r="ACD9" s="21"/>
      <c r="ACE9" s="21"/>
      <c r="ACF9" s="21"/>
      <c r="ACG9" s="21"/>
      <c r="ACH9" s="21"/>
      <c r="ACI9" s="21"/>
      <c r="ACJ9" s="21"/>
      <c r="ACK9" s="21"/>
      <c r="ACL9" s="21"/>
      <c r="ACM9" s="21"/>
      <c r="ACN9" s="21"/>
      <c r="ACO9" s="21"/>
      <c r="ACP9" s="21"/>
      <c r="ACQ9" s="21"/>
      <c r="ACR9" s="21"/>
      <c r="ACS9" s="21"/>
      <c r="ACT9" s="21"/>
      <c r="ACU9" s="21"/>
      <c r="ACV9" s="21"/>
      <c r="ACW9" s="21"/>
      <c r="ACX9" s="21"/>
      <c r="ACY9" s="21"/>
      <c r="ACZ9" s="21"/>
      <c r="ADA9" s="21"/>
      <c r="ADB9" s="21"/>
      <c r="ADC9" s="21"/>
      <c r="ADD9" s="21"/>
      <c r="ADE9" s="21"/>
      <c r="ADF9" s="21"/>
      <c r="ADG9" s="21"/>
      <c r="ADH9" s="21"/>
      <c r="ADI9" s="21"/>
      <c r="ADJ9" s="21"/>
      <c r="ADK9" s="21"/>
      <c r="ADL9" s="21"/>
      <c r="ADM9" s="21"/>
      <c r="ADN9" s="21"/>
      <c r="ADO9" s="21"/>
      <c r="ADP9" s="21"/>
      <c r="ADQ9" s="21"/>
      <c r="ADR9" s="21"/>
      <c r="ADS9" s="21"/>
      <c r="ADT9" s="21"/>
      <c r="ADU9" s="21"/>
      <c r="ADV9" s="21"/>
      <c r="ADW9" s="21"/>
      <c r="ADX9" s="21"/>
      <c r="ADY9" s="21"/>
      <c r="ADZ9" s="21"/>
      <c r="AEA9" s="21"/>
      <c r="AEB9" s="21"/>
      <c r="AEC9" s="21"/>
      <c r="AED9" s="21"/>
      <c r="AEE9" s="21"/>
      <c r="AEF9" s="21"/>
      <c r="AEG9" s="21"/>
      <c r="AEH9" s="21"/>
      <c r="AEI9" s="21"/>
      <c r="AEJ9" s="21"/>
      <c r="AEK9" s="21"/>
      <c r="AEL9" s="21"/>
      <c r="AEM9" s="21"/>
      <c r="AEN9" s="21"/>
      <c r="AEO9" s="21"/>
      <c r="AEP9" s="21"/>
      <c r="AEQ9" s="21"/>
      <c r="AER9" s="21"/>
      <c r="AES9" s="21"/>
      <c r="AET9" s="21"/>
      <c r="AEU9" s="21"/>
      <c r="AEV9" s="21"/>
      <c r="AEW9" s="21"/>
      <c r="AEX9" s="21"/>
      <c r="AEY9" s="21"/>
      <c r="AEZ9" s="21"/>
      <c r="AFA9" s="21"/>
      <c r="AFB9" s="21"/>
      <c r="AFC9" s="21"/>
      <c r="AFD9" s="21"/>
      <c r="AFE9" s="21"/>
      <c r="AFF9" s="21"/>
      <c r="AFG9" s="21"/>
      <c r="AFH9" s="21"/>
      <c r="AFI9" s="21"/>
      <c r="AFJ9" s="21"/>
      <c r="AFK9" s="21"/>
      <c r="AFL9" s="21"/>
      <c r="AFM9" s="21"/>
      <c r="AFN9" s="21"/>
      <c r="AFO9" s="21"/>
      <c r="AFP9" s="21"/>
      <c r="AFQ9" s="21"/>
      <c r="AFR9" s="21"/>
      <c r="AFS9" s="21"/>
      <c r="AFT9" s="21"/>
      <c r="AFU9" s="21"/>
      <c r="AFV9" s="21"/>
      <c r="AFW9" s="21"/>
      <c r="AFX9" s="21"/>
      <c r="AFY9" s="21"/>
      <c r="AFZ9" s="21"/>
      <c r="AGA9" s="21"/>
      <c r="AGB9" s="21"/>
      <c r="AGC9" s="21"/>
      <c r="AGD9" s="21"/>
      <c r="AGE9" s="21"/>
      <c r="AGF9" s="21"/>
      <c r="AGG9" s="21"/>
      <c r="AGH9" s="21"/>
      <c r="AGI9" s="21"/>
      <c r="AGJ9" s="21"/>
      <c r="AGK9" s="21"/>
      <c r="AGL9" s="21"/>
      <c r="AGM9" s="21"/>
      <c r="AGN9" s="21"/>
      <c r="AGO9" s="21"/>
      <c r="AGP9" s="21"/>
      <c r="AGQ9" s="21"/>
      <c r="AGR9" s="21"/>
      <c r="AGS9" s="21"/>
    </row>
    <row r="10" spans="1:877" ht="13">
      <c r="A10" s="25"/>
      <c r="B10" s="25"/>
      <c r="C10" s="26"/>
      <c r="D10" s="21"/>
      <c r="E10" s="21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  <c r="KJ10" s="21"/>
      <c r="KK10" s="21"/>
      <c r="KL10" s="21"/>
      <c r="KM10" s="21"/>
      <c r="KN10" s="21"/>
      <c r="KO10" s="21"/>
      <c r="KP10" s="21"/>
      <c r="KQ10" s="21"/>
      <c r="KR10" s="21"/>
      <c r="KS10" s="21"/>
      <c r="KT10" s="21"/>
      <c r="KU10" s="21"/>
      <c r="KV10" s="21"/>
      <c r="KW10" s="21"/>
      <c r="KX10" s="21"/>
      <c r="KY10" s="21"/>
      <c r="KZ10" s="21"/>
      <c r="LA10" s="21"/>
      <c r="LB10" s="21"/>
      <c r="LC10" s="21"/>
      <c r="LD10" s="21"/>
      <c r="LE10" s="21"/>
      <c r="LF10" s="21"/>
      <c r="LG10" s="21"/>
      <c r="LH10" s="21"/>
      <c r="LI10" s="21"/>
      <c r="LJ10" s="21"/>
      <c r="LK10" s="21"/>
      <c r="LL10" s="21"/>
      <c r="LM10" s="21"/>
      <c r="LN10" s="21"/>
      <c r="LO10" s="21"/>
      <c r="LP10" s="21"/>
      <c r="LQ10" s="21"/>
      <c r="LR10" s="21"/>
      <c r="LS10" s="21"/>
      <c r="LT10" s="21"/>
      <c r="LU10" s="21"/>
      <c r="LV10" s="21"/>
      <c r="LW10" s="21"/>
      <c r="LX10" s="21"/>
      <c r="LY10" s="21"/>
      <c r="LZ10" s="21"/>
      <c r="MA10" s="21"/>
      <c r="MB10" s="21"/>
      <c r="MC10" s="21"/>
      <c r="MD10" s="21"/>
      <c r="ME10" s="21"/>
      <c r="MF10" s="21"/>
      <c r="MG10" s="21"/>
      <c r="MH10" s="21"/>
      <c r="MI10" s="21"/>
      <c r="MJ10" s="21"/>
      <c r="MK10" s="21"/>
      <c r="ML10" s="21"/>
      <c r="MM10" s="21"/>
      <c r="MN10" s="21"/>
      <c r="MO10" s="21"/>
      <c r="MP10" s="21"/>
      <c r="MQ10" s="21"/>
      <c r="MR10" s="21"/>
      <c r="MS10" s="21"/>
      <c r="MT10" s="21"/>
      <c r="MU10" s="21"/>
      <c r="MV10" s="21"/>
      <c r="MW10" s="21"/>
      <c r="MX10" s="21"/>
      <c r="MY10" s="21"/>
      <c r="MZ10" s="21"/>
      <c r="NA10" s="21"/>
      <c r="NB10" s="21"/>
      <c r="NC10" s="21"/>
      <c r="ND10" s="21"/>
      <c r="NE10" s="21"/>
      <c r="NF10" s="21"/>
      <c r="NG10" s="21"/>
      <c r="NH10" s="21"/>
      <c r="NI10" s="21"/>
      <c r="NJ10" s="21"/>
      <c r="NK10" s="21"/>
      <c r="NL10" s="21"/>
      <c r="NM10" s="21"/>
      <c r="NN10" s="21"/>
      <c r="NO10" s="21"/>
      <c r="NP10" s="21"/>
      <c r="NQ10" s="21"/>
      <c r="NR10" s="21"/>
      <c r="NS10" s="21"/>
      <c r="NT10" s="21"/>
      <c r="NU10" s="21"/>
      <c r="NV10" s="21"/>
      <c r="NW10" s="21"/>
      <c r="NX10" s="21"/>
      <c r="NY10" s="21"/>
      <c r="NZ10" s="21"/>
      <c r="OA10" s="21"/>
      <c r="OB10" s="21"/>
      <c r="OC10" s="21"/>
      <c r="OD10" s="21"/>
      <c r="OE10" s="21"/>
      <c r="OF10" s="21"/>
      <c r="OG10" s="21"/>
      <c r="OH10" s="21"/>
      <c r="OI10" s="21"/>
      <c r="OJ10" s="21"/>
      <c r="OK10" s="21"/>
      <c r="OL10" s="21"/>
      <c r="OM10" s="21"/>
      <c r="ON10" s="21"/>
      <c r="OO10" s="21"/>
      <c r="OP10" s="21"/>
      <c r="OQ10" s="21"/>
      <c r="OR10" s="21"/>
      <c r="OS10" s="21"/>
      <c r="OT10" s="21"/>
      <c r="OU10" s="21"/>
      <c r="OV10" s="21"/>
      <c r="OW10" s="21"/>
      <c r="OX10" s="21"/>
      <c r="OY10" s="21"/>
      <c r="OZ10" s="21"/>
      <c r="PA10" s="21"/>
      <c r="PB10" s="21"/>
      <c r="PC10" s="21"/>
      <c r="PD10" s="21"/>
      <c r="PE10" s="21"/>
      <c r="PF10" s="21"/>
      <c r="PG10" s="21"/>
      <c r="PH10" s="21"/>
      <c r="PI10" s="21"/>
      <c r="PJ10" s="21"/>
      <c r="PK10" s="21"/>
      <c r="PL10" s="21"/>
      <c r="PM10" s="21"/>
      <c r="PN10" s="21"/>
      <c r="PO10" s="21"/>
      <c r="PP10" s="21"/>
      <c r="PQ10" s="21"/>
      <c r="PR10" s="21"/>
      <c r="PS10" s="21"/>
      <c r="PT10" s="21"/>
      <c r="PU10" s="21"/>
      <c r="PV10" s="21"/>
      <c r="PW10" s="21"/>
      <c r="PX10" s="21"/>
      <c r="PY10" s="21"/>
      <c r="PZ10" s="21"/>
      <c r="QA10" s="21"/>
      <c r="QB10" s="21"/>
      <c r="QC10" s="21"/>
      <c r="QD10" s="21"/>
      <c r="QE10" s="21"/>
      <c r="QF10" s="21"/>
      <c r="QG10" s="21"/>
      <c r="QH10" s="21"/>
      <c r="QI10" s="21"/>
      <c r="QJ10" s="21"/>
      <c r="QK10" s="21"/>
      <c r="QL10" s="21"/>
      <c r="QM10" s="21"/>
      <c r="QN10" s="21"/>
      <c r="QO10" s="21"/>
      <c r="QP10" s="21"/>
      <c r="QQ10" s="21"/>
      <c r="QR10" s="21"/>
      <c r="QS10" s="21"/>
      <c r="QT10" s="21"/>
      <c r="QU10" s="21"/>
      <c r="QV10" s="21"/>
      <c r="QW10" s="21"/>
      <c r="QX10" s="21"/>
      <c r="QY10" s="21"/>
      <c r="QZ10" s="21"/>
      <c r="RA10" s="21"/>
      <c r="RB10" s="21"/>
      <c r="RC10" s="21"/>
      <c r="RD10" s="21"/>
      <c r="RE10" s="21"/>
      <c r="RF10" s="21"/>
      <c r="RG10" s="21"/>
      <c r="RH10" s="21"/>
      <c r="RI10" s="21"/>
      <c r="RJ10" s="21"/>
      <c r="RK10" s="21"/>
      <c r="RL10" s="21"/>
      <c r="RM10" s="21"/>
      <c r="RN10" s="21"/>
      <c r="RO10" s="21"/>
      <c r="RP10" s="21"/>
      <c r="RQ10" s="21"/>
      <c r="RR10" s="21"/>
      <c r="RS10" s="21"/>
      <c r="RT10" s="21"/>
      <c r="RU10" s="21"/>
      <c r="RV10" s="21"/>
      <c r="RW10" s="21"/>
      <c r="RX10" s="21"/>
      <c r="RY10" s="21"/>
      <c r="RZ10" s="21"/>
      <c r="SA10" s="21"/>
      <c r="SB10" s="21"/>
      <c r="SC10" s="21"/>
      <c r="SD10" s="21"/>
      <c r="SE10" s="21"/>
      <c r="SF10" s="21"/>
      <c r="SG10" s="21"/>
      <c r="SH10" s="21"/>
      <c r="SI10" s="21"/>
      <c r="SJ10" s="21"/>
      <c r="SK10" s="21"/>
      <c r="SL10" s="21"/>
      <c r="SM10" s="21"/>
      <c r="SN10" s="21"/>
      <c r="SO10" s="21"/>
      <c r="SP10" s="21"/>
      <c r="SQ10" s="21"/>
      <c r="SR10" s="21"/>
      <c r="SS10" s="21"/>
      <c r="ST10" s="21"/>
      <c r="SU10" s="21"/>
      <c r="SV10" s="21"/>
      <c r="SW10" s="21"/>
      <c r="SX10" s="21"/>
      <c r="SY10" s="21"/>
      <c r="SZ10" s="21"/>
      <c r="TA10" s="21"/>
      <c r="TB10" s="21"/>
      <c r="TC10" s="21"/>
      <c r="TD10" s="21"/>
      <c r="TE10" s="21"/>
      <c r="TF10" s="21"/>
      <c r="TG10" s="21"/>
      <c r="TH10" s="21"/>
      <c r="TI10" s="21"/>
      <c r="TJ10" s="21"/>
      <c r="TK10" s="21"/>
      <c r="TL10" s="21"/>
      <c r="TM10" s="21"/>
      <c r="TN10" s="21"/>
      <c r="TO10" s="21"/>
      <c r="TP10" s="21"/>
      <c r="TQ10" s="21"/>
      <c r="TR10" s="21"/>
      <c r="TS10" s="21"/>
      <c r="TT10" s="21"/>
      <c r="TU10" s="21"/>
      <c r="TV10" s="21"/>
      <c r="TW10" s="21"/>
      <c r="TX10" s="21"/>
      <c r="TY10" s="21"/>
      <c r="TZ10" s="21"/>
      <c r="UA10" s="21"/>
      <c r="UB10" s="21"/>
      <c r="UC10" s="21"/>
      <c r="UD10" s="21"/>
      <c r="UE10" s="21"/>
      <c r="UF10" s="21"/>
      <c r="UG10" s="21"/>
      <c r="UH10" s="21"/>
      <c r="UI10" s="21"/>
      <c r="UJ10" s="21"/>
      <c r="UK10" s="21"/>
      <c r="UL10" s="21"/>
      <c r="UM10" s="21"/>
      <c r="UN10" s="21"/>
      <c r="UO10" s="21"/>
      <c r="UP10" s="21"/>
      <c r="UQ10" s="21"/>
      <c r="UR10" s="21"/>
      <c r="US10" s="21"/>
      <c r="UT10" s="21"/>
      <c r="UU10" s="21"/>
      <c r="UV10" s="21"/>
      <c r="UW10" s="21"/>
      <c r="UX10" s="21"/>
      <c r="UY10" s="21"/>
      <c r="UZ10" s="21"/>
      <c r="VA10" s="21"/>
      <c r="VB10" s="21"/>
      <c r="VC10" s="21"/>
      <c r="VD10" s="21"/>
      <c r="VE10" s="21"/>
      <c r="VF10" s="21"/>
      <c r="VG10" s="21"/>
      <c r="VH10" s="21"/>
      <c r="VI10" s="21"/>
      <c r="VJ10" s="21"/>
      <c r="VK10" s="21"/>
      <c r="VL10" s="21"/>
      <c r="VM10" s="21"/>
      <c r="VN10" s="21"/>
      <c r="VO10" s="21"/>
      <c r="VP10" s="21"/>
      <c r="VQ10" s="21"/>
      <c r="VR10" s="21"/>
      <c r="VS10" s="21"/>
      <c r="VT10" s="21"/>
      <c r="VU10" s="21"/>
      <c r="VV10" s="21"/>
      <c r="VW10" s="21"/>
      <c r="VX10" s="21"/>
      <c r="VY10" s="21"/>
      <c r="VZ10" s="21"/>
      <c r="WA10" s="21"/>
      <c r="WB10" s="21"/>
      <c r="WC10" s="21"/>
      <c r="WD10" s="21"/>
      <c r="WE10" s="21"/>
      <c r="WF10" s="21"/>
      <c r="WG10" s="21"/>
      <c r="WH10" s="21"/>
      <c r="WI10" s="21"/>
      <c r="WJ10" s="21"/>
      <c r="WK10" s="21"/>
      <c r="WL10" s="21"/>
      <c r="WM10" s="21"/>
      <c r="WN10" s="21"/>
      <c r="WO10" s="21"/>
      <c r="WP10" s="21"/>
      <c r="WQ10" s="21"/>
      <c r="WR10" s="21"/>
      <c r="WS10" s="21"/>
      <c r="WT10" s="21"/>
      <c r="WU10" s="21"/>
      <c r="WV10" s="21"/>
      <c r="WW10" s="21"/>
      <c r="WX10" s="21"/>
      <c r="WY10" s="21"/>
      <c r="WZ10" s="21"/>
      <c r="XA10" s="21"/>
      <c r="XB10" s="21"/>
      <c r="XC10" s="21"/>
      <c r="XD10" s="21"/>
      <c r="XE10" s="21"/>
      <c r="XF10" s="21"/>
      <c r="XG10" s="21"/>
      <c r="XH10" s="21"/>
      <c r="XI10" s="21"/>
      <c r="XJ10" s="21"/>
      <c r="XK10" s="21"/>
      <c r="XL10" s="21"/>
      <c r="XM10" s="21"/>
      <c r="XN10" s="21"/>
      <c r="XO10" s="21"/>
      <c r="XP10" s="21"/>
      <c r="XQ10" s="21"/>
      <c r="XR10" s="21"/>
      <c r="XS10" s="21"/>
      <c r="XT10" s="21"/>
      <c r="XU10" s="21"/>
      <c r="XV10" s="21"/>
      <c r="XW10" s="21"/>
      <c r="XX10" s="21"/>
      <c r="XY10" s="21"/>
      <c r="XZ10" s="21"/>
      <c r="YA10" s="21"/>
      <c r="YB10" s="21"/>
      <c r="YC10" s="21"/>
      <c r="YD10" s="21"/>
      <c r="YE10" s="21"/>
      <c r="YF10" s="21"/>
      <c r="YG10" s="21"/>
      <c r="YH10" s="21"/>
      <c r="YI10" s="21"/>
      <c r="YJ10" s="21"/>
      <c r="YK10" s="21"/>
      <c r="YL10" s="21"/>
      <c r="YM10" s="21"/>
      <c r="YN10" s="21"/>
      <c r="YO10" s="21"/>
      <c r="YP10" s="21"/>
      <c r="YQ10" s="21"/>
      <c r="YR10" s="21"/>
      <c r="YS10" s="21"/>
      <c r="YT10" s="21"/>
      <c r="YU10" s="21"/>
      <c r="YV10" s="21"/>
      <c r="YW10" s="21"/>
      <c r="YX10" s="21"/>
      <c r="YY10" s="21"/>
      <c r="YZ10" s="21"/>
      <c r="ZA10" s="21"/>
      <c r="ZB10" s="21"/>
      <c r="ZC10" s="21"/>
      <c r="ZD10" s="21"/>
      <c r="ZE10" s="21"/>
      <c r="ZF10" s="21"/>
      <c r="ZG10" s="21"/>
      <c r="ZH10" s="21"/>
      <c r="ZI10" s="21"/>
      <c r="ZJ10" s="21"/>
      <c r="ZK10" s="21"/>
      <c r="ZL10" s="21"/>
      <c r="ZM10" s="21"/>
      <c r="ZN10" s="21"/>
      <c r="ZO10" s="21"/>
      <c r="ZP10" s="21"/>
      <c r="ZQ10" s="21"/>
      <c r="ZR10" s="21"/>
      <c r="ZS10" s="21"/>
      <c r="ZT10" s="21"/>
      <c r="ZU10" s="21"/>
      <c r="ZV10" s="21"/>
      <c r="ZW10" s="21"/>
      <c r="ZX10" s="21"/>
      <c r="ZY10" s="21"/>
      <c r="ZZ10" s="21"/>
      <c r="AAA10" s="21"/>
      <c r="AAB10" s="21"/>
      <c r="AAC10" s="21"/>
      <c r="AAD10" s="21"/>
      <c r="AAE10" s="21"/>
      <c r="AAF10" s="21"/>
      <c r="AAG10" s="21"/>
      <c r="AAH10" s="21"/>
      <c r="AAI10" s="21"/>
      <c r="AAJ10" s="21"/>
      <c r="AAK10" s="21"/>
      <c r="AAL10" s="21"/>
      <c r="AAM10" s="21"/>
      <c r="AAN10" s="21"/>
      <c r="AAO10" s="21"/>
      <c r="AAP10" s="21"/>
      <c r="AAQ10" s="21"/>
      <c r="AAR10" s="21"/>
      <c r="AAS10" s="21"/>
      <c r="AAT10" s="21"/>
      <c r="AAU10" s="21"/>
      <c r="AAV10" s="21"/>
      <c r="AAW10" s="21"/>
      <c r="AAX10" s="21"/>
      <c r="AAY10" s="21"/>
      <c r="AAZ10" s="21"/>
      <c r="ABA10" s="21"/>
      <c r="ABB10" s="21"/>
      <c r="ABC10" s="21"/>
      <c r="ABD10" s="21"/>
      <c r="ABE10" s="21"/>
      <c r="ABF10" s="21"/>
      <c r="ABG10" s="21"/>
      <c r="ABH10" s="21"/>
      <c r="ABI10" s="21"/>
      <c r="ABJ10" s="21"/>
      <c r="ABK10" s="21"/>
      <c r="ABL10" s="21"/>
      <c r="ABM10" s="21"/>
      <c r="ABN10" s="21"/>
      <c r="ABO10" s="21"/>
      <c r="ABP10" s="21"/>
      <c r="ABQ10" s="21"/>
      <c r="ABR10" s="21"/>
      <c r="ABS10" s="21"/>
      <c r="ABT10" s="21"/>
      <c r="ABU10" s="21"/>
      <c r="ABV10" s="21"/>
      <c r="ABW10" s="21"/>
      <c r="ABX10" s="21"/>
      <c r="ABY10" s="21"/>
      <c r="ABZ10" s="21"/>
      <c r="ACA10" s="21"/>
      <c r="ACB10" s="21"/>
      <c r="ACC10" s="21"/>
      <c r="ACD10" s="21"/>
      <c r="ACE10" s="21"/>
      <c r="ACF10" s="21"/>
      <c r="ACG10" s="21"/>
      <c r="ACH10" s="21"/>
      <c r="ACI10" s="21"/>
      <c r="ACJ10" s="21"/>
      <c r="ACK10" s="21"/>
      <c r="ACL10" s="21"/>
      <c r="ACM10" s="21"/>
      <c r="ACN10" s="21"/>
      <c r="ACO10" s="21"/>
      <c r="ACP10" s="21"/>
      <c r="ACQ10" s="21"/>
      <c r="ACR10" s="21"/>
      <c r="ACS10" s="21"/>
      <c r="ACT10" s="21"/>
      <c r="ACU10" s="21"/>
      <c r="ACV10" s="21"/>
      <c r="ACW10" s="21"/>
      <c r="ACX10" s="21"/>
      <c r="ACY10" s="21"/>
      <c r="ACZ10" s="21"/>
      <c r="ADA10" s="21"/>
      <c r="ADB10" s="21"/>
      <c r="ADC10" s="21"/>
      <c r="ADD10" s="21"/>
      <c r="ADE10" s="21"/>
      <c r="ADF10" s="21"/>
      <c r="ADG10" s="21"/>
      <c r="ADH10" s="21"/>
      <c r="ADI10" s="21"/>
      <c r="ADJ10" s="21"/>
      <c r="ADK10" s="21"/>
      <c r="ADL10" s="21"/>
      <c r="ADM10" s="21"/>
      <c r="ADN10" s="21"/>
      <c r="ADO10" s="21"/>
      <c r="ADP10" s="21"/>
      <c r="ADQ10" s="21"/>
      <c r="ADR10" s="21"/>
      <c r="ADS10" s="21"/>
      <c r="ADT10" s="21"/>
      <c r="ADU10" s="21"/>
      <c r="ADV10" s="21"/>
      <c r="ADW10" s="21"/>
      <c r="ADX10" s="21"/>
      <c r="ADY10" s="21"/>
      <c r="ADZ10" s="21"/>
      <c r="AEA10" s="21"/>
      <c r="AEB10" s="21"/>
      <c r="AEC10" s="21"/>
      <c r="AED10" s="21"/>
      <c r="AEE10" s="21"/>
      <c r="AEF10" s="21"/>
      <c r="AEG10" s="21"/>
      <c r="AEH10" s="21"/>
      <c r="AEI10" s="21"/>
      <c r="AEJ10" s="21"/>
      <c r="AEK10" s="21"/>
      <c r="AEL10" s="21"/>
      <c r="AEM10" s="21"/>
      <c r="AEN10" s="21"/>
      <c r="AEO10" s="21"/>
      <c r="AEP10" s="21"/>
      <c r="AEQ10" s="21"/>
      <c r="AER10" s="21"/>
      <c r="AES10" s="21"/>
      <c r="AET10" s="21"/>
      <c r="AEU10" s="21"/>
      <c r="AEV10" s="21"/>
      <c r="AEW10" s="21"/>
      <c r="AEX10" s="21"/>
      <c r="AEY10" s="21"/>
      <c r="AEZ10" s="21"/>
      <c r="AFA10" s="21"/>
      <c r="AFB10" s="21"/>
      <c r="AFC10" s="21"/>
      <c r="AFD10" s="21"/>
      <c r="AFE10" s="21"/>
      <c r="AFF10" s="21"/>
      <c r="AFG10" s="21"/>
      <c r="AFH10" s="21"/>
      <c r="AFI10" s="21"/>
      <c r="AFJ10" s="21"/>
      <c r="AFK10" s="21"/>
      <c r="AFL10" s="21"/>
      <c r="AFM10" s="21"/>
      <c r="AFN10" s="21"/>
      <c r="AFO10" s="21"/>
      <c r="AFP10" s="21"/>
      <c r="AFQ10" s="21"/>
      <c r="AFR10" s="21"/>
      <c r="AFS10" s="21"/>
      <c r="AFT10" s="21"/>
      <c r="AFU10" s="21"/>
      <c r="AFV10" s="21"/>
      <c r="AFW10" s="21"/>
      <c r="AFX10" s="21"/>
      <c r="AFY10" s="21"/>
      <c r="AFZ10" s="21"/>
      <c r="AGA10" s="21"/>
      <c r="AGB10" s="21"/>
      <c r="AGC10" s="21"/>
      <c r="AGD10" s="21"/>
      <c r="AGE10" s="21"/>
      <c r="AGF10" s="21"/>
      <c r="AGG10" s="21"/>
      <c r="AGH10" s="21"/>
      <c r="AGI10" s="21"/>
      <c r="AGJ10" s="21"/>
      <c r="AGK10" s="21"/>
      <c r="AGL10" s="21"/>
      <c r="AGM10" s="21"/>
      <c r="AGN10" s="21"/>
      <c r="AGO10" s="21"/>
      <c r="AGP10" s="21"/>
      <c r="AGQ10" s="21"/>
      <c r="AGR10" s="21"/>
      <c r="AGS10" s="21"/>
    </row>
    <row r="11" spans="1:877" ht="15.75" customHeight="1">
      <c r="A11" s="36"/>
      <c r="B11" s="37" t="s">
        <v>20</v>
      </c>
      <c r="C11" s="38"/>
      <c r="D11" s="39"/>
      <c r="E11" s="39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</row>
    <row r="12" spans="1:877" ht="13">
      <c r="A12" s="41"/>
      <c r="B12" s="42" t="s">
        <v>21</v>
      </c>
      <c r="C12" s="43" t="s">
        <v>22</v>
      </c>
      <c r="D12" s="40"/>
      <c r="E12" s="40"/>
      <c r="F12" s="27"/>
      <c r="G12" s="27">
        <f>('Project Overview'!$C$4/12)</f>
        <v>266666.66666666669</v>
      </c>
      <c r="H12" s="27">
        <f>('Project Overview'!$C$4/12)</f>
        <v>266666.66666666669</v>
      </c>
      <c r="I12" s="27">
        <f>('Project Overview'!$C$4/12)</f>
        <v>266666.66666666669</v>
      </c>
      <c r="J12" s="27">
        <f>('Project Overview'!$C$4/12)</f>
        <v>266666.66666666669</v>
      </c>
      <c r="K12" s="27">
        <f>('Project Overview'!$C$4/12)</f>
        <v>266666.66666666669</v>
      </c>
      <c r="L12" s="27">
        <f>('Project Overview'!$C$4/12)</f>
        <v>266666.66666666669</v>
      </c>
      <c r="M12" s="27">
        <f>('Project Overview'!$C$4/12)</f>
        <v>266666.66666666669</v>
      </c>
      <c r="N12" s="27">
        <f>('Project Overview'!$C$4/12)</f>
        <v>266666.66666666669</v>
      </c>
      <c r="O12" s="27">
        <f>('Project Overview'!$C$4/12)</f>
        <v>266666.66666666669</v>
      </c>
      <c r="P12" s="27">
        <f>('Project Overview'!$C$4/12)</f>
        <v>266666.66666666669</v>
      </c>
      <c r="Q12" s="27">
        <f>('Project Overview'!$C$4/12)</f>
        <v>266666.66666666669</v>
      </c>
      <c r="R12" s="28">
        <f>('Project Overview'!$C$4/12)</f>
        <v>266666.66666666669</v>
      </c>
      <c r="S12" s="28">
        <f>'Project Overview'!$D$4/12</f>
        <v>83333.333333333328</v>
      </c>
      <c r="T12" s="28">
        <f>'Project Overview'!$D$4/12</f>
        <v>83333.333333333328</v>
      </c>
      <c r="U12" s="28">
        <f>'Project Overview'!$D$4/12</f>
        <v>83333.333333333328</v>
      </c>
      <c r="V12" s="28">
        <f>'Project Overview'!$D$4/12</f>
        <v>83333.333333333328</v>
      </c>
      <c r="W12" s="28">
        <f>'Project Overview'!$D$4/12</f>
        <v>83333.333333333328</v>
      </c>
      <c r="X12" s="28">
        <f>'Project Overview'!$D$4/12</f>
        <v>83333.333333333328</v>
      </c>
      <c r="Y12" s="28">
        <f>'Project Overview'!$D$4/12</f>
        <v>83333.333333333328</v>
      </c>
      <c r="Z12" s="28">
        <f>'Project Overview'!$D$4/12</f>
        <v>83333.333333333328</v>
      </c>
      <c r="AA12" s="28">
        <f>'Project Overview'!$D$4/12</f>
        <v>83333.333333333328</v>
      </c>
      <c r="AB12" s="28">
        <f>'Project Overview'!$D$4/12</f>
        <v>83333.333333333328</v>
      </c>
      <c r="AC12" s="28">
        <f>'Project Overview'!$D$4/12</f>
        <v>83333.333333333328</v>
      </c>
      <c r="AD12" s="28">
        <f>'Project Overview'!$D$4/12</f>
        <v>83333.333333333328</v>
      </c>
      <c r="AE12" s="28">
        <f>('Project Overview'!$E$4/12)</f>
        <v>125000</v>
      </c>
      <c r="AF12" s="28">
        <f>('Project Overview'!$E$4/12)</f>
        <v>125000</v>
      </c>
      <c r="AG12" s="28">
        <f>('Project Overview'!$E$4/12)</f>
        <v>125000</v>
      </c>
      <c r="AH12" s="28">
        <f>('Project Overview'!$E$4/12)</f>
        <v>125000</v>
      </c>
      <c r="AI12" s="28">
        <f>('Project Overview'!$E$4/12)</f>
        <v>125000</v>
      </c>
      <c r="AJ12" s="28">
        <f>('Project Overview'!$E$4/12)</f>
        <v>125000</v>
      </c>
      <c r="AK12" s="28">
        <f>('Project Overview'!$E$4/12)</f>
        <v>125000</v>
      </c>
      <c r="AL12" s="28">
        <f>('Project Overview'!$E$4/12)</f>
        <v>125000</v>
      </c>
      <c r="AM12" s="28">
        <f>('Project Overview'!$E$4/12)</f>
        <v>125000</v>
      </c>
      <c r="AN12" s="28">
        <f>('Project Overview'!$E$4/12)</f>
        <v>125000</v>
      </c>
      <c r="AO12" s="28">
        <f>('Project Overview'!$E$4/12)</f>
        <v>125000</v>
      </c>
      <c r="AP12" s="28">
        <f>('Project Overview'!$E$4/12)</f>
        <v>125000</v>
      </c>
      <c r="AQ12" s="28">
        <f>'Project Overview'!$F$4/12</f>
        <v>0</v>
      </c>
      <c r="AR12" s="28">
        <f>'Project Overview'!$F$4/12</f>
        <v>0</v>
      </c>
      <c r="AS12" s="28">
        <f>'Project Overview'!$F$4/12</f>
        <v>0</v>
      </c>
      <c r="AT12" s="28">
        <f>'Project Overview'!$F$4/12</f>
        <v>0</v>
      </c>
      <c r="AU12" s="28">
        <f>'Project Overview'!$F$4/12</f>
        <v>0</v>
      </c>
      <c r="AV12" s="28">
        <f>'Project Overview'!$F$4/12</f>
        <v>0</v>
      </c>
      <c r="AW12" s="28">
        <f>'Project Overview'!$F$4/12</f>
        <v>0</v>
      </c>
      <c r="AX12" s="28">
        <f>'Project Overview'!$F$4/12</f>
        <v>0</v>
      </c>
      <c r="AY12" s="28">
        <f>'Project Overview'!$F$4/12</f>
        <v>0</v>
      </c>
      <c r="AZ12" s="28">
        <f>'Project Overview'!$F$4/12</f>
        <v>0</v>
      </c>
      <c r="BA12" s="28">
        <f>'Project Overview'!$F$4/12</f>
        <v>0</v>
      </c>
      <c r="BB12" s="28">
        <f>'Project Overview'!$F$4/12</f>
        <v>0</v>
      </c>
      <c r="BC12" s="28">
        <f>'Project Overview'!$G$4/12</f>
        <v>0</v>
      </c>
      <c r="BD12" s="28">
        <f>'Project Overview'!$G$4/12</f>
        <v>0</v>
      </c>
      <c r="BE12" s="28">
        <f>'Project Overview'!$G$4/12</f>
        <v>0</v>
      </c>
      <c r="BF12" s="28">
        <f>'Project Overview'!$G$4/12</f>
        <v>0</v>
      </c>
      <c r="BG12" s="28">
        <f>'Project Overview'!$G$4/12</f>
        <v>0</v>
      </c>
      <c r="BH12" s="28">
        <f>'Project Overview'!$G$4/12</f>
        <v>0</v>
      </c>
      <c r="BI12" s="28">
        <f>'Project Overview'!$G$4/12</f>
        <v>0</v>
      </c>
      <c r="BJ12" s="28">
        <f>'Project Overview'!$G$4/12</f>
        <v>0</v>
      </c>
      <c r="BK12" s="28">
        <f>'Project Overview'!$G$4/12</f>
        <v>0</v>
      </c>
      <c r="BL12" s="28">
        <f>'Project Overview'!$G$4/12</f>
        <v>0</v>
      </c>
      <c r="BM12" s="28">
        <f>'Project Overview'!$G$4/12</f>
        <v>0</v>
      </c>
      <c r="BN12" s="28">
        <f>'Project Overview'!$G$4/12</f>
        <v>0</v>
      </c>
      <c r="BO12" s="28">
        <f>'Project Overview'!$G$4/12</f>
        <v>0</v>
      </c>
      <c r="BP12" s="28">
        <f>'Project Overview'!$G$4/12</f>
        <v>0</v>
      </c>
      <c r="BQ12" s="28">
        <f>'Project Overview'!$G$4/12</f>
        <v>0</v>
      </c>
      <c r="BR12" s="28">
        <f>'Project Overview'!$G$4/12</f>
        <v>0</v>
      </c>
      <c r="BS12" s="28">
        <f>'Project Overview'!$G$4/12</f>
        <v>0</v>
      </c>
      <c r="BT12" s="28">
        <f>'Project Overview'!$G$4/12</f>
        <v>0</v>
      </c>
      <c r="BU12" s="28">
        <f>'Project Overview'!$G$4/12</f>
        <v>0</v>
      </c>
      <c r="BV12" s="28">
        <f>'Project Overview'!$G$4/12</f>
        <v>0</v>
      </c>
      <c r="BW12" s="28">
        <f>'Project Overview'!$G$4/12</f>
        <v>0</v>
      </c>
      <c r="BX12" s="28">
        <f>'Project Overview'!$G$4/12</f>
        <v>0</v>
      </c>
      <c r="BY12" s="28">
        <f>'Project Overview'!$G$4/12</f>
        <v>0</v>
      </c>
      <c r="BZ12" s="28">
        <f>'Project Overview'!$G$4/12</f>
        <v>0</v>
      </c>
      <c r="CA12" s="28">
        <f>'Project Overview'!$G$4/12</f>
        <v>0</v>
      </c>
      <c r="CB12" s="28">
        <f>'Project Overview'!$G$4/12</f>
        <v>0</v>
      </c>
      <c r="CC12" s="28">
        <f>'Project Overview'!$G$4/12</f>
        <v>0</v>
      </c>
      <c r="CD12" s="28">
        <f>'Project Overview'!$G$4/12</f>
        <v>0</v>
      </c>
      <c r="CE12" s="28">
        <f>'Project Overview'!$G$4/12</f>
        <v>0</v>
      </c>
      <c r="CF12" s="28">
        <f>'Project Overview'!$G$4/12</f>
        <v>0</v>
      </c>
      <c r="CG12" s="28">
        <f>'Project Overview'!$G$4/12</f>
        <v>0</v>
      </c>
      <c r="CH12" s="28">
        <f>'Project Overview'!$G$4/12</f>
        <v>0</v>
      </c>
      <c r="CI12" s="28">
        <f>'Project Overview'!$G$4/12</f>
        <v>0</v>
      </c>
      <c r="CJ12" s="28">
        <f>'Project Overview'!$G$4/12</f>
        <v>0</v>
      </c>
      <c r="CK12" s="28">
        <f>'Project Overview'!$G$4/12</f>
        <v>0</v>
      </c>
      <c r="CL12" s="28">
        <f>'Project Overview'!$G$4/12</f>
        <v>0</v>
      </c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  <c r="IC12" s="40"/>
      <c r="ID12" s="40"/>
      <c r="IE12" s="40"/>
      <c r="IF12" s="40"/>
      <c r="IG12" s="40"/>
      <c r="IH12" s="40"/>
      <c r="II12" s="40"/>
      <c r="IJ12" s="40"/>
      <c r="IK12" s="40"/>
      <c r="IL12" s="40"/>
      <c r="IM12" s="40"/>
      <c r="IN12" s="40"/>
      <c r="IO12" s="40"/>
      <c r="IP12" s="40"/>
      <c r="IQ12" s="40"/>
      <c r="IR12" s="40"/>
      <c r="IS12" s="40"/>
      <c r="IT12" s="40"/>
      <c r="IU12" s="40"/>
      <c r="IV12" s="40"/>
      <c r="IW12" s="40"/>
      <c r="IX12" s="40"/>
      <c r="IY12" s="40"/>
      <c r="IZ12" s="40"/>
      <c r="JA12" s="40"/>
      <c r="JB12" s="40"/>
      <c r="JC12" s="40"/>
      <c r="JD12" s="40"/>
      <c r="JE12" s="40"/>
      <c r="JF12" s="40"/>
      <c r="JG12" s="40"/>
      <c r="JH12" s="40"/>
      <c r="JI12" s="40"/>
      <c r="JJ12" s="40"/>
      <c r="JK12" s="40"/>
      <c r="JL12" s="40"/>
      <c r="JM12" s="40"/>
      <c r="JN12" s="40"/>
      <c r="JO12" s="40"/>
      <c r="JP12" s="40"/>
      <c r="JQ12" s="40"/>
      <c r="JR12" s="40"/>
      <c r="JS12" s="40"/>
      <c r="JT12" s="40"/>
      <c r="JU12" s="40"/>
      <c r="JV12" s="40"/>
      <c r="JW12" s="40"/>
      <c r="JX12" s="40"/>
      <c r="JY12" s="40"/>
      <c r="JZ12" s="40"/>
      <c r="KA12" s="40"/>
      <c r="KB12" s="40"/>
      <c r="KC12" s="40"/>
      <c r="KD12" s="40"/>
      <c r="KE12" s="40"/>
      <c r="KF12" s="40"/>
      <c r="KG12" s="40"/>
      <c r="KH12" s="40"/>
      <c r="KI12" s="40"/>
      <c r="KJ12" s="40"/>
      <c r="KK12" s="40"/>
      <c r="KL12" s="40"/>
      <c r="KM12" s="40"/>
      <c r="KN12" s="40"/>
      <c r="KO12" s="40"/>
      <c r="KP12" s="40"/>
      <c r="KQ12" s="40"/>
      <c r="KR12" s="40"/>
      <c r="KS12" s="40"/>
      <c r="KT12" s="40"/>
      <c r="KU12" s="40"/>
      <c r="KV12" s="40"/>
      <c r="KW12" s="40"/>
      <c r="KX12" s="40"/>
      <c r="KY12" s="40"/>
      <c r="KZ12" s="40"/>
      <c r="LA12" s="40"/>
      <c r="LB12" s="40"/>
      <c r="LC12" s="40"/>
      <c r="LD12" s="40"/>
      <c r="LE12" s="40"/>
      <c r="LF12" s="40"/>
      <c r="LG12" s="40"/>
      <c r="LH12" s="40"/>
      <c r="LI12" s="40"/>
      <c r="LJ12" s="40"/>
      <c r="LK12" s="40"/>
      <c r="LL12" s="40"/>
      <c r="LM12" s="40"/>
      <c r="LN12" s="40"/>
      <c r="LO12" s="40"/>
      <c r="LP12" s="40"/>
      <c r="LQ12" s="40"/>
      <c r="LR12" s="40"/>
      <c r="LS12" s="40"/>
      <c r="LT12" s="40"/>
      <c r="LU12" s="40"/>
      <c r="LV12" s="40"/>
      <c r="LW12" s="40"/>
      <c r="LX12" s="40"/>
      <c r="LY12" s="40"/>
      <c r="LZ12" s="40"/>
      <c r="MA12" s="40"/>
      <c r="MB12" s="40"/>
      <c r="MC12" s="40"/>
      <c r="MD12" s="40"/>
      <c r="ME12" s="40"/>
      <c r="MF12" s="40"/>
      <c r="MG12" s="40"/>
      <c r="MH12" s="40"/>
      <c r="MI12" s="40"/>
      <c r="MJ12" s="40"/>
      <c r="MK12" s="40"/>
      <c r="ML12" s="40"/>
      <c r="MM12" s="40"/>
      <c r="MN12" s="40"/>
      <c r="MO12" s="40"/>
      <c r="MP12" s="40"/>
      <c r="MQ12" s="40"/>
      <c r="MR12" s="40"/>
      <c r="MS12" s="40"/>
      <c r="MT12" s="40"/>
      <c r="MU12" s="40"/>
      <c r="MV12" s="40"/>
      <c r="MW12" s="40"/>
      <c r="MX12" s="40"/>
      <c r="MY12" s="40"/>
      <c r="MZ12" s="40"/>
      <c r="NA12" s="40"/>
      <c r="NB12" s="40"/>
      <c r="NC12" s="40"/>
      <c r="ND12" s="40"/>
      <c r="NE12" s="40"/>
      <c r="NF12" s="40"/>
      <c r="NG12" s="40"/>
      <c r="NH12" s="40"/>
      <c r="NI12" s="40"/>
      <c r="NJ12" s="40"/>
      <c r="NK12" s="40"/>
      <c r="NL12" s="40"/>
      <c r="NM12" s="40"/>
      <c r="NN12" s="40"/>
      <c r="NO12" s="40"/>
      <c r="NP12" s="40"/>
      <c r="NQ12" s="40"/>
      <c r="NR12" s="40"/>
      <c r="NS12" s="40"/>
      <c r="NT12" s="40"/>
      <c r="NU12" s="40"/>
      <c r="NV12" s="40"/>
      <c r="NW12" s="40"/>
      <c r="NX12" s="40"/>
      <c r="NY12" s="40"/>
      <c r="NZ12" s="40"/>
      <c r="OA12" s="40"/>
      <c r="OB12" s="40"/>
      <c r="OC12" s="40"/>
      <c r="OD12" s="40"/>
      <c r="OE12" s="40"/>
      <c r="OF12" s="40"/>
      <c r="OG12" s="40"/>
      <c r="OH12" s="40"/>
      <c r="OI12" s="40"/>
      <c r="OJ12" s="40"/>
      <c r="OK12" s="40"/>
      <c r="OL12" s="40"/>
      <c r="OM12" s="40"/>
      <c r="ON12" s="40"/>
      <c r="OO12" s="40"/>
      <c r="OP12" s="40"/>
      <c r="OQ12" s="40"/>
      <c r="OR12" s="40"/>
      <c r="OS12" s="40"/>
      <c r="OT12" s="40"/>
      <c r="OU12" s="40"/>
      <c r="OV12" s="40"/>
      <c r="OW12" s="40"/>
      <c r="OX12" s="40"/>
      <c r="OY12" s="40"/>
      <c r="OZ12" s="40"/>
      <c r="PA12" s="40"/>
      <c r="PB12" s="40"/>
      <c r="PC12" s="40"/>
      <c r="PD12" s="40"/>
      <c r="PE12" s="40"/>
      <c r="PF12" s="40"/>
      <c r="PG12" s="40"/>
      <c r="PH12" s="40"/>
      <c r="PI12" s="40"/>
      <c r="PJ12" s="40"/>
      <c r="PK12" s="40"/>
      <c r="PL12" s="40"/>
      <c r="PM12" s="40"/>
      <c r="PN12" s="40"/>
      <c r="PO12" s="40"/>
      <c r="PP12" s="40"/>
      <c r="PQ12" s="40"/>
      <c r="PR12" s="40"/>
      <c r="PS12" s="40"/>
      <c r="PT12" s="40"/>
      <c r="PU12" s="40"/>
      <c r="PV12" s="40"/>
      <c r="PW12" s="40"/>
      <c r="PX12" s="40"/>
      <c r="PY12" s="40"/>
      <c r="PZ12" s="40"/>
      <c r="QA12" s="40"/>
      <c r="QB12" s="40"/>
      <c r="QC12" s="40"/>
      <c r="QD12" s="40"/>
      <c r="QE12" s="40"/>
      <c r="QF12" s="40"/>
      <c r="QG12" s="40"/>
      <c r="QH12" s="40"/>
      <c r="QI12" s="40"/>
      <c r="QJ12" s="40"/>
      <c r="QK12" s="40"/>
      <c r="QL12" s="40"/>
      <c r="QM12" s="40"/>
      <c r="QN12" s="40"/>
      <c r="QO12" s="40"/>
      <c r="QP12" s="40"/>
      <c r="QQ12" s="40"/>
      <c r="QR12" s="40"/>
      <c r="QS12" s="40"/>
      <c r="QT12" s="40"/>
      <c r="QU12" s="40"/>
      <c r="QV12" s="40"/>
      <c r="QW12" s="40"/>
      <c r="QX12" s="40"/>
      <c r="QY12" s="40"/>
      <c r="QZ12" s="40"/>
      <c r="RA12" s="40"/>
      <c r="RB12" s="40"/>
      <c r="RC12" s="40"/>
      <c r="RD12" s="40"/>
      <c r="RE12" s="40"/>
      <c r="RF12" s="40"/>
      <c r="RG12" s="40"/>
      <c r="RH12" s="40"/>
      <c r="RI12" s="40"/>
      <c r="RJ12" s="40"/>
      <c r="RK12" s="40"/>
      <c r="RL12" s="40"/>
      <c r="RM12" s="40"/>
      <c r="RN12" s="40"/>
      <c r="RO12" s="40"/>
      <c r="RP12" s="40"/>
      <c r="RQ12" s="40"/>
      <c r="RR12" s="40"/>
      <c r="RS12" s="40"/>
      <c r="RT12" s="40"/>
      <c r="RU12" s="40"/>
      <c r="RV12" s="40"/>
      <c r="RW12" s="40"/>
      <c r="RX12" s="40"/>
      <c r="RY12" s="40"/>
      <c r="RZ12" s="40"/>
      <c r="SA12" s="40"/>
      <c r="SB12" s="40"/>
      <c r="SC12" s="40"/>
      <c r="SD12" s="40"/>
      <c r="SE12" s="40"/>
      <c r="SF12" s="40"/>
      <c r="SG12" s="40"/>
      <c r="SH12" s="40"/>
      <c r="SI12" s="40"/>
      <c r="SJ12" s="40"/>
      <c r="SK12" s="40"/>
      <c r="SL12" s="40"/>
      <c r="SM12" s="40"/>
      <c r="SN12" s="40"/>
      <c r="SO12" s="40"/>
      <c r="SP12" s="40"/>
      <c r="SQ12" s="40"/>
      <c r="SR12" s="40"/>
      <c r="SS12" s="40"/>
      <c r="ST12" s="40"/>
      <c r="SU12" s="40"/>
      <c r="SV12" s="40"/>
      <c r="SW12" s="40"/>
      <c r="SX12" s="40"/>
      <c r="SY12" s="40"/>
      <c r="SZ12" s="40"/>
      <c r="TA12" s="40"/>
      <c r="TB12" s="40"/>
      <c r="TC12" s="40"/>
      <c r="TD12" s="40"/>
      <c r="TE12" s="40"/>
      <c r="TF12" s="40"/>
      <c r="TG12" s="40"/>
      <c r="TH12" s="40"/>
      <c r="TI12" s="40"/>
      <c r="TJ12" s="40"/>
      <c r="TK12" s="40"/>
      <c r="TL12" s="40"/>
      <c r="TM12" s="40"/>
      <c r="TN12" s="40"/>
      <c r="TO12" s="40"/>
      <c r="TP12" s="40"/>
      <c r="TQ12" s="40"/>
      <c r="TR12" s="40"/>
      <c r="TS12" s="40"/>
      <c r="TT12" s="40"/>
      <c r="TU12" s="40"/>
      <c r="TV12" s="40"/>
      <c r="TW12" s="40"/>
      <c r="TX12" s="40"/>
      <c r="TY12" s="40"/>
      <c r="TZ12" s="40"/>
      <c r="UA12" s="40"/>
      <c r="UB12" s="40"/>
      <c r="UC12" s="40"/>
      <c r="UD12" s="40"/>
      <c r="UE12" s="40"/>
      <c r="UF12" s="40"/>
      <c r="UG12" s="40"/>
      <c r="UH12" s="40"/>
      <c r="UI12" s="40"/>
      <c r="UJ12" s="40"/>
      <c r="UK12" s="40"/>
      <c r="UL12" s="40"/>
      <c r="UM12" s="40"/>
      <c r="UN12" s="40"/>
      <c r="UO12" s="40"/>
      <c r="UP12" s="40"/>
      <c r="UQ12" s="40"/>
      <c r="UR12" s="40"/>
      <c r="US12" s="40"/>
      <c r="UT12" s="40"/>
      <c r="UU12" s="40"/>
      <c r="UV12" s="40"/>
      <c r="UW12" s="40"/>
      <c r="UX12" s="40"/>
      <c r="UY12" s="40"/>
      <c r="UZ12" s="40"/>
      <c r="VA12" s="40"/>
      <c r="VB12" s="40"/>
      <c r="VC12" s="40"/>
      <c r="VD12" s="40"/>
      <c r="VE12" s="40"/>
      <c r="VF12" s="40"/>
      <c r="VG12" s="40"/>
      <c r="VH12" s="40"/>
      <c r="VI12" s="40"/>
      <c r="VJ12" s="40"/>
      <c r="VK12" s="40"/>
      <c r="VL12" s="40"/>
      <c r="VM12" s="40"/>
      <c r="VN12" s="40"/>
      <c r="VO12" s="40"/>
      <c r="VP12" s="40"/>
      <c r="VQ12" s="40"/>
      <c r="VR12" s="40"/>
      <c r="VS12" s="40"/>
      <c r="VT12" s="40"/>
      <c r="VU12" s="40"/>
      <c r="VV12" s="40"/>
      <c r="VW12" s="40"/>
      <c r="VX12" s="40"/>
      <c r="VY12" s="40"/>
      <c r="VZ12" s="40"/>
      <c r="WA12" s="40"/>
      <c r="WB12" s="40"/>
      <c r="WC12" s="40"/>
      <c r="WD12" s="40"/>
      <c r="WE12" s="40"/>
      <c r="WF12" s="40"/>
      <c r="WG12" s="40"/>
      <c r="WH12" s="40"/>
      <c r="WI12" s="40"/>
      <c r="WJ12" s="40"/>
      <c r="WK12" s="40"/>
      <c r="WL12" s="40"/>
      <c r="WM12" s="40"/>
      <c r="WN12" s="40"/>
      <c r="WO12" s="40"/>
      <c r="WP12" s="40"/>
      <c r="WQ12" s="40"/>
      <c r="WR12" s="40"/>
      <c r="WS12" s="40"/>
      <c r="WT12" s="40"/>
      <c r="WU12" s="40"/>
      <c r="WV12" s="40"/>
      <c r="WW12" s="40"/>
      <c r="WX12" s="40"/>
      <c r="WY12" s="40"/>
      <c r="WZ12" s="40"/>
      <c r="XA12" s="40"/>
      <c r="XB12" s="40"/>
      <c r="XC12" s="40"/>
      <c r="XD12" s="40"/>
      <c r="XE12" s="40"/>
      <c r="XF12" s="40"/>
      <c r="XG12" s="40"/>
      <c r="XH12" s="40"/>
      <c r="XI12" s="40"/>
      <c r="XJ12" s="40"/>
      <c r="XK12" s="40"/>
      <c r="XL12" s="40"/>
      <c r="XM12" s="40"/>
      <c r="XN12" s="40"/>
      <c r="XO12" s="40"/>
      <c r="XP12" s="40"/>
      <c r="XQ12" s="40"/>
      <c r="XR12" s="40"/>
      <c r="XS12" s="40"/>
      <c r="XT12" s="40"/>
      <c r="XU12" s="40"/>
      <c r="XV12" s="40"/>
      <c r="XW12" s="40"/>
      <c r="XX12" s="40"/>
      <c r="XY12" s="40"/>
      <c r="XZ12" s="40"/>
      <c r="YA12" s="40"/>
      <c r="YB12" s="40"/>
      <c r="YC12" s="40"/>
      <c r="YD12" s="40"/>
      <c r="YE12" s="40"/>
      <c r="YF12" s="40"/>
      <c r="YG12" s="40"/>
      <c r="YH12" s="40"/>
      <c r="YI12" s="40"/>
      <c r="YJ12" s="40"/>
      <c r="YK12" s="40"/>
      <c r="YL12" s="40"/>
      <c r="YM12" s="40"/>
      <c r="YN12" s="40"/>
      <c r="YO12" s="40"/>
      <c r="YP12" s="40"/>
      <c r="YQ12" s="40"/>
      <c r="YR12" s="40"/>
      <c r="YS12" s="40"/>
      <c r="YT12" s="40"/>
      <c r="YU12" s="40"/>
      <c r="YV12" s="40"/>
      <c r="YW12" s="40"/>
      <c r="YX12" s="40"/>
      <c r="YY12" s="40"/>
      <c r="YZ12" s="40"/>
      <c r="ZA12" s="40"/>
      <c r="ZB12" s="40"/>
      <c r="ZC12" s="40"/>
      <c r="ZD12" s="40"/>
      <c r="ZE12" s="40"/>
      <c r="ZF12" s="40"/>
      <c r="ZG12" s="40"/>
      <c r="ZH12" s="40"/>
      <c r="ZI12" s="40"/>
      <c r="ZJ12" s="40"/>
      <c r="ZK12" s="40"/>
      <c r="ZL12" s="40"/>
      <c r="ZM12" s="40"/>
      <c r="ZN12" s="40"/>
      <c r="ZO12" s="40"/>
      <c r="ZP12" s="40"/>
      <c r="ZQ12" s="40"/>
      <c r="ZR12" s="40"/>
      <c r="ZS12" s="40"/>
      <c r="ZT12" s="40"/>
      <c r="ZU12" s="40"/>
      <c r="ZV12" s="40"/>
      <c r="ZW12" s="40"/>
      <c r="ZX12" s="40"/>
      <c r="ZY12" s="40"/>
      <c r="ZZ12" s="40"/>
      <c r="AAA12" s="40"/>
      <c r="AAB12" s="40"/>
      <c r="AAC12" s="40"/>
      <c r="AAD12" s="40"/>
      <c r="AAE12" s="40"/>
      <c r="AAF12" s="40"/>
      <c r="AAG12" s="40"/>
      <c r="AAH12" s="40"/>
      <c r="AAI12" s="40"/>
      <c r="AAJ12" s="40"/>
      <c r="AAK12" s="40"/>
      <c r="AAL12" s="40"/>
      <c r="AAM12" s="40"/>
      <c r="AAN12" s="40"/>
      <c r="AAO12" s="40"/>
      <c r="AAP12" s="40"/>
      <c r="AAQ12" s="40"/>
      <c r="AAR12" s="40"/>
      <c r="AAS12" s="40"/>
      <c r="AAT12" s="40"/>
      <c r="AAU12" s="40"/>
      <c r="AAV12" s="40"/>
      <c r="AAW12" s="40"/>
      <c r="AAX12" s="40"/>
      <c r="AAY12" s="40"/>
      <c r="AAZ12" s="40"/>
      <c r="ABA12" s="40"/>
      <c r="ABB12" s="40"/>
      <c r="ABC12" s="40"/>
      <c r="ABD12" s="40"/>
      <c r="ABE12" s="40"/>
      <c r="ABF12" s="40"/>
      <c r="ABG12" s="40"/>
      <c r="ABH12" s="40"/>
      <c r="ABI12" s="40"/>
      <c r="ABJ12" s="40"/>
      <c r="ABK12" s="40"/>
      <c r="ABL12" s="40"/>
      <c r="ABM12" s="40"/>
      <c r="ABN12" s="40"/>
      <c r="ABO12" s="40"/>
      <c r="ABP12" s="40"/>
      <c r="ABQ12" s="40"/>
      <c r="ABR12" s="40"/>
      <c r="ABS12" s="40"/>
      <c r="ABT12" s="40"/>
      <c r="ABU12" s="40"/>
      <c r="ABV12" s="40"/>
      <c r="ABW12" s="40"/>
      <c r="ABX12" s="40"/>
      <c r="ABY12" s="40"/>
      <c r="ABZ12" s="40"/>
      <c r="ACA12" s="40"/>
      <c r="ACB12" s="40"/>
      <c r="ACC12" s="40"/>
      <c r="ACD12" s="40"/>
      <c r="ACE12" s="40"/>
      <c r="ACF12" s="40"/>
      <c r="ACG12" s="40"/>
      <c r="ACH12" s="40"/>
      <c r="ACI12" s="40"/>
      <c r="ACJ12" s="40"/>
      <c r="ACK12" s="40"/>
      <c r="ACL12" s="40"/>
      <c r="ACM12" s="40"/>
      <c r="ACN12" s="40"/>
      <c r="ACO12" s="40"/>
      <c r="ACP12" s="40"/>
      <c r="ACQ12" s="40"/>
      <c r="ACR12" s="40"/>
      <c r="ACS12" s="40"/>
      <c r="ACT12" s="40"/>
      <c r="ACU12" s="40"/>
      <c r="ACV12" s="40"/>
      <c r="ACW12" s="40"/>
      <c r="ACX12" s="40"/>
      <c r="ACY12" s="40"/>
      <c r="ACZ12" s="40"/>
      <c r="ADA12" s="40"/>
      <c r="ADB12" s="40"/>
      <c r="ADC12" s="40"/>
      <c r="ADD12" s="40"/>
      <c r="ADE12" s="40"/>
      <c r="ADF12" s="40"/>
      <c r="ADG12" s="40"/>
      <c r="ADH12" s="40"/>
      <c r="ADI12" s="40"/>
      <c r="ADJ12" s="40"/>
      <c r="ADK12" s="40"/>
      <c r="ADL12" s="40"/>
      <c r="ADM12" s="40"/>
      <c r="ADN12" s="40"/>
      <c r="ADO12" s="40"/>
      <c r="ADP12" s="40"/>
      <c r="ADQ12" s="40"/>
      <c r="ADR12" s="40"/>
      <c r="ADS12" s="40"/>
      <c r="ADT12" s="40"/>
      <c r="ADU12" s="40"/>
      <c r="ADV12" s="40"/>
      <c r="ADW12" s="40"/>
      <c r="ADX12" s="40"/>
      <c r="ADY12" s="40"/>
      <c r="ADZ12" s="40"/>
      <c r="AEA12" s="40"/>
      <c r="AEB12" s="40"/>
      <c r="AEC12" s="40"/>
      <c r="AED12" s="40"/>
      <c r="AEE12" s="40"/>
      <c r="AEF12" s="40"/>
      <c r="AEG12" s="40"/>
      <c r="AEH12" s="40"/>
      <c r="AEI12" s="40"/>
      <c r="AEJ12" s="40"/>
      <c r="AEK12" s="40"/>
      <c r="AEL12" s="40"/>
      <c r="AEM12" s="40"/>
      <c r="AEN12" s="40"/>
      <c r="AEO12" s="40"/>
      <c r="AEP12" s="40"/>
      <c r="AEQ12" s="40"/>
      <c r="AER12" s="40"/>
      <c r="AES12" s="40"/>
      <c r="AET12" s="40"/>
      <c r="AEU12" s="40"/>
      <c r="AEV12" s="40"/>
      <c r="AEW12" s="40"/>
      <c r="AEX12" s="40"/>
      <c r="AEY12" s="40"/>
      <c r="AEZ12" s="40"/>
      <c r="AFA12" s="40"/>
      <c r="AFB12" s="40"/>
      <c r="AFC12" s="40"/>
      <c r="AFD12" s="40"/>
      <c r="AFE12" s="40"/>
      <c r="AFF12" s="40"/>
      <c r="AFG12" s="40"/>
      <c r="AFH12" s="40"/>
      <c r="AFI12" s="40"/>
      <c r="AFJ12" s="40"/>
      <c r="AFK12" s="40"/>
      <c r="AFL12" s="40"/>
      <c r="AFM12" s="40"/>
      <c r="AFN12" s="40"/>
      <c r="AFO12" s="40"/>
      <c r="AFP12" s="40"/>
      <c r="AFQ12" s="40"/>
      <c r="AFR12" s="40"/>
      <c r="AFS12" s="40"/>
      <c r="AFT12" s="40"/>
      <c r="AFU12" s="40"/>
      <c r="AFV12" s="40"/>
      <c r="AFW12" s="40"/>
      <c r="AFX12" s="40"/>
      <c r="AFY12" s="40"/>
      <c r="AFZ12" s="40"/>
      <c r="AGA12" s="40"/>
      <c r="AGB12" s="40"/>
      <c r="AGC12" s="40"/>
      <c r="AGD12" s="40"/>
      <c r="AGE12" s="40"/>
      <c r="AGF12" s="40"/>
      <c r="AGG12" s="40"/>
      <c r="AGH12" s="40"/>
      <c r="AGI12" s="40"/>
      <c r="AGJ12" s="40"/>
      <c r="AGK12" s="40"/>
      <c r="AGL12" s="40"/>
      <c r="AGM12" s="40"/>
      <c r="AGN12" s="40"/>
      <c r="AGO12" s="40"/>
      <c r="AGP12" s="40"/>
      <c r="AGQ12" s="40"/>
      <c r="AGR12" s="40"/>
      <c r="AGS12" s="40"/>
    </row>
    <row r="13" spans="1:877" ht="13">
      <c r="A13" s="41"/>
      <c r="B13" s="44">
        <f>'H2 Production Costs'!$D$9</f>
        <v>2.6198684210526317</v>
      </c>
      <c r="C13" s="43" t="s">
        <v>8</v>
      </c>
      <c r="D13" s="40"/>
      <c r="E13" s="40"/>
      <c r="F13" s="27"/>
      <c r="G13" s="27">
        <f>'Project Overview'!$C$5/12</f>
        <v>104166.66666666667</v>
      </c>
      <c r="H13" s="27">
        <f>'Project Overview'!$C$5/12</f>
        <v>104166.66666666667</v>
      </c>
      <c r="I13" s="27">
        <f>'Project Overview'!$C$5/12</f>
        <v>104166.66666666667</v>
      </c>
      <c r="J13" s="27">
        <f>'Project Overview'!$C$5/12</f>
        <v>104166.66666666667</v>
      </c>
      <c r="K13" s="27">
        <f>'Project Overview'!$C$5/12</f>
        <v>104166.66666666667</v>
      </c>
      <c r="L13" s="27">
        <f>'Project Overview'!$C$5/12</f>
        <v>104166.66666666667</v>
      </c>
      <c r="M13" s="27">
        <f>'Project Overview'!$C$5/12</f>
        <v>104166.66666666667</v>
      </c>
      <c r="N13" s="27">
        <f>'Project Overview'!$C$5/12</f>
        <v>104166.66666666667</v>
      </c>
      <c r="O13" s="27">
        <f>'Project Overview'!$C$5/12</f>
        <v>104166.66666666667</v>
      </c>
      <c r="P13" s="27">
        <f>'Project Overview'!$C$5/12</f>
        <v>104166.66666666667</v>
      </c>
      <c r="Q13" s="27">
        <f>'Project Overview'!$C$5/12</f>
        <v>104166.66666666667</v>
      </c>
      <c r="R13" s="28">
        <f>'Project Overview'!$C$5/12</f>
        <v>104166.66666666667</v>
      </c>
      <c r="S13" s="28">
        <f>'Project Overview'!$D$5/12</f>
        <v>147828.66666666666</v>
      </c>
      <c r="T13" s="28">
        <f>'Project Overview'!$D$5/12</f>
        <v>147828.66666666666</v>
      </c>
      <c r="U13" s="28">
        <f>'Project Overview'!$D$5/12</f>
        <v>147828.66666666666</v>
      </c>
      <c r="V13" s="28">
        <f>'Project Overview'!$D$5/12</f>
        <v>147828.66666666666</v>
      </c>
      <c r="W13" s="28">
        <f>'Project Overview'!$D$5/12</f>
        <v>147828.66666666666</v>
      </c>
      <c r="X13" s="28">
        <f>'Project Overview'!$D$5/12</f>
        <v>147828.66666666666</v>
      </c>
      <c r="Y13" s="28">
        <f>'Project Overview'!$D$5/12</f>
        <v>147828.66666666666</v>
      </c>
      <c r="Z13" s="28">
        <f>'Project Overview'!$D$5/12</f>
        <v>147828.66666666666</v>
      </c>
      <c r="AA13" s="28">
        <f>'Project Overview'!$D$5/12</f>
        <v>147828.66666666666</v>
      </c>
      <c r="AB13" s="28">
        <f>'Project Overview'!$D$5/12</f>
        <v>147828.66666666666</v>
      </c>
      <c r="AC13" s="28">
        <f>'Project Overview'!$D$5/12</f>
        <v>147828.66666666666</v>
      </c>
      <c r="AD13" s="28">
        <f>'Project Overview'!$D$5/12</f>
        <v>147828.66666666666</v>
      </c>
      <c r="AE13" s="28">
        <f>'Project Overview'!$E$5/12</f>
        <v>190158.65384615384</v>
      </c>
      <c r="AF13" s="28">
        <f>'Project Overview'!$E$5/12</f>
        <v>190158.65384615384</v>
      </c>
      <c r="AG13" s="28">
        <f>'Project Overview'!$E$5/12</f>
        <v>190158.65384615384</v>
      </c>
      <c r="AH13" s="28">
        <f>'Project Overview'!$E$5/12</f>
        <v>190158.65384615384</v>
      </c>
      <c r="AI13" s="28">
        <f>'Project Overview'!$E$5/12</f>
        <v>190158.65384615384</v>
      </c>
      <c r="AJ13" s="28">
        <f>'Project Overview'!$E$5/12</f>
        <v>190158.65384615384</v>
      </c>
      <c r="AK13" s="28">
        <f>'Project Overview'!$E$5/12</f>
        <v>190158.65384615384</v>
      </c>
      <c r="AL13" s="28">
        <f>'Project Overview'!$E$5/12</f>
        <v>190158.65384615384</v>
      </c>
      <c r="AM13" s="28">
        <f>'Project Overview'!$E$5/12</f>
        <v>190158.65384615384</v>
      </c>
      <c r="AN13" s="28">
        <f>'Project Overview'!$E$5/12</f>
        <v>190158.65384615384</v>
      </c>
      <c r="AO13" s="28">
        <f>'Project Overview'!$E$5/12</f>
        <v>190158.65384615384</v>
      </c>
      <c r="AP13" s="28">
        <f>'Project Overview'!$E$5/12</f>
        <v>190158.65384615384</v>
      </c>
      <c r="AQ13" s="28">
        <f>'Project Overview'!$F$5/12</f>
        <v>238714.62912087911</v>
      </c>
      <c r="AR13" s="28">
        <f>'Project Overview'!$F$5/12</f>
        <v>238714.62912087911</v>
      </c>
      <c r="AS13" s="28">
        <f>'Project Overview'!$F$5/12</f>
        <v>238714.62912087911</v>
      </c>
      <c r="AT13" s="28">
        <f>'Project Overview'!$F$5/12</f>
        <v>238714.62912087911</v>
      </c>
      <c r="AU13" s="28">
        <f>'Project Overview'!$F$5/12</f>
        <v>238714.62912087911</v>
      </c>
      <c r="AV13" s="28">
        <f>'Project Overview'!$F$5/12</f>
        <v>238714.62912087911</v>
      </c>
      <c r="AW13" s="28">
        <f>'Project Overview'!$F$5/12</f>
        <v>238714.62912087911</v>
      </c>
      <c r="AX13" s="28">
        <f>'Project Overview'!$F$5/12</f>
        <v>238714.62912087911</v>
      </c>
      <c r="AY13" s="28">
        <f>'Project Overview'!$F$5/12</f>
        <v>238714.62912087911</v>
      </c>
      <c r="AZ13" s="28">
        <f>'Project Overview'!$F$5/12</f>
        <v>238714.62912087911</v>
      </c>
      <c r="BA13" s="28">
        <f>'Project Overview'!$F$5/12</f>
        <v>238714.62912087911</v>
      </c>
      <c r="BB13" s="28">
        <f>'Project Overview'!$F$5/12</f>
        <v>238714.62912087911</v>
      </c>
      <c r="BC13" s="28">
        <f>'Project Overview'!$G$5/12</f>
        <v>238714.62912087911</v>
      </c>
      <c r="BD13" s="28">
        <f>'Project Overview'!$G$5/12</f>
        <v>238714.62912087911</v>
      </c>
      <c r="BE13" s="28">
        <f>'Project Overview'!$G$5/12</f>
        <v>238714.62912087911</v>
      </c>
      <c r="BF13" s="28">
        <f>'Project Overview'!$G$5/12</f>
        <v>238714.62912087911</v>
      </c>
      <c r="BG13" s="28">
        <f>'Project Overview'!$G$5/12</f>
        <v>238714.62912087911</v>
      </c>
      <c r="BH13" s="28">
        <f>'Project Overview'!$G$5/12</f>
        <v>238714.62912087911</v>
      </c>
      <c r="BI13" s="28">
        <f>'Project Overview'!$G$5/12</f>
        <v>238714.62912087911</v>
      </c>
      <c r="BJ13" s="28">
        <f>'Project Overview'!$G$5/12</f>
        <v>238714.62912087911</v>
      </c>
      <c r="BK13" s="28">
        <f>'Project Overview'!$G$5/12</f>
        <v>238714.62912087911</v>
      </c>
      <c r="BL13" s="28">
        <f>'Project Overview'!$G$5/12</f>
        <v>238714.62912087911</v>
      </c>
      <c r="BM13" s="28">
        <f>'Project Overview'!$G$5/12</f>
        <v>238714.62912087911</v>
      </c>
      <c r="BN13" s="28">
        <f>'Project Overview'!$G$5/12</f>
        <v>238714.62912087911</v>
      </c>
      <c r="BO13" s="28">
        <f>'Project Overview'!$G$5/12</f>
        <v>238714.62912087911</v>
      </c>
      <c r="BP13" s="28">
        <f>'Project Overview'!$G$5/12</f>
        <v>238714.62912087911</v>
      </c>
      <c r="BQ13" s="28">
        <f>'Project Overview'!$G$5/12</f>
        <v>238714.62912087911</v>
      </c>
      <c r="BR13" s="28">
        <f>'Project Overview'!$G$5/12</f>
        <v>238714.62912087911</v>
      </c>
      <c r="BS13" s="28">
        <f>'Project Overview'!$G$5/12</f>
        <v>238714.62912087911</v>
      </c>
      <c r="BT13" s="28">
        <f>'Project Overview'!$G$5/12</f>
        <v>238714.62912087911</v>
      </c>
      <c r="BU13" s="28">
        <f>'Project Overview'!$G$5/12</f>
        <v>238714.62912087911</v>
      </c>
      <c r="BV13" s="28">
        <f>'Project Overview'!$G$5/12</f>
        <v>238714.62912087911</v>
      </c>
      <c r="BW13" s="28">
        <f>'Project Overview'!$G$5/12</f>
        <v>238714.62912087911</v>
      </c>
      <c r="BX13" s="28">
        <f>'Project Overview'!$G$5/12</f>
        <v>238714.62912087911</v>
      </c>
      <c r="BY13" s="28">
        <f>'Project Overview'!$G$5/12</f>
        <v>238714.62912087911</v>
      </c>
      <c r="BZ13" s="28">
        <f>'Project Overview'!$G$5/12</f>
        <v>238714.62912087911</v>
      </c>
      <c r="CA13" s="28">
        <f>'Project Overview'!$G$5/12</f>
        <v>238714.62912087911</v>
      </c>
      <c r="CB13" s="28">
        <f>'Project Overview'!$G$5/12</f>
        <v>238714.62912087911</v>
      </c>
      <c r="CC13" s="28">
        <f>'Project Overview'!$G$5/12</f>
        <v>238714.62912087911</v>
      </c>
      <c r="CD13" s="28">
        <f>'Project Overview'!$G$5/12</f>
        <v>238714.62912087911</v>
      </c>
      <c r="CE13" s="28">
        <f>'Project Overview'!$G$5/12</f>
        <v>238714.62912087911</v>
      </c>
      <c r="CF13" s="28">
        <f>'Project Overview'!$G$5/12</f>
        <v>238714.62912087911</v>
      </c>
      <c r="CG13" s="28">
        <f>'Project Overview'!$G$5/12</f>
        <v>238714.62912087911</v>
      </c>
      <c r="CH13" s="28">
        <f>'Project Overview'!$G$5/12</f>
        <v>238714.62912087911</v>
      </c>
      <c r="CI13" s="28">
        <f>'Project Overview'!$G$5/12</f>
        <v>238714.62912087911</v>
      </c>
      <c r="CJ13" s="28">
        <f>'Project Overview'!$G$5/12</f>
        <v>238714.62912087911</v>
      </c>
      <c r="CK13" s="28">
        <f>'Project Overview'!$G$5/12</f>
        <v>238714.62912087911</v>
      </c>
      <c r="CL13" s="28">
        <f>'Project Overview'!$G$5/12</f>
        <v>238714.62912087911</v>
      </c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</row>
    <row r="14" spans="1:877" ht="13">
      <c r="A14" s="45"/>
      <c r="B14" s="42" t="s">
        <v>23</v>
      </c>
      <c r="C14" s="46" t="s">
        <v>24</v>
      </c>
      <c r="D14" s="47"/>
      <c r="E14" s="47"/>
      <c r="F14" s="27"/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8">
        <v>0</v>
      </c>
      <c r="S14" s="28">
        <v>7500</v>
      </c>
      <c r="T14" s="28">
        <v>7500</v>
      </c>
      <c r="U14" s="28">
        <v>7500</v>
      </c>
      <c r="V14" s="28">
        <v>7500</v>
      </c>
      <c r="W14" s="28">
        <v>7500</v>
      </c>
      <c r="X14" s="28">
        <v>7500</v>
      </c>
      <c r="Y14" s="28">
        <v>37500</v>
      </c>
      <c r="Z14" s="28">
        <v>37500</v>
      </c>
      <c r="AA14" s="28">
        <v>37500</v>
      </c>
      <c r="AB14" s="28">
        <v>37500</v>
      </c>
      <c r="AC14" s="28">
        <v>37500</v>
      </c>
      <c r="AD14" s="28">
        <v>37500</v>
      </c>
      <c r="AE14" s="28">
        <v>37500</v>
      </c>
      <c r="AF14" s="28">
        <v>37500</v>
      </c>
      <c r="AG14" s="28">
        <v>37500</v>
      </c>
      <c r="AH14" s="28">
        <v>37500</v>
      </c>
      <c r="AI14" s="28">
        <v>37500</v>
      </c>
      <c r="AJ14" s="28">
        <v>37500</v>
      </c>
      <c r="AK14" s="28">
        <v>75000</v>
      </c>
      <c r="AL14" s="28">
        <v>75000</v>
      </c>
      <c r="AM14" s="28">
        <v>75000</v>
      </c>
      <c r="AN14" s="28">
        <v>75000</v>
      </c>
      <c r="AO14" s="28">
        <v>75000</v>
      </c>
      <c r="AP14" s="28">
        <v>75000</v>
      </c>
      <c r="AQ14" s="28">
        <v>75000</v>
      </c>
      <c r="AR14" s="28">
        <v>75000</v>
      </c>
      <c r="AS14" s="28">
        <v>75000</v>
      </c>
      <c r="AT14" s="28">
        <v>75000</v>
      </c>
      <c r="AU14" s="28">
        <v>75000</v>
      </c>
      <c r="AV14" s="28">
        <v>75000</v>
      </c>
      <c r="AW14" s="28">
        <v>75000</v>
      </c>
      <c r="AX14" s="28">
        <v>75000</v>
      </c>
      <c r="AY14" s="28">
        <v>75000</v>
      </c>
      <c r="AZ14" s="28">
        <v>75000</v>
      </c>
      <c r="BA14" s="28">
        <v>75000</v>
      </c>
      <c r="BB14" s="28">
        <v>75000</v>
      </c>
      <c r="BC14" s="28">
        <v>75000</v>
      </c>
      <c r="BD14" s="28">
        <v>75000</v>
      </c>
      <c r="BE14" s="28">
        <v>75000</v>
      </c>
      <c r="BF14" s="28">
        <v>75000</v>
      </c>
      <c r="BG14" s="28">
        <v>75000</v>
      </c>
      <c r="BH14" s="28">
        <v>75000</v>
      </c>
      <c r="BI14" s="28">
        <v>75000</v>
      </c>
      <c r="BJ14" s="28">
        <v>75000</v>
      </c>
      <c r="BK14" s="28">
        <v>75000</v>
      </c>
      <c r="BL14" s="28">
        <v>75000</v>
      </c>
      <c r="BM14" s="28">
        <v>75000</v>
      </c>
      <c r="BN14" s="28">
        <v>75000</v>
      </c>
      <c r="BO14" s="28">
        <v>75000</v>
      </c>
      <c r="BP14" s="28">
        <v>75000</v>
      </c>
      <c r="BQ14" s="28">
        <v>75000</v>
      </c>
      <c r="BR14" s="28">
        <v>75000</v>
      </c>
      <c r="BS14" s="28">
        <v>75000</v>
      </c>
      <c r="BT14" s="28">
        <v>75000</v>
      </c>
      <c r="BU14" s="28">
        <v>75000</v>
      </c>
      <c r="BV14" s="28">
        <v>75000</v>
      </c>
      <c r="BW14" s="28">
        <v>75000</v>
      </c>
      <c r="BX14" s="28">
        <v>75000</v>
      </c>
      <c r="BY14" s="28">
        <v>75000</v>
      </c>
      <c r="BZ14" s="28">
        <v>75000</v>
      </c>
      <c r="CA14" s="28">
        <v>75000</v>
      </c>
      <c r="CB14" s="28">
        <v>75000</v>
      </c>
      <c r="CC14" s="28">
        <v>75000</v>
      </c>
      <c r="CD14" s="28">
        <v>75000</v>
      </c>
      <c r="CE14" s="28">
        <v>75000</v>
      </c>
      <c r="CF14" s="28">
        <v>75000</v>
      </c>
      <c r="CG14" s="28">
        <v>75000</v>
      </c>
      <c r="CH14" s="28">
        <v>75000</v>
      </c>
      <c r="CI14" s="28">
        <v>75000</v>
      </c>
      <c r="CJ14" s="28">
        <v>75000</v>
      </c>
      <c r="CK14" s="28">
        <v>75000</v>
      </c>
      <c r="CL14" s="28">
        <v>75000</v>
      </c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  <c r="HR14" s="47"/>
      <c r="HS14" s="47"/>
      <c r="HT14" s="47"/>
      <c r="HU14" s="47"/>
      <c r="HV14" s="47"/>
      <c r="HW14" s="47"/>
      <c r="HX14" s="47"/>
      <c r="HY14" s="47"/>
      <c r="HZ14" s="47"/>
      <c r="IA14" s="47"/>
      <c r="IB14" s="47"/>
      <c r="IC14" s="47"/>
      <c r="ID14" s="47"/>
      <c r="IE14" s="47"/>
      <c r="IF14" s="47"/>
      <c r="IG14" s="47"/>
      <c r="IH14" s="47"/>
      <c r="II14" s="47"/>
      <c r="IJ14" s="47"/>
      <c r="IK14" s="47"/>
      <c r="IL14" s="47"/>
      <c r="IM14" s="47"/>
      <c r="IN14" s="47"/>
      <c r="IO14" s="47"/>
      <c r="IP14" s="47"/>
      <c r="IQ14" s="47"/>
      <c r="IR14" s="47"/>
      <c r="IS14" s="47"/>
      <c r="IT14" s="47"/>
      <c r="IU14" s="47"/>
      <c r="IV14" s="47"/>
      <c r="IW14" s="47"/>
      <c r="IX14" s="47"/>
      <c r="IY14" s="47"/>
      <c r="IZ14" s="47"/>
      <c r="JA14" s="47"/>
      <c r="JB14" s="47"/>
      <c r="JC14" s="47"/>
      <c r="JD14" s="47"/>
      <c r="JE14" s="47"/>
      <c r="JF14" s="47"/>
      <c r="JG14" s="47"/>
      <c r="JH14" s="47"/>
      <c r="JI14" s="47"/>
      <c r="JJ14" s="47"/>
      <c r="JK14" s="47"/>
      <c r="JL14" s="47"/>
      <c r="JM14" s="47"/>
      <c r="JN14" s="47"/>
      <c r="JO14" s="47"/>
      <c r="JP14" s="47"/>
      <c r="JQ14" s="47"/>
      <c r="JR14" s="47"/>
      <c r="JS14" s="47"/>
      <c r="JT14" s="47"/>
      <c r="JU14" s="47"/>
      <c r="JV14" s="47"/>
      <c r="JW14" s="47"/>
      <c r="JX14" s="47"/>
      <c r="JY14" s="47"/>
      <c r="JZ14" s="47"/>
      <c r="KA14" s="47"/>
      <c r="KB14" s="47"/>
      <c r="KC14" s="47"/>
      <c r="KD14" s="47"/>
      <c r="KE14" s="47"/>
      <c r="KF14" s="47"/>
      <c r="KG14" s="47"/>
      <c r="KH14" s="47"/>
      <c r="KI14" s="47"/>
      <c r="KJ14" s="47"/>
      <c r="KK14" s="47"/>
      <c r="KL14" s="47"/>
      <c r="KM14" s="47"/>
      <c r="KN14" s="47"/>
      <c r="KO14" s="47"/>
      <c r="KP14" s="47"/>
      <c r="KQ14" s="47"/>
      <c r="KR14" s="47"/>
      <c r="KS14" s="47"/>
      <c r="KT14" s="47"/>
      <c r="KU14" s="47"/>
      <c r="KV14" s="47"/>
      <c r="KW14" s="47"/>
      <c r="KX14" s="47"/>
      <c r="KY14" s="47"/>
      <c r="KZ14" s="47"/>
      <c r="LA14" s="47"/>
      <c r="LB14" s="47"/>
      <c r="LC14" s="47"/>
      <c r="LD14" s="47"/>
      <c r="LE14" s="47"/>
      <c r="LF14" s="47"/>
      <c r="LG14" s="47"/>
      <c r="LH14" s="47"/>
      <c r="LI14" s="47"/>
      <c r="LJ14" s="47"/>
      <c r="LK14" s="47"/>
      <c r="LL14" s="47"/>
      <c r="LM14" s="47"/>
      <c r="LN14" s="47"/>
      <c r="LO14" s="47"/>
      <c r="LP14" s="47"/>
      <c r="LQ14" s="47"/>
      <c r="LR14" s="47"/>
      <c r="LS14" s="47"/>
      <c r="LT14" s="47"/>
      <c r="LU14" s="47"/>
      <c r="LV14" s="47"/>
      <c r="LW14" s="47"/>
      <c r="LX14" s="47"/>
      <c r="LY14" s="47"/>
      <c r="LZ14" s="47"/>
      <c r="MA14" s="47"/>
      <c r="MB14" s="47"/>
      <c r="MC14" s="47"/>
      <c r="MD14" s="47"/>
      <c r="ME14" s="47"/>
      <c r="MF14" s="47"/>
      <c r="MG14" s="47"/>
      <c r="MH14" s="47"/>
      <c r="MI14" s="47"/>
      <c r="MJ14" s="47"/>
      <c r="MK14" s="47"/>
      <c r="ML14" s="47"/>
      <c r="MM14" s="47"/>
      <c r="MN14" s="47"/>
      <c r="MO14" s="47"/>
      <c r="MP14" s="47"/>
      <c r="MQ14" s="47"/>
      <c r="MR14" s="47"/>
      <c r="MS14" s="47"/>
      <c r="MT14" s="47"/>
      <c r="MU14" s="47"/>
      <c r="MV14" s="47"/>
      <c r="MW14" s="47"/>
      <c r="MX14" s="47"/>
      <c r="MY14" s="47"/>
      <c r="MZ14" s="47"/>
      <c r="NA14" s="47"/>
      <c r="NB14" s="47"/>
      <c r="NC14" s="47"/>
      <c r="ND14" s="47"/>
      <c r="NE14" s="47"/>
      <c r="NF14" s="47"/>
      <c r="NG14" s="47"/>
      <c r="NH14" s="47"/>
      <c r="NI14" s="47"/>
      <c r="NJ14" s="47"/>
      <c r="NK14" s="47"/>
      <c r="NL14" s="47"/>
      <c r="NM14" s="47"/>
      <c r="NN14" s="47"/>
      <c r="NO14" s="47"/>
      <c r="NP14" s="47"/>
      <c r="NQ14" s="47"/>
      <c r="NR14" s="47"/>
      <c r="NS14" s="47"/>
      <c r="NT14" s="47"/>
      <c r="NU14" s="47"/>
      <c r="NV14" s="47"/>
      <c r="NW14" s="47"/>
      <c r="NX14" s="47"/>
      <c r="NY14" s="47"/>
      <c r="NZ14" s="47"/>
      <c r="OA14" s="47"/>
      <c r="OB14" s="47"/>
      <c r="OC14" s="47"/>
      <c r="OD14" s="47"/>
      <c r="OE14" s="47"/>
      <c r="OF14" s="47"/>
      <c r="OG14" s="47"/>
      <c r="OH14" s="47"/>
      <c r="OI14" s="47"/>
      <c r="OJ14" s="47"/>
      <c r="OK14" s="47"/>
      <c r="OL14" s="47"/>
      <c r="OM14" s="47"/>
      <c r="ON14" s="47"/>
      <c r="OO14" s="47"/>
      <c r="OP14" s="47"/>
      <c r="OQ14" s="47"/>
      <c r="OR14" s="47"/>
      <c r="OS14" s="47"/>
      <c r="OT14" s="47"/>
      <c r="OU14" s="47"/>
      <c r="OV14" s="47"/>
      <c r="OW14" s="47"/>
      <c r="OX14" s="47"/>
      <c r="OY14" s="47"/>
      <c r="OZ14" s="47"/>
      <c r="PA14" s="47"/>
      <c r="PB14" s="47"/>
      <c r="PC14" s="47"/>
      <c r="PD14" s="47"/>
      <c r="PE14" s="47"/>
      <c r="PF14" s="47"/>
      <c r="PG14" s="47"/>
      <c r="PH14" s="47"/>
      <c r="PI14" s="47"/>
      <c r="PJ14" s="47"/>
      <c r="PK14" s="47"/>
      <c r="PL14" s="47"/>
      <c r="PM14" s="47"/>
      <c r="PN14" s="47"/>
      <c r="PO14" s="47"/>
      <c r="PP14" s="47"/>
      <c r="PQ14" s="47"/>
      <c r="PR14" s="47"/>
      <c r="PS14" s="47"/>
      <c r="PT14" s="47"/>
      <c r="PU14" s="47"/>
      <c r="PV14" s="47"/>
      <c r="PW14" s="47"/>
      <c r="PX14" s="47"/>
      <c r="PY14" s="47"/>
      <c r="PZ14" s="47"/>
      <c r="QA14" s="47"/>
      <c r="QB14" s="47"/>
      <c r="QC14" s="47"/>
      <c r="QD14" s="47"/>
      <c r="QE14" s="47"/>
      <c r="QF14" s="47"/>
      <c r="QG14" s="47"/>
      <c r="QH14" s="47"/>
      <c r="QI14" s="47"/>
      <c r="QJ14" s="47"/>
      <c r="QK14" s="47"/>
      <c r="QL14" s="47"/>
      <c r="QM14" s="47"/>
      <c r="QN14" s="47"/>
      <c r="QO14" s="47"/>
      <c r="QP14" s="47"/>
      <c r="QQ14" s="47"/>
      <c r="QR14" s="47"/>
      <c r="QS14" s="47"/>
      <c r="QT14" s="47"/>
      <c r="QU14" s="47"/>
      <c r="QV14" s="47"/>
      <c r="QW14" s="47"/>
      <c r="QX14" s="47"/>
      <c r="QY14" s="47"/>
      <c r="QZ14" s="47"/>
      <c r="RA14" s="47"/>
      <c r="RB14" s="47"/>
      <c r="RC14" s="47"/>
      <c r="RD14" s="47"/>
      <c r="RE14" s="47"/>
      <c r="RF14" s="47"/>
      <c r="RG14" s="47"/>
      <c r="RH14" s="47"/>
      <c r="RI14" s="47"/>
      <c r="RJ14" s="47"/>
      <c r="RK14" s="47"/>
      <c r="RL14" s="47"/>
      <c r="RM14" s="47"/>
      <c r="RN14" s="47"/>
      <c r="RO14" s="47"/>
      <c r="RP14" s="47"/>
      <c r="RQ14" s="47"/>
      <c r="RR14" s="47"/>
      <c r="RS14" s="47"/>
      <c r="RT14" s="47"/>
      <c r="RU14" s="47"/>
      <c r="RV14" s="47"/>
      <c r="RW14" s="47"/>
      <c r="RX14" s="47"/>
      <c r="RY14" s="47"/>
      <c r="RZ14" s="47"/>
      <c r="SA14" s="47"/>
      <c r="SB14" s="47"/>
      <c r="SC14" s="47"/>
      <c r="SD14" s="47"/>
      <c r="SE14" s="47"/>
      <c r="SF14" s="47"/>
      <c r="SG14" s="47"/>
      <c r="SH14" s="47"/>
      <c r="SI14" s="47"/>
      <c r="SJ14" s="47"/>
      <c r="SK14" s="47"/>
      <c r="SL14" s="47"/>
      <c r="SM14" s="47"/>
      <c r="SN14" s="47"/>
      <c r="SO14" s="47"/>
      <c r="SP14" s="47"/>
      <c r="SQ14" s="47"/>
      <c r="SR14" s="47"/>
      <c r="SS14" s="47"/>
      <c r="ST14" s="47"/>
      <c r="SU14" s="47"/>
      <c r="SV14" s="47"/>
      <c r="SW14" s="47"/>
      <c r="SX14" s="47"/>
      <c r="SY14" s="47"/>
      <c r="SZ14" s="47"/>
      <c r="TA14" s="47"/>
      <c r="TB14" s="47"/>
      <c r="TC14" s="47"/>
      <c r="TD14" s="47"/>
      <c r="TE14" s="47"/>
      <c r="TF14" s="47"/>
      <c r="TG14" s="47"/>
      <c r="TH14" s="47"/>
      <c r="TI14" s="47"/>
      <c r="TJ14" s="47"/>
      <c r="TK14" s="47"/>
      <c r="TL14" s="47"/>
      <c r="TM14" s="47"/>
      <c r="TN14" s="47"/>
      <c r="TO14" s="47"/>
      <c r="TP14" s="47"/>
      <c r="TQ14" s="47"/>
      <c r="TR14" s="47"/>
      <c r="TS14" s="47"/>
      <c r="TT14" s="47"/>
      <c r="TU14" s="47"/>
      <c r="TV14" s="47"/>
      <c r="TW14" s="47"/>
      <c r="TX14" s="47"/>
      <c r="TY14" s="47"/>
      <c r="TZ14" s="47"/>
      <c r="UA14" s="47"/>
      <c r="UB14" s="47"/>
      <c r="UC14" s="47"/>
      <c r="UD14" s="47"/>
      <c r="UE14" s="47"/>
      <c r="UF14" s="47"/>
      <c r="UG14" s="47"/>
      <c r="UH14" s="47"/>
      <c r="UI14" s="47"/>
      <c r="UJ14" s="47"/>
      <c r="UK14" s="47"/>
      <c r="UL14" s="47"/>
      <c r="UM14" s="47"/>
      <c r="UN14" s="47"/>
      <c r="UO14" s="47"/>
      <c r="UP14" s="47"/>
      <c r="UQ14" s="47"/>
      <c r="UR14" s="47"/>
      <c r="US14" s="47"/>
      <c r="UT14" s="47"/>
      <c r="UU14" s="47"/>
      <c r="UV14" s="47"/>
      <c r="UW14" s="47"/>
      <c r="UX14" s="47"/>
      <c r="UY14" s="47"/>
      <c r="UZ14" s="47"/>
      <c r="VA14" s="47"/>
      <c r="VB14" s="47"/>
      <c r="VC14" s="47"/>
      <c r="VD14" s="47"/>
      <c r="VE14" s="47"/>
      <c r="VF14" s="47"/>
      <c r="VG14" s="47"/>
      <c r="VH14" s="47"/>
      <c r="VI14" s="47"/>
      <c r="VJ14" s="47"/>
      <c r="VK14" s="47"/>
      <c r="VL14" s="47"/>
      <c r="VM14" s="47"/>
      <c r="VN14" s="47"/>
      <c r="VO14" s="47"/>
      <c r="VP14" s="47"/>
      <c r="VQ14" s="47"/>
      <c r="VR14" s="47"/>
      <c r="VS14" s="47"/>
      <c r="VT14" s="47"/>
      <c r="VU14" s="47"/>
      <c r="VV14" s="47"/>
      <c r="VW14" s="47"/>
      <c r="VX14" s="47"/>
      <c r="VY14" s="47"/>
      <c r="VZ14" s="47"/>
      <c r="WA14" s="47"/>
      <c r="WB14" s="47"/>
      <c r="WC14" s="47"/>
      <c r="WD14" s="47"/>
      <c r="WE14" s="47"/>
      <c r="WF14" s="47"/>
      <c r="WG14" s="47"/>
      <c r="WH14" s="47"/>
      <c r="WI14" s="47"/>
      <c r="WJ14" s="47"/>
      <c r="WK14" s="47"/>
      <c r="WL14" s="47"/>
      <c r="WM14" s="47"/>
      <c r="WN14" s="47"/>
      <c r="WO14" s="47"/>
      <c r="WP14" s="47"/>
      <c r="WQ14" s="47"/>
      <c r="WR14" s="47"/>
      <c r="WS14" s="47"/>
      <c r="WT14" s="47"/>
      <c r="WU14" s="47"/>
      <c r="WV14" s="47"/>
      <c r="WW14" s="47"/>
      <c r="WX14" s="47"/>
      <c r="WY14" s="47"/>
      <c r="WZ14" s="47"/>
      <c r="XA14" s="47"/>
      <c r="XB14" s="47"/>
      <c r="XC14" s="47"/>
      <c r="XD14" s="47"/>
      <c r="XE14" s="47"/>
      <c r="XF14" s="47"/>
      <c r="XG14" s="47"/>
      <c r="XH14" s="47"/>
      <c r="XI14" s="47"/>
      <c r="XJ14" s="47"/>
      <c r="XK14" s="47"/>
      <c r="XL14" s="47"/>
      <c r="XM14" s="47"/>
      <c r="XN14" s="47"/>
      <c r="XO14" s="47"/>
      <c r="XP14" s="47"/>
      <c r="XQ14" s="47"/>
      <c r="XR14" s="47"/>
      <c r="XS14" s="47"/>
      <c r="XT14" s="47"/>
      <c r="XU14" s="47"/>
      <c r="XV14" s="47"/>
      <c r="XW14" s="47"/>
      <c r="XX14" s="47"/>
      <c r="XY14" s="47"/>
      <c r="XZ14" s="47"/>
      <c r="YA14" s="47"/>
      <c r="YB14" s="47"/>
      <c r="YC14" s="47"/>
      <c r="YD14" s="47"/>
      <c r="YE14" s="47"/>
      <c r="YF14" s="47"/>
      <c r="YG14" s="47"/>
      <c r="YH14" s="47"/>
      <c r="YI14" s="47"/>
      <c r="YJ14" s="47"/>
      <c r="YK14" s="47"/>
      <c r="YL14" s="47"/>
      <c r="YM14" s="47"/>
      <c r="YN14" s="47"/>
      <c r="YO14" s="47"/>
      <c r="YP14" s="47"/>
      <c r="YQ14" s="47"/>
      <c r="YR14" s="47"/>
      <c r="YS14" s="47"/>
      <c r="YT14" s="47"/>
      <c r="YU14" s="47"/>
      <c r="YV14" s="47"/>
      <c r="YW14" s="47"/>
      <c r="YX14" s="47"/>
      <c r="YY14" s="47"/>
      <c r="YZ14" s="47"/>
      <c r="ZA14" s="47"/>
      <c r="ZB14" s="47"/>
      <c r="ZC14" s="47"/>
      <c r="ZD14" s="47"/>
      <c r="ZE14" s="47"/>
      <c r="ZF14" s="47"/>
      <c r="ZG14" s="47"/>
      <c r="ZH14" s="47"/>
      <c r="ZI14" s="47"/>
      <c r="ZJ14" s="47"/>
      <c r="ZK14" s="47"/>
      <c r="ZL14" s="47"/>
      <c r="ZM14" s="47"/>
      <c r="ZN14" s="47"/>
      <c r="ZO14" s="47"/>
      <c r="ZP14" s="47"/>
      <c r="ZQ14" s="47"/>
      <c r="ZR14" s="47"/>
      <c r="ZS14" s="47"/>
      <c r="ZT14" s="47"/>
      <c r="ZU14" s="47"/>
      <c r="ZV14" s="47"/>
      <c r="ZW14" s="47"/>
      <c r="ZX14" s="47"/>
      <c r="ZY14" s="47"/>
      <c r="ZZ14" s="47"/>
      <c r="AAA14" s="47"/>
      <c r="AAB14" s="47"/>
      <c r="AAC14" s="47"/>
      <c r="AAD14" s="47"/>
      <c r="AAE14" s="47"/>
      <c r="AAF14" s="47"/>
      <c r="AAG14" s="47"/>
      <c r="AAH14" s="47"/>
      <c r="AAI14" s="47"/>
      <c r="AAJ14" s="47"/>
      <c r="AAK14" s="47"/>
      <c r="AAL14" s="47"/>
      <c r="AAM14" s="47"/>
      <c r="AAN14" s="47"/>
      <c r="AAO14" s="47"/>
      <c r="AAP14" s="47"/>
      <c r="AAQ14" s="47"/>
      <c r="AAR14" s="47"/>
      <c r="AAS14" s="47"/>
      <c r="AAT14" s="47"/>
      <c r="AAU14" s="47"/>
      <c r="AAV14" s="47"/>
      <c r="AAW14" s="47"/>
      <c r="AAX14" s="47"/>
      <c r="AAY14" s="47"/>
      <c r="AAZ14" s="47"/>
      <c r="ABA14" s="47"/>
      <c r="ABB14" s="47"/>
      <c r="ABC14" s="47"/>
      <c r="ABD14" s="47"/>
      <c r="ABE14" s="47"/>
      <c r="ABF14" s="47"/>
      <c r="ABG14" s="47"/>
      <c r="ABH14" s="47"/>
      <c r="ABI14" s="47"/>
      <c r="ABJ14" s="47"/>
      <c r="ABK14" s="47"/>
      <c r="ABL14" s="47"/>
      <c r="ABM14" s="47"/>
      <c r="ABN14" s="47"/>
      <c r="ABO14" s="47"/>
      <c r="ABP14" s="47"/>
      <c r="ABQ14" s="47"/>
      <c r="ABR14" s="47"/>
      <c r="ABS14" s="47"/>
      <c r="ABT14" s="47"/>
      <c r="ABU14" s="47"/>
      <c r="ABV14" s="47"/>
      <c r="ABW14" s="47"/>
      <c r="ABX14" s="47"/>
      <c r="ABY14" s="47"/>
      <c r="ABZ14" s="47"/>
      <c r="ACA14" s="47"/>
      <c r="ACB14" s="47"/>
      <c r="ACC14" s="47"/>
      <c r="ACD14" s="47"/>
      <c r="ACE14" s="47"/>
      <c r="ACF14" s="47"/>
      <c r="ACG14" s="47"/>
      <c r="ACH14" s="47"/>
      <c r="ACI14" s="47"/>
      <c r="ACJ14" s="47"/>
      <c r="ACK14" s="47"/>
      <c r="ACL14" s="47"/>
      <c r="ACM14" s="47"/>
      <c r="ACN14" s="47"/>
      <c r="ACO14" s="47"/>
      <c r="ACP14" s="47"/>
      <c r="ACQ14" s="47"/>
      <c r="ACR14" s="47"/>
      <c r="ACS14" s="47"/>
      <c r="ACT14" s="47"/>
      <c r="ACU14" s="47"/>
      <c r="ACV14" s="47"/>
      <c r="ACW14" s="47"/>
      <c r="ACX14" s="47"/>
      <c r="ACY14" s="47"/>
      <c r="ACZ14" s="47"/>
      <c r="ADA14" s="47"/>
      <c r="ADB14" s="47"/>
      <c r="ADC14" s="47"/>
      <c r="ADD14" s="47"/>
      <c r="ADE14" s="47"/>
      <c r="ADF14" s="47"/>
      <c r="ADG14" s="47"/>
      <c r="ADH14" s="47"/>
      <c r="ADI14" s="47"/>
      <c r="ADJ14" s="47"/>
      <c r="ADK14" s="47"/>
      <c r="ADL14" s="47"/>
      <c r="ADM14" s="47"/>
      <c r="ADN14" s="47"/>
      <c r="ADO14" s="47"/>
      <c r="ADP14" s="47"/>
      <c r="ADQ14" s="47"/>
      <c r="ADR14" s="47"/>
      <c r="ADS14" s="47"/>
      <c r="ADT14" s="47"/>
      <c r="ADU14" s="47"/>
      <c r="ADV14" s="47"/>
      <c r="ADW14" s="47"/>
      <c r="ADX14" s="47"/>
      <c r="ADY14" s="47"/>
      <c r="ADZ14" s="47"/>
      <c r="AEA14" s="47"/>
      <c r="AEB14" s="47"/>
      <c r="AEC14" s="47"/>
      <c r="AED14" s="47"/>
      <c r="AEE14" s="47"/>
      <c r="AEF14" s="47"/>
      <c r="AEG14" s="47"/>
      <c r="AEH14" s="47"/>
      <c r="AEI14" s="47"/>
      <c r="AEJ14" s="47"/>
      <c r="AEK14" s="47"/>
      <c r="AEL14" s="47"/>
      <c r="AEM14" s="47"/>
      <c r="AEN14" s="47"/>
      <c r="AEO14" s="47"/>
      <c r="AEP14" s="47"/>
      <c r="AEQ14" s="47"/>
      <c r="AER14" s="47"/>
      <c r="AES14" s="47"/>
      <c r="AET14" s="47"/>
      <c r="AEU14" s="47"/>
      <c r="AEV14" s="47"/>
      <c r="AEW14" s="47"/>
      <c r="AEX14" s="47"/>
      <c r="AEY14" s="47"/>
      <c r="AEZ14" s="47"/>
      <c r="AFA14" s="47"/>
      <c r="AFB14" s="47"/>
      <c r="AFC14" s="47"/>
      <c r="AFD14" s="47"/>
      <c r="AFE14" s="47"/>
      <c r="AFF14" s="47"/>
      <c r="AFG14" s="47"/>
      <c r="AFH14" s="47"/>
      <c r="AFI14" s="47"/>
      <c r="AFJ14" s="47"/>
      <c r="AFK14" s="47"/>
      <c r="AFL14" s="47"/>
      <c r="AFM14" s="47"/>
      <c r="AFN14" s="47"/>
      <c r="AFO14" s="47"/>
      <c r="AFP14" s="47"/>
      <c r="AFQ14" s="47"/>
      <c r="AFR14" s="47"/>
      <c r="AFS14" s="47"/>
      <c r="AFT14" s="47"/>
      <c r="AFU14" s="47"/>
      <c r="AFV14" s="47"/>
      <c r="AFW14" s="47"/>
      <c r="AFX14" s="47"/>
      <c r="AFY14" s="47"/>
      <c r="AFZ14" s="47"/>
      <c r="AGA14" s="47"/>
      <c r="AGB14" s="47"/>
      <c r="AGC14" s="47"/>
      <c r="AGD14" s="47"/>
      <c r="AGE14" s="47"/>
      <c r="AGF14" s="47"/>
      <c r="AGG14" s="47"/>
      <c r="AGH14" s="47"/>
      <c r="AGI14" s="47"/>
      <c r="AGJ14" s="47"/>
      <c r="AGK14" s="47"/>
      <c r="AGL14" s="47"/>
      <c r="AGM14" s="47"/>
      <c r="AGN14" s="47"/>
      <c r="AGO14" s="47"/>
      <c r="AGP14" s="47"/>
      <c r="AGQ14" s="47"/>
      <c r="AGR14" s="47"/>
      <c r="AGS14" s="47"/>
    </row>
    <row r="15" spans="1:877" ht="13">
      <c r="A15" s="25"/>
      <c r="B15" s="44">
        <v>25</v>
      </c>
      <c r="C15" s="46" t="s">
        <v>25</v>
      </c>
      <c r="D15" s="36"/>
      <c r="E15" s="36"/>
      <c r="F15" s="27"/>
      <c r="G15" s="27">
        <f t="shared" ref="G15:CL15" si="4">G14*$B$15</f>
        <v>0</v>
      </c>
      <c r="H15" s="27">
        <f t="shared" si="4"/>
        <v>0</v>
      </c>
      <c r="I15" s="27">
        <f t="shared" si="4"/>
        <v>0</v>
      </c>
      <c r="J15" s="27">
        <f t="shared" si="4"/>
        <v>0</v>
      </c>
      <c r="K15" s="27">
        <f t="shared" si="4"/>
        <v>0</v>
      </c>
      <c r="L15" s="27">
        <f t="shared" si="4"/>
        <v>0</v>
      </c>
      <c r="M15" s="27">
        <f t="shared" si="4"/>
        <v>0</v>
      </c>
      <c r="N15" s="27">
        <f t="shared" si="4"/>
        <v>0</v>
      </c>
      <c r="O15" s="27">
        <f t="shared" si="4"/>
        <v>0</v>
      </c>
      <c r="P15" s="27">
        <f t="shared" si="4"/>
        <v>0</v>
      </c>
      <c r="Q15" s="27">
        <f t="shared" si="4"/>
        <v>0</v>
      </c>
      <c r="R15" s="27">
        <f t="shared" si="4"/>
        <v>0</v>
      </c>
      <c r="S15" s="27">
        <f t="shared" si="4"/>
        <v>187500</v>
      </c>
      <c r="T15" s="27">
        <f t="shared" si="4"/>
        <v>187500</v>
      </c>
      <c r="U15" s="27">
        <f t="shared" si="4"/>
        <v>187500</v>
      </c>
      <c r="V15" s="27">
        <f t="shared" si="4"/>
        <v>187500</v>
      </c>
      <c r="W15" s="27">
        <f t="shared" si="4"/>
        <v>187500</v>
      </c>
      <c r="X15" s="27">
        <f t="shared" si="4"/>
        <v>187500</v>
      </c>
      <c r="Y15" s="27">
        <f t="shared" si="4"/>
        <v>937500</v>
      </c>
      <c r="Z15" s="27">
        <f t="shared" si="4"/>
        <v>937500</v>
      </c>
      <c r="AA15" s="27">
        <f t="shared" si="4"/>
        <v>937500</v>
      </c>
      <c r="AB15" s="27">
        <f t="shared" si="4"/>
        <v>937500</v>
      </c>
      <c r="AC15" s="27">
        <f t="shared" si="4"/>
        <v>937500</v>
      </c>
      <c r="AD15" s="27">
        <f t="shared" si="4"/>
        <v>937500</v>
      </c>
      <c r="AE15" s="27">
        <f t="shared" si="4"/>
        <v>937500</v>
      </c>
      <c r="AF15" s="27">
        <f t="shared" si="4"/>
        <v>937500</v>
      </c>
      <c r="AG15" s="27">
        <f t="shared" si="4"/>
        <v>937500</v>
      </c>
      <c r="AH15" s="27">
        <f t="shared" si="4"/>
        <v>937500</v>
      </c>
      <c r="AI15" s="27">
        <f t="shared" si="4"/>
        <v>937500</v>
      </c>
      <c r="AJ15" s="27">
        <f t="shared" si="4"/>
        <v>937500</v>
      </c>
      <c r="AK15" s="27">
        <f t="shared" si="4"/>
        <v>1875000</v>
      </c>
      <c r="AL15" s="27">
        <f t="shared" si="4"/>
        <v>1875000</v>
      </c>
      <c r="AM15" s="27">
        <f t="shared" si="4"/>
        <v>1875000</v>
      </c>
      <c r="AN15" s="27">
        <f t="shared" si="4"/>
        <v>1875000</v>
      </c>
      <c r="AO15" s="27">
        <f t="shared" si="4"/>
        <v>1875000</v>
      </c>
      <c r="AP15" s="27">
        <f t="shared" si="4"/>
        <v>1875000</v>
      </c>
      <c r="AQ15" s="27">
        <f t="shared" si="4"/>
        <v>1875000</v>
      </c>
      <c r="AR15" s="27">
        <f t="shared" si="4"/>
        <v>1875000</v>
      </c>
      <c r="AS15" s="27">
        <f t="shared" si="4"/>
        <v>1875000</v>
      </c>
      <c r="AT15" s="27">
        <f t="shared" si="4"/>
        <v>1875000</v>
      </c>
      <c r="AU15" s="27">
        <f t="shared" si="4"/>
        <v>1875000</v>
      </c>
      <c r="AV15" s="27">
        <f t="shared" si="4"/>
        <v>1875000</v>
      </c>
      <c r="AW15" s="27">
        <f t="shared" si="4"/>
        <v>1875000</v>
      </c>
      <c r="AX15" s="27">
        <f t="shared" si="4"/>
        <v>1875000</v>
      </c>
      <c r="AY15" s="27">
        <f t="shared" si="4"/>
        <v>1875000</v>
      </c>
      <c r="AZ15" s="27">
        <f t="shared" si="4"/>
        <v>1875000</v>
      </c>
      <c r="BA15" s="27">
        <f t="shared" si="4"/>
        <v>1875000</v>
      </c>
      <c r="BB15" s="27">
        <f t="shared" si="4"/>
        <v>1875000</v>
      </c>
      <c r="BC15" s="27">
        <f t="shared" si="4"/>
        <v>1875000</v>
      </c>
      <c r="BD15" s="27">
        <f t="shared" si="4"/>
        <v>1875000</v>
      </c>
      <c r="BE15" s="27">
        <f t="shared" si="4"/>
        <v>1875000</v>
      </c>
      <c r="BF15" s="27">
        <f t="shared" si="4"/>
        <v>1875000</v>
      </c>
      <c r="BG15" s="27">
        <f t="shared" si="4"/>
        <v>1875000</v>
      </c>
      <c r="BH15" s="27">
        <f t="shared" si="4"/>
        <v>1875000</v>
      </c>
      <c r="BI15" s="27">
        <f t="shared" si="4"/>
        <v>1875000</v>
      </c>
      <c r="BJ15" s="27">
        <f t="shared" si="4"/>
        <v>1875000</v>
      </c>
      <c r="BK15" s="27">
        <f t="shared" si="4"/>
        <v>1875000</v>
      </c>
      <c r="BL15" s="27">
        <f t="shared" si="4"/>
        <v>1875000</v>
      </c>
      <c r="BM15" s="27">
        <f t="shared" si="4"/>
        <v>1875000</v>
      </c>
      <c r="BN15" s="27">
        <f t="shared" si="4"/>
        <v>1875000</v>
      </c>
      <c r="BO15" s="27">
        <f t="shared" si="4"/>
        <v>1875000</v>
      </c>
      <c r="BP15" s="27">
        <f t="shared" si="4"/>
        <v>1875000</v>
      </c>
      <c r="BQ15" s="27">
        <f t="shared" si="4"/>
        <v>1875000</v>
      </c>
      <c r="BR15" s="27">
        <f t="shared" si="4"/>
        <v>1875000</v>
      </c>
      <c r="BS15" s="27">
        <f t="shared" si="4"/>
        <v>1875000</v>
      </c>
      <c r="BT15" s="27">
        <f t="shared" si="4"/>
        <v>1875000</v>
      </c>
      <c r="BU15" s="27">
        <f t="shared" si="4"/>
        <v>1875000</v>
      </c>
      <c r="BV15" s="27">
        <f t="shared" si="4"/>
        <v>1875000</v>
      </c>
      <c r="BW15" s="27">
        <f t="shared" si="4"/>
        <v>1875000</v>
      </c>
      <c r="BX15" s="27">
        <f t="shared" si="4"/>
        <v>1875000</v>
      </c>
      <c r="BY15" s="27">
        <f t="shared" si="4"/>
        <v>1875000</v>
      </c>
      <c r="BZ15" s="27">
        <f t="shared" si="4"/>
        <v>1875000</v>
      </c>
      <c r="CA15" s="27">
        <f t="shared" si="4"/>
        <v>1875000</v>
      </c>
      <c r="CB15" s="27">
        <f t="shared" si="4"/>
        <v>1875000</v>
      </c>
      <c r="CC15" s="27">
        <f t="shared" si="4"/>
        <v>1875000</v>
      </c>
      <c r="CD15" s="27">
        <f t="shared" si="4"/>
        <v>1875000</v>
      </c>
      <c r="CE15" s="27">
        <f t="shared" si="4"/>
        <v>1875000</v>
      </c>
      <c r="CF15" s="27">
        <f t="shared" si="4"/>
        <v>1875000</v>
      </c>
      <c r="CG15" s="27">
        <f t="shared" si="4"/>
        <v>1875000</v>
      </c>
      <c r="CH15" s="27">
        <f t="shared" si="4"/>
        <v>1875000</v>
      </c>
      <c r="CI15" s="27">
        <f t="shared" si="4"/>
        <v>1875000</v>
      </c>
      <c r="CJ15" s="27">
        <f t="shared" si="4"/>
        <v>1875000</v>
      </c>
      <c r="CK15" s="27">
        <f t="shared" si="4"/>
        <v>1875000</v>
      </c>
      <c r="CL15" s="27">
        <f t="shared" si="4"/>
        <v>1875000</v>
      </c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1"/>
      <c r="JX15" s="21"/>
      <c r="JY15" s="21"/>
      <c r="JZ15" s="21"/>
      <c r="KA15" s="21"/>
      <c r="KB15" s="21"/>
      <c r="KC15" s="21"/>
      <c r="KD15" s="21"/>
      <c r="KE15" s="21"/>
      <c r="KF15" s="21"/>
      <c r="KG15" s="21"/>
      <c r="KH15" s="21"/>
      <c r="KI15" s="21"/>
      <c r="KJ15" s="21"/>
      <c r="KK15" s="21"/>
      <c r="KL15" s="21"/>
      <c r="KM15" s="21"/>
      <c r="KN15" s="21"/>
      <c r="KO15" s="21"/>
      <c r="KP15" s="21"/>
      <c r="KQ15" s="21"/>
      <c r="KR15" s="21"/>
      <c r="KS15" s="21"/>
      <c r="KT15" s="21"/>
      <c r="KU15" s="21"/>
      <c r="KV15" s="21"/>
      <c r="KW15" s="21"/>
      <c r="KX15" s="21"/>
      <c r="KY15" s="21"/>
      <c r="KZ15" s="21"/>
      <c r="LA15" s="21"/>
      <c r="LB15" s="21"/>
      <c r="LC15" s="21"/>
      <c r="LD15" s="21"/>
      <c r="LE15" s="21"/>
      <c r="LF15" s="21"/>
      <c r="LG15" s="21"/>
      <c r="LH15" s="21"/>
      <c r="LI15" s="21"/>
      <c r="LJ15" s="21"/>
      <c r="LK15" s="21"/>
      <c r="LL15" s="21"/>
      <c r="LM15" s="21"/>
      <c r="LN15" s="21"/>
      <c r="LO15" s="21"/>
      <c r="LP15" s="21"/>
      <c r="LQ15" s="21"/>
      <c r="LR15" s="21"/>
      <c r="LS15" s="21"/>
      <c r="LT15" s="21"/>
      <c r="LU15" s="21"/>
      <c r="LV15" s="21"/>
      <c r="LW15" s="21"/>
      <c r="LX15" s="21"/>
      <c r="LY15" s="21"/>
      <c r="LZ15" s="21"/>
      <c r="MA15" s="21"/>
      <c r="MB15" s="21"/>
      <c r="MC15" s="21"/>
      <c r="MD15" s="21"/>
      <c r="ME15" s="21"/>
      <c r="MF15" s="21"/>
      <c r="MG15" s="21"/>
      <c r="MH15" s="21"/>
      <c r="MI15" s="21"/>
      <c r="MJ15" s="21"/>
      <c r="MK15" s="21"/>
      <c r="ML15" s="21"/>
      <c r="MM15" s="21"/>
      <c r="MN15" s="21"/>
      <c r="MO15" s="21"/>
      <c r="MP15" s="21"/>
      <c r="MQ15" s="21"/>
      <c r="MR15" s="21"/>
      <c r="MS15" s="21"/>
      <c r="MT15" s="21"/>
      <c r="MU15" s="21"/>
      <c r="MV15" s="21"/>
      <c r="MW15" s="21"/>
      <c r="MX15" s="21"/>
      <c r="MY15" s="21"/>
      <c r="MZ15" s="21"/>
      <c r="NA15" s="21"/>
      <c r="NB15" s="21"/>
      <c r="NC15" s="21"/>
      <c r="ND15" s="21"/>
      <c r="NE15" s="21"/>
      <c r="NF15" s="21"/>
      <c r="NG15" s="21"/>
      <c r="NH15" s="21"/>
      <c r="NI15" s="21"/>
      <c r="NJ15" s="21"/>
      <c r="NK15" s="21"/>
      <c r="NL15" s="21"/>
      <c r="NM15" s="21"/>
      <c r="NN15" s="21"/>
      <c r="NO15" s="21"/>
      <c r="NP15" s="21"/>
      <c r="NQ15" s="21"/>
      <c r="NR15" s="21"/>
      <c r="NS15" s="21"/>
      <c r="NT15" s="21"/>
      <c r="NU15" s="21"/>
      <c r="NV15" s="21"/>
      <c r="NW15" s="21"/>
      <c r="NX15" s="21"/>
      <c r="NY15" s="21"/>
      <c r="NZ15" s="21"/>
      <c r="OA15" s="21"/>
      <c r="OB15" s="21"/>
      <c r="OC15" s="21"/>
      <c r="OD15" s="21"/>
      <c r="OE15" s="21"/>
      <c r="OF15" s="21"/>
      <c r="OG15" s="21"/>
      <c r="OH15" s="21"/>
      <c r="OI15" s="21"/>
      <c r="OJ15" s="21"/>
      <c r="OK15" s="21"/>
      <c r="OL15" s="21"/>
      <c r="OM15" s="21"/>
      <c r="ON15" s="21"/>
      <c r="OO15" s="21"/>
      <c r="OP15" s="21"/>
      <c r="OQ15" s="21"/>
      <c r="OR15" s="21"/>
      <c r="OS15" s="21"/>
      <c r="OT15" s="21"/>
      <c r="OU15" s="21"/>
      <c r="OV15" s="21"/>
      <c r="OW15" s="21"/>
      <c r="OX15" s="21"/>
      <c r="OY15" s="21"/>
      <c r="OZ15" s="21"/>
      <c r="PA15" s="21"/>
      <c r="PB15" s="21"/>
      <c r="PC15" s="21"/>
      <c r="PD15" s="21"/>
      <c r="PE15" s="21"/>
      <c r="PF15" s="21"/>
      <c r="PG15" s="21"/>
      <c r="PH15" s="21"/>
      <c r="PI15" s="21"/>
      <c r="PJ15" s="21"/>
      <c r="PK15" s="21"/>
      <c r="PL15" s="21"/>
      <c r="PM15" s="21"/>
      <c r="PN15" s="21"/>
      <c r="PO15" s="21"/>
      <c r="PP15" s="21"/>
      <c r="PQ15" s="21"/>
      <c r="PR15" s="21"/>
      <c r="PS15" s="21"/>
      <c r="PT15" s="21"/>
      <c r="PU15" s="21"/>
      <c r="PV15" s="21"/>
      <c r="PW15" s="21"/>
      <c r="PX15" s="21"/>
      <c r="PY15" s="21"/>
      <c r="PZ15" s="21"/>
      <c r="QA15" s="21"/>
      <c r="QB15" s="21"/>
      <c r="QC15" s="21"/>
      <c r="QD15" s="21"/>
      <c r="QE15" s="21"/>
      <c r="QF15" s="21"/>
      <c r="QG15" s="21"/>
      <c r="QH15" s="21"/>
      <c r="QI15" s="21"/>
      <c r="QJ15" s="21"/>
      <c r="QK15" s="21"/>
      <c r="QL15" s="21"/>
      <c r="QM15" s="21"/>
      <c r="QN15" s="21"/>
      <c r="QO15" s="21"/>
      <c r="QP15" s="21"/>
      <c r="QQ15" s="21"/>
      <c r="QR15" s="21"/>
      <c r="QS15" s="21"/>
      <c r="QT15" s="21"/>
      <c r="QU15" s="21"/>
      <c r="QV15" s="21"/>
      <c r="QW15" s="21"/>
      <c r="QX15" s="21"/>
      <c r="QY15" s="21"/>
      <c r="QZ15" s="21"/>
      <c r="RA15" s="21"/>
      <c r="RB15" s="21"/>
      <c r="RC15" s="21"/>
      <c r="RD15" s="21"/>
      <c r="RE15" s="21"/>
      <c r="RF15" s="21"/>
      <c r="RG15" s="21"/>
      <c r="RH15" s="21"/>
      <c r="RI15" s="21"/>
      <c r="RJ15" s="21"/>
      <c r="RK15" s="21"/>
      <c r="RL15" s="21"/>
      <c r="RM15" s="21"/>
      <c r="RN15" s="21"/>
      <c r="RO15" s="21"/>
      <c r="RP15" s="21"/>
      <c r="RQ15" s="21"/>
      <c r="RR15" s="21"/>
      <c r="RS15" s="21"/>
      <c r="RT15" s="21"/>
      <c r="RU15" s="21"/>
      <c r="RV15" s="21"/>
      <c r="RW15" s="21"/>
      <c r="RX15" s="21"/>
      <c r="RY15" s="21"/>
      <c r="RZ15" s="21"/>
      <c r="SA15" s="21"/>
      <c r="SB15" s="21"/>
      <c r="SC15" s="21"/>
      <c r="SD15" s="21"/>
      <c r="SE15" s="21"/>
      <c r="SF15" s="21"/>
      <c r="SG15" s="21"/>
      <c r="SH15" s="21"/>
      <c r="SI15" s="21"/>
      <c r="SJ15" s="21"/>
      <c r="SK15" s="21"/>
      <c r="SL15" s="21"/>
      <c r="SM15" s="21"/>
      <c r="SN15" s="21"/>
      <c r="SO15" s="21"/>
      <c r="SP15" s="21"/>
      <c r="SQ15" s="21"/>
      <c r="SR15" s="21"/>
      <c r="SS15" s="21"/>
      <c r="ST15" s="21"/>
      <c r="SU15" s="21"/>
      <c r="SV15" s="21"/>
      <c r="SW15" s="21"/>
      <c r="SX15" s="21"/>
      <c r="SY15" s="21"/>
      <c r="SZ15" s="21"/>
      <c r="TA15" s="21"/>
      <c r="TB15" s="21"/>
      <c r="TC15" s="21"/>
      <c r="TD15" s="21"/>
      <c r="TE15" s="21"/>
      <c r="TF15" s="21"/>
      <c r="TG15" s="21"/>
      <c r="TH15" s="21"/>
      <c r="TI15" s="21"/>
      <c r="TJ15" s="21"/>
      <c r="TK15" s="21"/>
      <c r="TL15" s="21"/>
      <c r="TM15" s="21"/>
      <c r="TN15" s="21"/>
      <c r="TO15" s="21"/>
      <c r="TP15" s="21"/>
      <c r="TQ15" s="21"/>
      <c r="TR15" s="21"/>
      <c r="TS15" s="21"/>
      <c r="TT15" s="21"/>
      <c r="TU15" s="21"/>
      <c r="TV15" s="21"/>
      <c r="TW15" s="21"/>
      <c r="TX15" s="21"/>
      <c r="TY15" s="21"/>
      <c r="TZ15" s="21"/>
      <c r="UA15" s="21"/>
      <c r="UB15" s="21"/>
      <c r="UC15" s="21"/>
      <c r="UD15" s="21"/>
      <c r="UE15" s="21"/>
      <c r="UF15" s="21"/>
      <c r="UG15" s="21"/>
      <c r="UH15" s="21"/>
      <c r="UI15" s="21"/>
      <c r="UJ15" s="21"/>
      <c r="UK15" s="21"/>
      <c r="UL15" s="21"/>
      <c r="UM15" s="21"/>
      <c r="UN15" s="21"/>
      <c r="UO15" s="21"/>
      <c r="UP15" s="21"/>
      <c r="UQ15" s="21"/>
      <c r="UR15" s="21"/>
      <c r="US15" s="21"/>
      <c r="UT15" s="21"/>
      <c r="UU15" s="21"/>
      <c r="UV15" s="21"/>
      <c r="UW15" s="21"/>
      <c r="UX15" s="21"/>
      <c r="UY15" s="21"/>
      <c r="UZ15" s="21"/>
      <c r="VA15" s="21"/>
      <c r="VB15" s="21"/>
      <c r="VC15" s="21"/>
      <c r="VD15" s="21"/>
      <c r="VE15" s="21"/>
      <c r="VF15" s="21"/>
      <c r="VG15" s="21"/>
      <c r="VH15" s="21"/>
      <c r="VI15" s="21"/>
      <c r="VJ15" s="21"/>
      <c r="VK15" s="21"/>
      <c r="VL15" s="21"/>
      <c r="VM15" s="21"/>
      <c r="VN15" s="21"/>
      <c r="VO15" s="21"/>
      <c r="VP15" s="21"/>
      <c r="VQ15" s="21"/>
      <c r="VR15" s="21"/>
      <c r="VS15" s="21"/>
      <c r="VT15" s="21"/>
      <c r="VU15" s="21"/>
      <c r="VV15" s="21"/>
      <c r="VW15" s="21"/>
      <c r="VX15" s="21"/>
      <c r="VY15" s="21"/>
      <c r="VZ15" s="21"/>
      <c r="WA15" s="21"/>
      <c r="WB15" s="21"/>
      <c r="WC15" s="21"/>
      <c r="WD15" s="21"/>
      <c r="WE15" s="21"/>
      <c r="WF15" s="21"/>
      <c r="WG15" s="21"/>
      <c r="WH15" s="21"/>
      <c r="WI15" s="21"/>
      <c r="WJ15" s="21"/>
      <c r="WK15" s="21"/>
      <c r="WL15" s="21"/>
      <c r="WM15" s="21"/>
      <c r="WN15" s="21"/>
      <c r="WO15" s="21"/>
      <c r="WP15" s="21"/>
      <c r="WQ15" s="21"/>
      <c r="WR15" s="21"/>
      <c r="WS15" s="21"/>
      <c r="WT15" s="21"/>
      <c r="WU15" s="21"/>
      <c r="WV15" s="21"/>
      <c r="WW15" s="21"/>
      <c r="WX15" s="21"/>
      <c r="WY15" s="21"/>
      <c r="WZ15" s="21"/>
      <c r="XA15" s="21"/>
      <c r="XB15" s="21"/>
      <c r="XC15" s="21"/>
      <c r="XD15" s="21"/>
      <c r="XE15" s="21"/>
      <c r="XF15" s="21"/>
      <c r="XG15" s="21"/>
      <c r="XH15" s="21"/>
      <c r="XI15" s="21"/>
      <c r="XJ15" s="21"/>
      <c r="XK15" s="21"/>
      <c r="XL15" s="21"/>
      <c r="XM15" s="21"/>
      <c r="XN15" s="21"/>
      <c r="XO15" s="21"/>
      <c r="XP15" s="21"/>
      <c r="XQ15" s="21"/>
      <c r="XR15" s="21"/>
      <c r="XS15" s="21"/>
      <c r="XT15" s="21"/>
      <c r="XU15" s="21"/>
      <c r="XV15" s="21"/>
      <c r="XW15" s="21"/>
      <c r="XX15" s="21"/>
      <c r="XY15" s="21"/>
      <c r="XZ15" s="21"/>
      <c r="YA15" s="21"/>
      <c r="YB15" s="21"/>
      <c r="YC15" s="21"/>
      <c r="YD15" s="21"/>
      <c r="YE15" s="21"/>
      <c r="YF15" s="21"/>
      <c r="YG15" s="21"/>
      <c r="YH15" s="21"/>
      <c r="YI15" s="21"/>
      <c r="YJ15" s="21"/>
      <c r="YK15" s="21"/>
      <c r="YL15" s="21"/>
      <c r="YM15" s="21"/>
      <c r="YN15" s="21"/>
      <c r="YO15" s="21"/>
      <c r="YP15" s="21"/>
      <c r="YQ15" s="21"/>
      <c r="YR15" s="21"/>
      <c r="YS15" s="21"/>
      <c r="YT15" s="21"/>
      <c r="YU15" s="21"/>
      <c r="YV15" s="21"/>
      <c r="YW15" s="21"/>
      <c r="YX15" s="21"/>
      <c r="YY15" s="21"/>
      <c r="YZ15" s="21"/>
      <c r="ZA15" s="21"/>
      <c r="ZB15" s="21"/>
      <c r="ZC15" s="21"/>
      <c r="ZD15" s="21"/>
      <c r="ZE15" s="21"/>
      <c r="ZF15" s="21"/>
      <c r="ZG15" s="21"/>
      <c r="ZH15" s="21"/>
      <c r="ZI15" s="21"/>
      <c r="ZJ15" s="21"/>
      <c r="ZK15" s="21"/>
      <c r="ZL15" s="21"/>
      <c r="ZM15" s="21"/>
      <c r="ZN15" s="21"/>
      <c r="ZO15" s="21"/>
      <c r="ZP15" s="21"/>
      <c r="ZQ15" s="21"/>
      <c r="ZR15" s="21"/>
      <c r="ZS15" s="21"/>
      <c r="ZT15" s="21"/>
      <c r="ZU15" s="21"/>
      <c r="ZV15" s="21"/>
      <c r="ZW15" s="21"/>
      <c r="ZX15" s="21"/>
      <c r="ZY15" s="21"/>
      <c r="ZZ15" s="21"/>
      <c r="AAA15" s="21"/>
      <c r="AAB15" s="21"/>
      <c r="AAC15" s="21"/>
      <c r="AAD15" s="21"/>
      <c r="AAE15" s="21"/>
      <c r="AAF15" s="21"/>
      <c r="AAG15" s="21"/>
      <c r="AAH15" s="21"/>
      <c r="AAI15" s="21"/>
      <c r="AAJ15" s="21"/>
      <c r="AAK15" s="21"/>
      <c r="AAL15" s="21"/>
      <c r="AAM15" s="21"/>
      <c r="AAN15" s="21"/>
      <c r="AAO15" s="21"/>
      <c r="AAP15" s="21"/>
      <c r="AAQ15" s="21"/>
      <c r="AAR15" s="21"/>
      <c r="AAS15" s="21"/>
      <c r="AAT15" s="21"/>
      <c r="AAU15" s="21"/>
      <c r="AAV15" s="21"/>
      <c r="AAW15" s="21"/>
      <c r="AAX15" s="21"/>
      <c r="AAY15" s="21"/>
      <c r="AAZ15" s="21"/>
      <c r="ABA15" s="21"/>
      <c r="ABB15" s="21"/>
      <c r="ABC15" s="21"/>
      <c r="ABD15" s="21"/>
      <c r="ABE15" s="21"/>
      <c r="ABF15" s="21"/>
      <c r="ABG15" s="21"/>
      <c r="ABH15" s="21"/>
      <c r="ABI15" s="21"/>
      <c r="ABJ15" s="21"/>
      <c r="ABK15" s="21"/>
      <c r="ABL15" s="21"/>
      <c r="ABM15" s="21"/>
      <c r="ABN15" s="21"/>
      <c r="ABO15" s="21"/>
      <c r="ABP15" s="21"/>
      <c r="ABQ15" s="21"/>
      <c r="ABR15" s="21"/>
      <c r="ABS15" s="21"/>
      <c r="ABT15" s="21"/>
      <c r="ABU15" s="21"/>
      <c r="ABV15" s="21"/>
      <c r="ABW15" s="21"/>
      <c r="ABX15" s="21"/>
      <c r="ABY15" s="21"/>
      <c r="ABZ15" s="21"/>
      <c r="ACA15" s="21"/>
      <c r="ACB15" s="21"/>
      <c r="ACC15" s="21"/>
      <c r="ACD15" s="21"/>
      <c r="ACE15" s="21"/>
      <c r="ACF15" s="21"/>
      <c r="ACG15" s="21"/>
      <c r="ACH15" s="21"/>
      <c r="ACI15" s="21"/>
      <c r="ACJ15" s="21"/>
      <c r="ACK15" s="21"/>
      <c r="ACL15" s="21"/>
      <c r="ACM15" s="21"/>
      <c r="ACN15" s="21"/>
      <c r="ACO15" s="21"/>
      <c r="ACP15" s="21"/>
      <c r="ACQ15" s="21"/>
      <c r="ACR15" s="21"/>
      <c r="ACS15" s="21"/>
      <c r="ACT15" s="21"/>
      <c r="ACU15" s="21"/>
      <c r="ACV15" s="21"/>
      <c r="ACW15" s="21"/>
      <c r="ACX15" s="21"/>
      <c r="ACY15" s="21"/>
      <c r="ACZ15" s="21"/>
      <c r="ADA15" s="21"/>
      <c r="ADB15" s="21"/>
      <c r="ADC15" s="21"/>
      <c r="ADD15" s="21"/>
      <c r="ADE15" s="21"/>
      <c r="ADF15" s="21"/>
      <c r="ADG15" s="21"/>
      <c r="ADH15" s="21"/>
      <c r="ADI15" s="21"/>
      <c r="ADJ15" s="21"/>
      <c r="ADK15" s="21"/>
      <c r="ADL15" s="21"/>
      <c r="ADM15" s="21"/>
      <c r="ADN15" s="21"/>
      <c r="ADO15" s="21"/>
      <c r="ADP15" s="21"/>
      <c r="ADQ15" s="21"/>
      <c r="ADR15" s="21"/>
      <c r="ADS15" s="21"/>
      <c r="ADT15" s="21"/>
      <c r="ADU15" s="21"/>
      <c r="ADV15" s="21"/>
      <c r="ADW15" s="21"/>
      <c r="ADX15" s="21"/>
      <c r="ADY15" s="21"/>
      <c r="ADZ15" s="21"/>
      <c r="AEA15" s="21"/>
      <c r="AEB15" s="21"/>
      <c r="AEC15" s="21"/>
      <c r="AED15" s="21"/>
      <c r="AEE15" s="21"/>
      <c r="AEF15" s="21"/>
      <c r="AEG15" s="21"/>
      <c r="AEH15" s="21"/>
      <c r="AEI15" s="21"/>
      <c r="AEJ15" s="21"/>
      <c r="AEK15" s="21"/>
      <c r="AEL15" s="21"/>
      <c r="AEM15" s="21"/>
      <c r="AEN15" s="21"/>
      <c r="AEO15" s="21"/>
      <c r="AEP15" s="21"/>
      <c r="AEQ15" s="21"/>
      <c r="AER15" s="21"/>
      <c r="AES15" s="21"/>
      <c r="AET15" s="21"/>
      <c r="AEU15" s="21"/>
      <c r="AEV15" s="21"/>
      <c r="AEW15" s="21"/>
      <c r="AEX15" s="21"/>
      <c r="AEY15" s="21"/>
      <c r="AEZ15" s="21"/>
      <c r="AFA15" s="21"/>
      <c r="AFB15" s="21"/>
      <c r="AFC15" s="21"/>
      <c r="AFD15" s="21"/>
      <c r="AFE15" s="21"/>
      <c r="AFF15" s="21"/>
      <c r="AFG15" s="21"/>
      <c r="AFH15" s="21"/>
      <c r="AFI15" s="21"/>
      <c r="AFJ15" s="21"/>
      <c r="AFK15" s="21"/>
      <c r="AFL15" s="21"/>
      <c r="AFM15" s="21"/>
      <c r="AFN15" s="21"/>
      <c r="AFO15" s="21"/>
      <c r="AFP15" s="21"/>
      <c r="AFQ15" s="21"/>
      <c r="AFR15" s="21"/>
      <c r="AFS15" s="21"/>
      <c r="AFT15" s="21"/>
      <c r="AFU15" s="21"/>
      <c r="AFV15" s="21"/>
      <c r="AFW15" s="21"/>
      <c r="AFX15" s="21"/>
      <c r="AFY15" s="21"/>
      <c r="AFZ15" s="21"/>
      <c r="AGA15" s="21"/>
      <c r="AGB15" s="21"/>
      <c r="AGC15" s="21"/>
      <c r="AGD15" s="21"/>
      <c r="AGE15" s="21"/>
      <c r="AGF15" s="21"/>
      <c r="AGG15" s="21"/>
      <c r="AGH15" s="21"/>
      <c r="AGI15" s="21"/>
      <c r="AGJ15" s="21"/>
      <c r="AGK15" s="21"/>
      <c r="AGL15" s="21"/>
      <c r="AGM15" s="21"/>
      <c r="AGN15" s="21"/>
      <c r="AGO15" s="21"/>
      <c r="AGP15" s="21"/>
      <c r="AGQ15" s="21"/>
      <c r="AGR15" s="21"/>
      <c r="AGS15" s="21"/>
    </row>
    <row r="16" spans="1:877" ht="13">
      <c r="A16" s="25"/>
      <c r="B16" s="48"/>
      <c r="C16" s="49" t="s">
        <v>26</v>
      </c>
      <c r="D16" s="36"/>
      <c r="E16" s="36"/>
      <c r="F16" s="27"/>
      <c r="G16" s="27">
        <f t="shared" ref="G16:CL16" si="5">G14*$B$13</f>
        <v>0</v>
      </c>
      <c r="H16" s="27">
        <f t="shared" si="5"/>
        <v>0</v>
      </c>
      <c r="I16" s="27">
        <f t="shared" si="5"/>
        <v>0</v>
      </c>
      <c r="J16" s="27">
        <f t="shared" si="5"/>
        <v>0</v>
      </c>
      <c r="K16" s="27">
        <f t="shared" si="5"/>
        <v>0</v>
      </c>
      <c r="L16" s="27">
        <f t="shared" si="5"/>
        <v>0</v>
      </c>
      <c r="M16" s="27">
        <f t="shared" si="5"/>
        <v>0</v>
      </c>
      <c r="N16" s="27">
        <f t="shared" si="5"/>
        <v>0</v>
      </c>
      <c r="O16" s="27">
        <f t="shared" si="5"/>
        <v>0</v>
      </c>
      <c r="P16" s="27">
        <f t="shared" si="5"/>
        <v>0</v>
      </c>
      <c r="Q16" s="27">
        <f t="shared" si="5"/>
        <v>0</v>
      </c>
      <c r="R16" s="27">
        <f t="shared" si="5"/>
        <v>0</v>
      </c>
      <c r="S16" s="27">
        <f t="shared" si="5"/>
        <v>19649.013157894737</v>
      </c>
      <c r="T16" s="27">
        <f t="shared" si="5"/>
        <v>19649.013157894737</v>
      </c>
      <c r="U16" s="27">
        <f t="shared" si="5"/>
        <v>19649.013157894737</v>
      </c>
      <c r="V16" s="27">
        <f t="shared" si="5"/>
        <v>19649.013157894737</v>
      </c>
      <c r="W16" s="27">
        <f t="shared" si="5"/>
        <v>19649.013157894737</v>
      </c>
      <c r="X16" s="27">
        <f t="shared" si="5"/>
        <v>19649.013157894737</v>
      </c>
      <c r="Y16" s="27">
        <f t="shared" si="5"/>
        <v>98245.065789473694</v>
      </c>
      <c r="Z16" s="27">
        <f t="shared" si="5"/>
        <v>98245.065789473694</v>
      </c>
      <c r="AA16" s="27">
        <f t="shared" si="5"/>
        <v>98245.065789473694</v>
      </c>
      <c r="AB16" s="27">
        <f t="shared" si="5"/>
        <v>98245.065789473694</v>
      </c>
      <c r="AC16" s="27">
        <f t="shared" si="5"/>
        <v>98245.065789473694</v>
      </c>
      <c r="AD16" s="27">
        <f t="shared" si="5"/>
        <v>98245.065789473694</v>
      </c>
      <c r="AE16" s="27">
        <f t="shared" si="5"/>
        <v>98245.065789473694</v>
      </c>
      <c r="AF16" s="27">
        <f t="shared" si="5"/>
        <v>98245.065789473694</v>
      </c>
      <c r="AG16" s="27">
        <f t="shared" si="5"/>
        <v>98245.065789473694</v>
      </c>
      <c r="AH16" s="27">
        <f t="shared" si="5"/>
        <v>98245.065789473694</v>
      </c>
      <c r="AI16" s="27">
        <f t="shared" si="5"/>
        <v>98245.065789473694</v>
      </c>
      <c r="AJ16" s="27">
        <f t="shared" si="5"/>
        <v>98245.065789473694</v>
      </c>
      <c r="AK16" s="27">
        <f t="shared" si="5"/>
        <v>196490.13157894739</v>
      </c>
      <c r="AL16" s="27">
        <f t="shared" si="5"/>
        <v>196490.13157894739</v>
      </c>
      <c r="AM16" s="27">
        <f t="shared" si="5"/>
        <v>196490.13157894739</v>
      </c>
      <c r="AN16" s="27">
        <f t="shared" si="5"/>
        <v>196490.13157894739</v>
      </c>
      <c r="AO16" s="27">
        <f t="shared" si="5"/>
        <v>196490.13157894739</v>
      </c>
      <c r="AP16" s="27">
        <f t="shared" si="5"/>
        <v>196490.13157894739</v>
      </c>
      <c r="AQ16" s="27">
        <f t="shared" si="5"/>
        <v>196490.13157894739</v>
      </c>
      <c r="AR16" s="27">
        <f t="shared" si="5"/>
        <v>196490.13157894739</v>
      </c>
      <c r="AS16" s="27">
        <f t="shared" si="5"/>
        <v>196490.13157894739</v>
      </c>
      <c r="AT16" s="27">
        <f t="shared" si="5"/>
        <v>196490.13157894739</v>
      </c>
      <c r="AU16" s="27">
        <f t="shared" si="5"/>
        <v>196490.13157894739</v>
      </c>
      <c r="AV16" s="27">
        <f t="shared" si="5"/>
        <v>196490.13157894739</v>
      </c>
      <c r="AW16" s="27">
        <f t="shared" si="5"/>
        <v>196490.13157894739</v>
      </c>
      <c r="AX16" s="27">
        <f t="shared" si="5"/>
        <v>196490.13157894739</v>
      </c>
      <c r="AY16" s="27">
        <f t="shared" si="5"/>
        <v>196490.13157894739</v>
      </c>
      <c r="AZ16" s="27">
        <f t="shared" si="5"/>
        <v>196490.13157894739</v>
      </c>
      <c r="BA16" s="27">
        <f t="shared" si="5"/>
        <v>196490.13157894739</v>
      </c>
      <c r="BB16" s="27">
        <f t="shared" si="5"/>
        <v>196490.13157894739</v>
      </c>
      <c r="BC16" s="27">
        <f t="shared" si="5"/>
        <v>196490.13157894739</v>
      </c>
      <c r="BD16" s="27">
        <f t="shared" si="5"/>
        <v>196490.13157894739</v>
      </c>
      <c r="BE16" s="27">
        <f t="shared" si="5"/>
        <v>196490.13157894739</v>
      </c>
      <c r="BF16" s="27">
        <f t="shared" si="5"/>
        <v>196490.13157894739</v>
      </c>
      <c r="BG16" s="27">
        <f t="shared" si="5"/>
        <v>196490.13157894739</v>
      </c>
      <c r="BH16" s="27">
        <f t="shared" si="5"/>
        <v>196490.13157894739</v>
      </c>
      <c r="BI16" s="27">
        <f t="shared" si="5"/>
        <v>196490.13157894739</v>
      </c>
      <c r="BJ16" s="27">
        <f t="shared" si="5"/>
        <v>196490.13157894739</v>
      </c>
      <c r="BK16" s="27">
        <f t="shared" si="5"/>
        <v>196490.13157894739</v>
      </c>
      <c r="BL16" s="27">
        <f t="shared" si="5"/>
        <v>196490.13157894739</v>
      </c>
      <c r="BM16" s="27">
        <f t="shared" si="5"/>
        <v>196490.13157894739</v>
      </c>
      <c r="BN16" s="27">
        <f t="shared" si="5"/>
        <v>196490.13157894739</v>
      </c>
      <c r="BO16" s="27">
        <f t="shared" si="5"/>
        <v>196490.13157894739</v>
      </c>
      <c r="BP16" s="27">
        <f t="shared" si="5"/>
        <v>196490.13157894739</v>
      </c>
      <c r="BQ16" s="27">
        <f t="shared" si="5"/>
        <v>196490.13157894739</v>
      </c>
      <c r="BR16" s="27">
        <f t="shared" si="5"/>
        <v>196490.13157894739</v>
      </c>
      <c r="BS16" s="27">
        <f t="shared" si="5"/>
        <v>196490.13157894739</v>
      </c>
      <c r="BT16" s="27">
        <f t="shared" si="5"/>
        <v>196490.13157894739</v>
      </c>
      <c r="BU16" s="27">
        <f t="shared" si="5"/>
        <v>196490.13157894739</v>
      </c>
      <c r="BV16" s="27">
        <f t="shared" si="5"/>
        <v>196490.13157894739</v>
      </c>
      <c r="BW16" s="27">
        <f t="shared" si="5"/>
        <v>196490.13157894739</v>
      </c>
      <c r="BX16" s="27">
        <f t="shared" si="5"/>
        <v>196490.13157894739</v>
      </c>
      <c r="BY16" s="27">
        <f t="shared" si="5"/>
        <v>196490.13157894739</v>
      </c>
      <c r="BZ16" s="27">
        <f t="shared" si="5"/>
        <v>196490.13157894739</v>
      </c>
      <c r="CA16" s="27">
        <f t="shared" si="5"/>
        <v>196490.13157894739</v>
      </c>
      <c r="CB16" s="27">
        <f t="shared" si="5"/>
        <v>196490.13157894739</v>
      </c>
      <c r="CC16" s="27">
        <f t="shared" si="5"/>
        <v>196490.13157894739</v>
      </c>
      <c r="CD16" s="27">
        <f t="shared" si="5"/>
        <v>196490.13157894739</v>
      </c>
      <c r="CE16" s="27">
        <f t="shared" si="5"/>
        <v>196490.13157894739</v>
      </c>
      <c r="CF16" s="27">
        <f t="shared" si="5"/>
        <v>196490.13157894739</v>
      </c>
      <c r="CG16" s="27">
        <f t="shared" si="5"/>
        <v>196490.13157894739</v>
      </c>
      <c r="CH16" s="27">
        <f t="shared" si="5"/>
        <v>196490.13157894739</v>
      </c>
      <c r="CI16" s="27">
        <f t="shared" si="5"/>
        <v>196490.13157894739</v>
      </c>
      <c r="CJ16" s="27">
        <f t="shared" si="5"/>
        <v>196490.13157894739</v>
      </c>
      <c r="CK16" s="27">
        <f t="shared" si="5"/>
        <v>196490.13157894739</v>
      </c>
      <c r="CL16" s="27">
        <f t="shared" si="5"/>
        <v>196490.13157894739</v>
      </c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  <c r="KH16" s="21"/>
      <c r="KI16" s="21"/>
      <c r="KJ16" s="21"/>
      <c r="KK16" s="21"/>
      <c r="KL16" s="21"/>
      <c r="KM16" s="21"/>
      <c r="KN16" s="21"/>
      <c r="KO16" s="21"/>
      <c r="KP16" s="21"/>
      <c r="KQ16" s="21"/>
      <c r="KR16" s="21"/>
      <c r="KS16" s="21"/>
      <c r="KT16" s="21"/>
      <c r="KU16" s="21"/>
      <c r="KV16" s="21"/>
      <c r="KW16" s="21"/>
      <c r="KX16" s="21"/>
      <c r="KY16" s="21"/>
      <c r="KZ16" s="21"/>
      <c r="LA16" s="21"/>
      <c r="LB16" s="21"/>
      <c r="LC16" s="21"/>
      <c r="LD16" s="21"/>
      <c r="LE16" s="21"/>
      <c r="LF16" s="21"/>
      <c r="LG16" s="21"/>
      <c r="LH16" s="21"/>
      <c r="LI16" s="21"/>
      <c r="LJ16" s="21"/>
      <c r="LK16" s="21"/>
      <c r="LL16" s="21"/>
      <c r="LM16" s="21"/>
      <c r="LN16" s="21"/>
      <c r="LO16" s="21"/>
      <c r="LP16" s="21"/>
      <c r="LQ16" s="21"/>
      <c r="LR16" s="21"/>
      <c r="LS16" s="21"/>
      <c r="LT16" s="21"/>
      <c r="LU16" s="21"/>
      <c r="LV16" s="21"/>
      <c r="LW16" s="21"/>
      <c r="LX16" s="21"/>
      <c r="LY16" s="21"/>
      <c r="LZ16" s="21"/>
      <c r="MA16" s="21"/>
      <c r="MB16" s="21"/>
      <c r="MC16" s="21"/>
      <c r="MD16" s="21"/>
      <c r="ME16" s="21"/>
      <c r="MF16" s="21"/>
      <c r="MG16" s="21"/>
      <c r="MH16" s="21"/>
      <c r="MI16" s="21"/>
      <c r="MJ16" s="21"/>
      <c r="MK16" s="21"/>
      <c r="ML16" s="21"/>
      <c r="MM16" s="21"/>
      <c r="MN16" s="21"/>
      <c r="MO16" s="21"/>
      <c r="MP16" s="21"/>
      <c r="MQ16" s="21"/>
      <c r="MR16" s="21"/>
      <c r="MS16" s="21"/>
      <c r="MT16" s="21"/>
      <c r="MU16" s="21"/>
      <c r="MV16" s="21"/>
      <c r="MW16" s="21"/>
      <c r="MX16" s="21"/>
      <c r="MY16" s="21"/>
      <c r="MZ16" s="21"/>
      <c r="NA16" s="21"/>
      <c r="NB16" s="21"/>
      <c r="NC16" s="21"/>
      <c r="ND16" s="21"/>
      <c r="NE16" s="21"/>
      <c r="NF16" s="21"/>
      <c r="NG16" s="21"/>
      <c r="NH16" s="21"/>
      <c r="NI16" s="21"/>
      <c r="NJ16" s="21"/>
      <c r="NK16" s="21"/>
      <c r="NL16" s="21"/>
      <c r="NM16" s="21"/>
      <c r="NN16" s="21"/>
      <c r="NO16" s="21"/>
      <c r="NP16" s="21"/>
      <c r="NQ16" s="21"/>
      <c r="NR16" s="21"/>
      <c r="NS16" s="21"/>
      <c r="NT16" s="21"/>
      <c r="NU16" s="21"/>
      <c r="NV16" s="21"/>
      <c r="NW16" s="21"/>
      <c r="NX16" s="21"/>
      <c r="NY16" s="21"/>
      <c r="NZ16" s="21"/>
      <c r="OA16" s="21"/>
      <c r="OB16" s="21"/>
      <c r="OC16" s="21"/>
      <c r="OD16" s="21"/>
      <c r="OE16" s="21"/>
      <c r="OF16" s="21"/>
      <c r="OG16" s="21"/>
      <c r="OH16" s="21"/>
      <c r="OI16" s="21"/>
      <c r="OJ16" s="21"/>
      <c r="OK16" s="21"/>
      <c r="OL16" s="21"/>
      <c r="OM16" s="21"/>
      <c r="ON16" s="21"/>
      <c r="OO16" s="21"/>
      <c r="OP16" s="21"/>
      <c r="OQ16" s="21"/>
      <c r="OR16" s="21"/>
      <c r="OS16" s="21"/>
      <c r="OT16" s="21"/>
      <c r="OU16" s="21"/>
      <c r="OV16" s="21"/>
      <c r="OW16" s="21"/>
      <c r="OX16" s="21"/>
      <c r="OY16" s="21"/>
      <c r="OZ16" s="21"/>
      <c r="PA16" s="21"/>
      <c r="PB16" s="21"/>
      <c r="PC16" s="21"/>
      <c r="PD16" s="21"/>
      <c r="PE16" s="21"/>
      <c r="PF16" s="21"/>
      <c r="PG16" s="21"/>
      <c r="PH16" s="21"/>
      <c r="PI16" s="21"/>
      <c r="PJ16" s="21"/>
      <c r="PK16" s="21"/>
      <c r="PL16" s="21"/>
      <c r="PM16" s="21"/>
      <c r="PN16" s="21"/>
      <c r="PO16" s="21"/>
      <c r="PP16" s="21"/>
      <c r="PQ16" s="21"/>
      <c r="PR16" s="21"/>
      <c r="PS16" s="21"/>
      <c r="PT16" s="21"/>
      <c r="PU16" s="21"/>
      <c r="PV16" s="21"/>
      <c r="PW16" s="21"/>
      <c r="PX16" s="21"/>
      <c r="PY16" s="21"/>
      <c r="PZ16" s="21"/>
      <c r="QA16" s="21"/>
      <c r="QB16" s="21"/>
      <c r="QC16" s="21"/>
      <c r="QD16" s="21"/>
      <c r="QE16" s="21"/>
      <c r="QF16" s="21"/>
      <c r="QG16" s="21"/>
      <c r="QH16" s="21"/>
      <c r="QI16" s="21"/>
      <c r="QJ16" s="21"/>
      <c r="QK16" s="21"/>
      <c r="QL16" s="21"/>
      <c r="QM16" s="21"/>
      <c r="QN16" s="21"/>
      <c r="QO16" s="21"/>
      <c r="QP16" s="21"/>
      <c r="QQ16" s="21"/>
      <c r="QR16" s="21"/>
      <c r="QS16" s="21"/>
      <c r="QT16" s="21"/>
      <c r="QU16" s="21"/>
      <c r="QV16" s="21"/>
      <c r="QW16" s="21"/>
      <c r="QX16" s="21"/>
      <c r="QY16" s="21"/>
      <c r="QZ16" s="21"/>
      <c r="RA16" s="21"/>
      <c r="RB16" s="21"/>
      <c r="RC16" s="21"/>
      <c r="RD16" s="21"/>
      <c r="RE16" s="21"/>
      <c r="RF16" s="21"/>
      <c r="RG16" s="21"/>
      <c r="RH16" s="21"/>
      <c r="RI16" s="21"/>
      <c r="RJ16" s="21"/>
      <c r="RK16" s="21"/>
      <c r="RL16" s="21"/>
      <c r="RM16" s="21"/>
      <c r="RN16" s="21"/>
      <c r="RO16" s="21"/>
      <c r="RP16" s="21"/>
      <c r="RQ16" s="21"/>
      <c r="RR16" s="21"/>
      <c r="RS16" s="21"/>
      <c r="RT16" s="21"/>
      <c r="RU16" s="21"/>
      <c r="RV16" s="21"/>
      <c r="RW16" s="21"/>
      <c r="RX16" s="21"/>
      <c r="RY16" s="21"/>
      <c r="RZ16" s="21"/>
      <c r="SA16" s="21"/>
      <c r="SB16" s="21"/>
      <c r="SC16" s="21"/>
      <c r="SD16" s="21"/>
      <c r="SE16" s="21"/>
      <c r="SF16" s="21"/>
      <c r="SG16" s="21"/>
      <c r="SH16" s="21"/>
      <c r="SI16" s="21"/>
      <c r="SJ16" s="21"/>
      <c r="SK16" s="21"/>
      <c r="SL16" s="21"/>
      <c r="SM16" s="21"/>
      <c r="SN16" s="21"/>
      <c r="SO16" s="21"/>
      <c r="SP16" s="21"/>
      <c r="SQ16" s="21"/>
      <c r="SR16" s="21"/>
      <c r="SS16" s="21"/>
      <c r="ST16" s="21"/>
      <c r="SU16" s="21"/>
      <c r="SV16" s="21"/>
      <c r="SW16" s="21"/>
      <c r="SX16" s="21"/>
      <c r="SY16" s="21"/>
      <c r="SZ16" s="21"/>
      <c r="TA16" s="21"/>
      <c r="TB16" s="21"/>
      <c r="TC16" s="21"/>
      <c r="TD16" s="21"/>
      <c r="TE16" s="21"/>
      <c r="TF16" s="21"/>
      <c r="TG16" s="21"/>
      <c r="TH16" s="21"/>
      <c r="TI16" s="21"/>
      <c r="TJ16" s="21"/>
      <c r="TK16" s="21"/>
      <c r="TL16" s="21"/>
      <c r="TM16" s="21"/>
      <c r="TN16" s="21"/>
      <c r="TO16" s="21"/>
      <c r="TP16" s="21"/>
      <c r="TQ16" s="21"/>
      <c r="TR16" s="21"/>
      <c r="TS16" s="21"/>
      <c r="TT16" s="21"/>
      <c r="TU16" s="21"/>
      <c r="TV16" s="21"/>
      <c r="TW16" s="21"/>
      <c r="TX16" s="21"/>
      <c r="TY16" s="21"/>
      <c r="TZ16" s="21"/>
      <c r="UA16" s="21"/>
      <c r="UB16" s="21"/>
      <c r="UC16" s="21"/>
      <c r="UD16" s="21"/>
      <c r="UE16" s="21"/>
      <c r="UF16" s="21"/>
      <c r="UG16" s="21"/>
      <c r="UH16" s="21"/>
      <c r="UI16" s="21"/>
      <c r="UJ16" s="21"/>
      <c r="UK16" s="21"/>
      <c r="UL16" s="21"/>
      <c r="UM16" s="21"/>
      <c r="UN16" s="21"/>
      <c r="UO16" s="21"/>
      <c r="UP16" s="21"/>
      <c r="UQ16" s="21"/>
      <c r="UR16" s="21"/>
      <c r="US16" s="21"/>
      <c r="UT16" s="21"/>
      <c r="UU16" s="21"/>
      <c r="UV16" s="21"/>
      <c r="UW16" s="21"/>
      <c r="UX16" s="21"/>
      <c r="UY16" s="21"/>
      <c r="UZ16" s="21"/>
      <c r="VA16" s="21"/>
      <c r="VB16" s="21"/>
      <c r="VC16" s="21"/>
      <c r="VD16" s="21"/>
      <c r="VE16" s="21"/>
      <c r="VF16" s="21"/>
      <c r="VG16" s="21"/>
      <c r="VH16" s="21"/>
      <c r="VI16" s="21"/>
      <c r="VJ16" s="21"/>
      <c r="VK16" s="21"/>
      <c r="VL16" s="21"/>
      <c r="VM16" s="21"/>
      <c r="VN16" s="21"/>
      <c r="VO16" s="21"/>
      <c r="VP16" s="21"/>
      <c r="VQ16" s="21"/>
      <c r="VR16" s="21"/>
      <c r="VS16" s="21"/>
      <c r="VT16" s="21"/>
      <c r="VU16" s="21"/>
      <c r="VV16" s="21"/>
      <c r="VW16" s="21"/>
      <c r="VX16" s="21"/>
      <c r="VY16" s="21"/>
      <c r="VZ16" s="21"/>
      <c r="WA16" s="21"/>
      <c r="WB16" s="21"/>
      <c r="WC16" s="21"/>
      <c r="WD16" s="21"/>
      <c r="WE16" s="21"/>
      <c r="WF16" s="21"/>
      <c r="WG16" s="21"/>
      <c r="WH16" s="21"/>
      <c r="WI16" s="21"/>
      <c r="WJ16" s="21"/>
      <c r="WK16" s="21"/>
      <c r="WL16" s="21"/>
      <c r="WM16" s="21"/>
      <c r="WN16" s="21"/>
      <c r="WO16" s="21"/>
      <c r="WP16" s="21"/>
      <c r="WQ16" s="21"/>
      <c r="WR16" s="21"/>
      <c r="WS16" s="21"/>
      <c r="WT16" s="21"/>
      <c r="WU16" s="21"/>
      <c r="WV16" s="21"/>
      <c r="WW16" s="21"/>
      <c r="WX16" s="21"/>
      <c r="WY16" s="21"/>
      <c r="WZ16" s="21"/>
      <c r="XA16" s="21"/>
      <c r="XB16" s="21"/>
      <c r="XC16" s="21"/>
      <c r="XD16" s="21"/>
      <c r="XE16" s="21"/>
      <c r="XF16" s="21"/>
      <c r="XG16" s="21"/>
      <c r="XH16" s="21"/>
      <c r="XI16" s="21"/>
      <c r="XJ16" s="21"/>
      <c r="XK16" s="21"/>
      <c r="XL16" s="21"/>
      <c r="XM16" s="21"/>
      <c r="XN16" s="21"/>
      <c r="XO16" s="21"/>
      <c r="XP16" s="21"/>
      <c r="XQ16" s="21"/>
      <c r="XR16" s="21"/>
      <c r="XS16" s="21"/>
      <c r="XT16" s="21"/>
      <c r="XU16" s="21"/>
      <c r="XV16" s="21"/>
      <c r="XW16" s="21"/>
      <c r="XX16" s="21"/>
      <c r="XY16" s="21"/>
      <c r="XZ16" s="21"/>
      <c r="YA16" s="21"/>
      <c r="YB16" s="21"/>
      <c r="YC16" s="21"/>
      <c r="YD16" s="21"/>
      <c r="YE16" s="21"/>
      <c r="YF16" s="21"/>
      <c r="YG16" s="21"/>
      <c r="YH16" s="21"/>
      <c r="YI16" s="21"/>
      <c r="YJ16" s="21"/>
      <c r="YK16" s="21"/>
      <c r="YL16" s="21"/>
      <c r="YM16" s="21"/>
      <c r="YN16" s="21"/>
      <c r="YO16" s="21"/>
      <c r="YP16" s="21"/>
      <c r="YQ16" s="21"/>
      <c r="YR16" s="21"/>
      <c r="YS16" s="21"/>
      <c r="YT16" s="21"/>
      <c r="YU16" s="21"/>
      <c r="YV16" s="21"/>
      <c r="YW16" s="21"/>
      <c r="YX16" s="21"/>
      <c r="YY16" s="21"/>
      <c r="YZ16" s="21"/>
      <c r="ZA16" s="21"/>
      <c r="ZB16" s="21"/>
      <c r="ZC16" s="21"/>
      <c r="ZD16" s="21"/>
      <c r="ZE16" s="21"/>
      <c r="ZF16" s="21"/>
      <c r="ZG16" s="21"/>
      <c r="ZH16" s="21"/>
      <c r="ZI16" s="21"/>
      <c r="ZJ16" s="21"/>
      <c r="ZK16" s="21"/>
      <c r="ZL16" s="21"/>
      <c r="ZM16" s="21"/>
      <c r="ZN16" s="21"/>
      <c r="ZO16" s="21"/>
      <c r="ZP16" s="21"/>
      <c r="ZQ16" s="21"/>
      <c r="ZR16" s="21"/>
      <c r="ZS16" s="21"/>
      <c r="ZT16" s="21"/>
      <c r="ZU16" s="21"/>
      <c r="ZV16" s="21"/>
      <c r="ZW16" s="21"/>
      <c r="ZX16" s="21"/>
      <c r="ZY16" s="21"/>
      <c r="ZZ16" s="21"/>
      <c r="AAA16" s="21"/>
      <c r="AAB16" s="21"/>
      <c r="AAC16" s="21"/>
      <c r="AAD16" s="21"/>
      <c r="AAE16" s="21"/>
      <c r="AAF16" s="21"/>
      <c r="AAG16" s="21"/>
      <c r="AAH16" s="21"/>
      <c r="AAI16" s="21"/>
      <c r="AAJ16" s="21"/>
      <c r="AAK16" s="21"/>
      <c r="AAL16" s="21"/>
      <c r="AAM16" s="21"/>
      <c r="AAN16" s="21"/>
      <c r="AAO16" s="21"/>
      <c r="AAP16" s="21"/>
      <c r="AAQ16" s="21"/>
      <c r="AAR16" s="21"/>
      <c r="AAS16" s="21"/>
      <c r="AAT16" s="21"/>
      <c r="AAU16" s="21"/>
      <c r="AAV16" s="21"/>
      <c r="AAW16" s="21"/>
      <c r="AAX16" s="21"/>
      <c r="AAY16" s="21"/>
      <c r="AAZ16" s="21"/>
      <c r="ABA16" s="21"/>
      <c r="ABB16" s="21"/>
      <c r="ABC16" s="21"/>
      <c r="ABD16" s="21"/>
      <c r="ABE16" s="21"/>
      <c r="ABF16" s="21"/>
      <c r="ABG16" s="21"/>
      <c r="ABH16" s="21"/>
      <c r="ABI16" s="21"/>
      <c r="ABJ16" s="21"/>
      <c r="ABK16" s="21"/>
      <c r="ABL16" s="21"/>
      <c r="ABM16" s="21"/>
      <c r="ABN16" s="21"/>
      <c r="ABO16" s="21"/>
      <c r="ABP16" s="21"/>
      <c r="ABQ16" s="21"/>
      <c r="ABR16" s="21"/>
      <c r="ABS16" s="21"/>
      <c r="ABT16" s="21"/>
      <c r="ABU16" s="21"/>
      <c r="ABV16" s="21"/>
      <c r="ABW16" s="21"/>
      <c r="ABX16" s="21"/>
      <c r="ABY16" s="21"/>
      <c r="ABZ16" s="21"/>
      <c r="ACA16" s="21"/>
      <c r="ACB16" s="21"/>
      <c r="ACC16" s="21"/>
      <c r="ACD16" s="21"/>
      <c r="ACE16" s="21"/>
      <c r="ACF16" s="21"/>
      <c r="ACG16" s="21"/>
      <c r="ACH16" s="21"/>
      <c r="ACI16" s="21"/>
      <c r="ACJ16" s="21"/>
      <c r="ACK16" s="21"/>
      <c r="ACL16" s="21"/>
      <c r="ACM16" s="21"/>
      <c r="ACN16" s="21"/>
      <c r="ACO16" s="21"/>
      <c r="ACP16" s="21"/>
      <c r="ACQ16" s="21"/>
      <c r="ACR16" s="21"/>
      <c r="ACS16" s="21"/>
      <c r="ACT16" s="21"/>
      <c r="ACU16" s="21"/>
      <c r="ACV16" s="21"/>
      <c r="ACW16" s="21"/>
      <c r="ACX16" s="21"/>
      <c r="ACY16" s="21"/>
      <c r="ACZ16" s="21"/>
      <c r="ADA16" s="21"/>
      <c r="ADB16" s="21"/>
      <c r="ADC16" s="21"/>
      <c r="ADD16" s="21"/>
      <c r="ADE16" s="21"/>
      <c r="ADF16" s="21"/>
      <c r="ADG16" s="21"/>
      <c r="ADH16" s="21"/>
      <c r="ADI16" s="21"/>
      <c r="ADJ16" s="21"/>
      <c r="ADK16" s="21"/>
      <c r="ADL16" s="21"/>
      <c r="ADM16" s="21"/>
      <c r="ADN16" s="21"/>
      <c r="ADO16" s="21"/>
      <c r="ADP16" s="21"/>
      <c r="ADQ16" s="21"/>
      <c r="ADR16" s="21"/>
      <c r="ADS16" s="21"/>
      <c r="ADT16" s="21"/>
      <c r="ADU16" s="21"/>
      <c r="ADV16" s="21"/>
      <c r="ADW16" s="21"/>
      <c r="ADX16" s="21"/>
      <c r="ADY16" s="21"/>
      <c r="ADZ16" s="21"/>
      <c r="AEA16" s="21"/>
      <c r="AEB16" s="21"/>
      <c r="AEC16" s="21"/>
      <c r="AED16" s="21"/>
      <c r="AEE16" s="21"/>
      <c r="AEF16" s="21"/>
      <c r="AEG16" s="21"/>
      <c r="AEH16" s="21"/>
      <c r="AEI16" s="21"/>
      <c r="AEJ16" s="21"/>
      <c r="AEK16" s="21"/>
      <c r="AEL16" s="21"/>
      <c r="AEM16" s="21"/>
      <c r="AEN16" s="21"/>
      <c r="AEO16" s="21"/>
      <c r="AEP16" s="21"/>
      <c r="AEQ16" s="21"/>
      <c r="AER16" s="21"/>
      <c r="AES16" s="21"/>
      <c r="AET16" s="21"/>
      <c r="AEU16" s="21"/>
      <c r="AEV16" s="21"/>
      <c r="AEW16" s="21"/>
      <c r="AEX16" s="21"/>
      <c r="AEY16" s="21"/>
      <c r="AEZ16" s="21"/>
      <c r="AFA16" s="21"/>
      <c r="AFB16" s="21"/>
      <c r="AFC16" s="21"/>
      <c r="AFD16" s="21"/>
      <c r="AFE16" s="21"/>
      <c r="AFF16" s="21"/>
      <c r="AFG16" s="21"/>
      <c r="AFH16" s="21"/>
      <c r="AFI16" s="21"/>
      <c r="AFJ16" s="21"/>
      <c r="AFK16" s="21"/>
      <c r="AFL16" s="21"/>
      <c r="AFM16" s="21"/>
      <c r="AFN16" s="21"/>
      <c r="AFO16" s="21"/>
      <c r="AFP16" s="21"/>
      <c r="AFQ16" s="21"/>
      <c r="AFR16" s="21"/>
      <c r="AFS16" s="21"/>
      <c r="AFT16" s="21"/>
      <c r="AFU16" s="21"/>
      <c r="AFV16" s="21"/>
      <c r="AFW16" s="21"/>
      <c r="AFX16" s="21"/>
      <c r="AFY16" s="21"/>
      <c r="AFZ16" s="21"/>
      <c r="AGA16" s="21"/>
      <c r="AGB16" s="21"/>
      <c r="AGC16" s="21"/>
      <c r="AGD16" s="21"/>
      <c r="AGE16" s="21"/>
      <c r="AGF16" s="21"/>
      <c r="AGG16" s="21"/>
      <c r="AGH16" s="21"/>
      <c r="AGI16" s="21"/>
      <c r="AGJ16" s="21"/>
      <c r="AGK16" s="21"/>
      <c r="AGL16" s="21"/>
      <c r="AGM16" s="21"/>
      <c r="AGN16" s="21"/>
      <c r="AGO16" s="21"/>
      <c r="AGP16" s="21"/>
      <c r="AGQ16" s="21"/>
      <c r="AGR16" s="21"/>
      <c r="AGS16" s="21"/>
    </row>
    <row r="17" spans="1:877" ht="13">
      <c r="A17" s="25"/>
      <c r="B17" s="50"/>
      <c r="C17" s="33" t="s">
        <v>27</v>
      </c>
      <c r="D17" s="34"/>
      <c r="E17" s="34"/>
      <c r="F17" s="35"/>
      <c r="G17" s="35">
        <f t="shared" ref="G17:CL17" si="6">G14*($B$15-$B$13)</f>
        <v>0</v>
      </c>
      <c r="H17" s="35">
        <f t="shared" si="6"/>
        <v>0</v>
      </c>
      <c r="I17" s="35">
        <f t="shared" si="6"/>
        <v>0</v>
      </c>
      <c r="J17" s="35">
        <f t="shared" si="6"/>
        <v>0</v>
      </c>
      <c r="K17" s="35">
        <f t="shared" si="6"/>
        <v>0</v>
      </c>
      <c r="L17" s="35">
        <f t="shared" si="6"/>
        <v>0</v>
      </c>
      <c r="M17" s="35">
        <f t="shared" si="6"/>
        <v>0</v>
      </c>
      <c r="N17" s="35">
        <f t="shared" si="6"/>
        <v>0</v>
      </c>
      <c r="O17" s="35">
        <f t="shared" si="6"/>
        <v>0</v>
      </c>
      <c r="P17" s="35">
        <f t="shared" si="6"/>
        <v>0</v>
      </c>
      <c r="Q17" s="35">
        <f t="shared" si="6"/>
        <v>0</v>
      </c>
      <c r="R17" s="35">
        <f t="shared" si="6"/>
        <v>0</v>
      </c>
      <c r="S17" s="35">
        <f t="shared" si="6"/>
        <v>167850.98684210525</v>
      </c>
      <c r="T17" s="35">
        <f t="shared" si="6"/>
        <v>167850.98684210525</v>
      </c>
      <c r="U17" s="35">
        <f t="shared" si="6"/>
        <v>167850.98684210525</v>
      </c>
      <c r="V17" s="35">
        <f t="shared" si="6"/>
        <v>167850.98684210525</v>
      </c>
      <c r="W17" s="35">
        <f t="shared" si="6"/>
        <v>167850.98684210525</v>
      </c>
      <c r="X17" s="35">
        <f t="shared" si="6"/>
        <v>167850.98684210525</v>
      </c>
      <c r="Y17" s="35">
        <f t="shared" si="6"/>
        <v>839254.93421052629</v>
      </c>
      <c r="Z17" s="35">
        <f t="shared" si="6"/>
        <v>839254.93421052629</v>
      </c>
      <c r="AA17" s="35">
        <f t="shared" si="6"/>
        <v>839254.93421052629</v>
      </c>
      <c r="AB17" s="35">
        <f t="shared" si="6"/>
        <v>839254.93421052629</v>
      </c>
      <c r="AC17" s="35">
        <f t="shared" si="6"/>
        <v>839254.93421052629</v>
      </c>
      <c r="AD17" s="35">
        <f t="shared" si="6"/>
        <v>839254.93421052629</v>
      </c>
      <c r="AE17" s="35">
        <f t="shared" si="6"/>
        <v>839254.93421052629</v>
      </c>
      <c r="AF17" s="35">
        <f t="shared" si="6"/>
        <v>839254.93421052629</v>
      </c>
      <c r="AG17" s="35">
        <f t="shared" si="6"/>
        <v>839254.93421052629</v>
      </c>
      <c r="AH17" s="35">
        <f t="shared" si="6"/>
        <v>839254.93421052629</v>
      </c>
      <c r="AI17" s="35">
        <f t="shared" si="6"/>
        <v>839254.93421052629</v>
      </c>
      <c r="AJ17" s="35">
        <f t="shared" si="6"/>
        <v>839254.93421052629</v>
      </c>
      <c r="AK17" s="35">
        <f t="shared" si="6"/>
        <v>1678509.8684210526</v>
      </c>
      <c r="AL17" s="35">
        <f t="shared" si="6"/>
        <v>1678509.8684210526</v>
      </c>
      <c r="AM17" s="35">
        <f t="shared" si="6"/>
        <v>1678509.8684210526</v>
      </c>
      <c r="AN17" s="35">
        <f t="shared" si="6"/>
        <v>1678509.8684210526</v>
      </c>
      <c r="AO17" s="35">
        <f t="shared" si="6"/>
        <v>1678509.8684210526</v>
      </c>
      <c r="AP17" s="35">
        <f t="shared" si="6"/>
        <v>1678509.8684210526</v>
      </c>
      <c r="AQ17" s="35">
        <f t="shared" si="6"/>
        <v>1678509.8684210526</v>
      </c>
      <c r="AR17" s="35">
        <f t="shared" si="6"/>
        <v>1678509.8684210526</v>
      </c>
      <c r="AS17" s="35">
        <f t="shared" si="6"/>
        <v>1678509.8684210526</v>
      </c>
      <c r="AT17" s="35">
        <f t="shared" si="6"/>
        <v>1678509.8684210526</v>
      </c>
      <c r="AU17" s="35">
        <f t="shared" si="6"/>
        <v>1678509.8684210526</v>
      </c>
      <c r="AV17" s="35">
        <f t="shared" si="6"/>
        <v>1678509.8684210526</v>
      </c>
      <c r="AW17" s="35">
        <f t="shared" si="6"/>
        <v>1678509.8684210526</v>
      </c>
      <c r="AX17" s="35">
        <f t="shared" si="6"/>
        <v>1678509.8684210526</v>
      </c>
      <c r="AY17" s="35">
        <f t="shared" si="6"/>
        <v>1678509.8684210526</v>
      </c>
      <c r="AZ17" s="35">
        <f t="shared" si="6"/>
        <v>1678509.8684210526</v>
      </c>
      <c r="BA17" s="35">
        <f t="shared" si="6"/>
        <v>1678509.8684210526</v>
      </c>
      <c r="BB17" s="35">
        <f t="shared" si="6"/>
        <v>1678509.8684210526</v>
      </c>
      <c r="BC17" s="35">
        <f t="shared" si="6"/>
        <v>1678509.8684210526</v>
      </c>
      <c r="BD17" s="35">
        <f t="shared" si="6"/>
        <v>1678509.8684210526</v>
      </c>
      <c r="BE17" s="35">
        <f t="shared" si="6"/>
        <v>1678509.8684210526</v>
      </c>
      <c r="BF17" s="35">
        <f t="shared" si="6"/>
        <v>1678509.8684210526</v>
      </c>
      <c r="BG17" s="35">
        <f t="shared" si="6"/>
        <v>1678509.8684210526</v>
      </c>
      <c r="BH17" s="35">
        <f t="shared" si="6"/>
        <v>1678509.8684210526</v>
      </c>
      <c r="BI17" s="35">
        <f t="shared" si="6"/>
        <v>1678509.8684210526</v>
      </c>
      <c r="BJ17" s="35">
        <f t="shared" si="6"/>
        <v>1678509.8684210526</v>
      </c>
      <c r="BK17" s="35">
        <f t="shared" si="6"/>
        <v>1678509.8684210526</v>
      </c>
      <c r="BL17" s="35">
        <f t="shared" si="6"/>
        <v>1678509.8684210526</v>
      </c>
      <c r="BM17" s="35">
        <f t="shared" si="6"/>
        <v>1678509.8684210526</v>
      </c>
      <c r="BN17" s="35">
        <f t="shared" si="6"/>
        <v>1678509.8684210526</v>
      </c>
      <c r="BO17" s="35">
        <f t="shared" si="6"/>
        <v>1678509.8684210526</v>
      </c>
      <c r="BP17" s="35">
        <f t="shared" si="6"/>
        <v>1678509.8684210526</v>
      </c>
      <c r="BQ17" s="35">
        <f t="shared" si="6"/>
        <v>1678509.8684210526</v>
      </c>
      <c r="BR17" s="35">
        <f t="shared" si="6"/>
        <v>1678509.8684210526</v>
      </c>
      <c r="BS17" s="35">
        <f t="shared" si="6"/>
        <v>1678509.8684210526</v>
      </c>
      <c r="BT17" s="35">
        <f t="shared" si="6"/>
        <v>1678509.8684210526</v>
      </c>
      <c r="BU17" s="35">
        <f t="shared" si="6"/>
        <v>1678509.8684210526</v>
      </c>
      <c r="BV17" s="35">
        <f t="shared" si="6"/>
        <v>1678509.8684210526</v>
      </c>
      <c r="BW17" s="35">
        <f t="shared" si="6"/>
        <v>1678509.8684210526</v>
      </c>
      <c r="BX17" s="35">
        <f t="shared" si="6"/>
        <v>1678509.8684210526</v>
      </c>
      <c r="BY17" s="35">
        <f t="shared" si="6"/>
        <v>1678509.8684210526</v>
      </c>
      <c r="BZ17" s="35">
        <f t="shared" si="6"/>
        <v>1678509.8684210526</v>
      </c>
      <c r="CA17" s="35">
        <f t="shared" si="6"/>
        <v>1678509.8684210526</v>
      </c>
      <c r="CB17" s="35">
        <f t="shared" si="6"/>
        <v>1678509.8684210526</v>
      </c>
      <c r="CC17" s="35">
        <f t="shared" si="6"/>
        <v>1678509.8684210526</v>
      </c>
      <c r="CD17" s="35">
        <f t="shared" si="6"/>
        <v>1678509.8684210526</v>
      </c>
      <c r="CE17" s="35">
        <f t="shared" si="6"/>
        <v>1678509.8684210526</v>
      </c>
      <c r="CF17" s="35">
        <f t="shared" si="6"/>
        <v>1678509.8684210526</v>
      </c>
      <c r="CG17" s="35">
        <f t="shared" si="6"/>
        <v>1678509.8684210526</v>
      </c>
      <c r="CH17" s="35">
        <f t="shared" si="6"/>
        <v>1678509.8684210526</v>
      </c>
      <c r="CI17" s="35">
        <f t="shared" si="6"/>
        <v>1678509.8684210526</v>
      </c>
      <c r="CJ17" s="35">
        <f t="shared" si="6"/>
        <v>1678509.8684210526</v>
      </c>
      <c r="CK17" s="35">
        <f t="shared" si="6"/>
        <v>1678509.8684210526</v>
      </c>
      <c r="CL17" s="35">
        <f t="shared" si="6"/>
        <v>1678509.8684210526</v>
      </c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  <c r="KJ17" s="21"/>
      <c r="KK17" s="21"/>
      <c r="KL17" s="21"/>
      <c r="KM17" s="21"/>
      <c r="KN17" s="21"/>
      <c r="KO17" s="21"/>
      <c r="KP17" s="21"/>
      <c r="KQ17" s="21"/>
      <c r="KR17" s="21"/>
      <c r="KS17" s="21"/>
      <c r="KT17" s="21"/>
      <c r="KU17" s="21"/>
      <c r="KV17" s="21"/>
      <c r="KW17" s="21"/>
      <c r="KX17" s="21"/>
      <c r="KY17" s="21"/>
      <c r="KZ17" s="21"/>
      <c r="LA17" s="21"/>
      <c r="LB17" s="21"/>
      <c r="LC17" s="21"/>
      <c r="LD17" s="21"/>
      <c r="LE17" s="21"/>
      <c r="LF17" s="21"/>
      <c r="LG17" s="21"/>
      <c r="LH17" s="21"/>
      <c r="LI17" s="21"/>
      <c r="LJ17" s="21"/>
      <c r="LK17" s="21"/>
      <c r="LL17" s="21"/>
      <c r="LM17" s="21"/>
      <c r="LN17" s="21"/>
      <c r="LO17" s="21"/>
      <c r="LP17" s="21"/>
      <c r="LQ17" s="21"/>
      <c r="LR17" s="21"/>
      <c r="LS17" s="21"/>
      <c r="LT17" s="21"/>
      <c r="LU17" s="21"/>
      <c r="LV17" s="21"/>
      <c r="LW17" s="21"/>
      <c r="LX17" s="21"/>
      <c r="LY17" s="21"/>
      <c r="LZ17" s="21"/>
      <c r="MA17" s="21"/>
      <c r="MB17" s="21"/>
      <c r="MC17" s="21"/>
      <c r="MD17" s="21"/>
      <c r="ME17" s="21"/>
      <c r="MF17" s="21"/>
      <c r="MG17" s="21"/>
      <c r="MH17" s="21"/>
      <c r="MI17" s="21"/>
      <c r="MJ17" s="21"/>
      <c r="MK17" s="21"/>
      <c r="ML17" s="21"/>
      <c r="MM17" s="21"/>
      <c r="MN17" s="21"/>
      <c r="MO17" s="21"/>
      <c r="MP17" s="21"/>
      <c r="MQ17" s="21"/>
      <c r="MR17" s="21"/>
      <c r="MS17" s="21"/>
      <c r="MT17" s="21"/>
      <c r="MU17" s="21"/>
      <c r="MV17" s="21"/>
      <c r="MW17" s="21"/>
      <c r="MX17" s="21"/>
      <c r="MY17" s="21"/>
      <c r="MZ17" s="21"/>
      <c r="NA17" s="21"/>
      <c r="NB17" s="21"/>
      <c r="NC17" s="21"/>
      <c r="ND17" s="21"/>
      <c r="NE17" s="21"/>
      <c r="NF17" s="21"/>
      <c r="NG17" s="21"/>
      <c r="NH17" s="21"/>
      <c r="NI17" s="21"/>
      <c r="NJ17" s="21"/>
      <c r="NK17" s="21"/>
      <c r="NL17" s="21"/>
      <c r="NM17" s="21"/>
      <c r="NN17" s="21"/>
      <c r="NO17" s="21"/>
      <c r="NP17" s="21"/>
      <c r="NQ17" s="21"/>
      <c r="NR17" s="21"/>
      <c r="NS17" s="21"/>
      <c r="NT17" s="21"/>
      <c r="NU17" s="21"/>
      <c r="NV17" s="21"/>
      <c r="NW17" s="21"/>
      <c r="NX17" s="21"/>
      <c r="NY17" s="21"/>
      <c r="NZ17" s="21"/>
      <c r="OA17" s="21"/>
      <c r="OB17" s="21"/>
      <c r="OC17" s="21"/>
      <c r="OD17" s="21"/>
      <c r="OE17" s="21"/>
      <c r="OF17" s="21"/>
      <c r="OG17" s="21"/>
      <c r="OH17" s="21"/>
      <c r="OI17" s="21"/>
      <c r="OJ17" s="21"/>
      <c r="OK17" s="21"/>
      <c r="OL17" s="21"/>
      <c r="OM17" s="21"/>
      <c r="ON17" s="21"/>
      <c r="OO17" s="21"/>
      <c r="OP17" s="21"/>
      <c r="OQ17" s="21"/>
      <c r="OR17" s="21"/>
      <c r="OS17" s="21"/>
      <c r="OT17" s="21"/>
      <c r="OU17" s="21"/>
      <c r="OV17" s="21"/>
      <c r="OW17" s="21"/>
      <c r="OX17" s="21"/>
      <c r="OY17" s="21"/>
      <c r="OZ17" s="21"/>
      <c r="PA17" s="21"/>
      <c r="PB17" s="21"/>
      <c r="PC17" s="21"/>
      <c r="PD17" s="21"/>
      <c r="PE17" s="21"/>
      <c r="PF17" s="21"/>
      <c r="PG17" s="21"/>
      <c r="PH17" s="21"/>
      <c r="PI17" s="21"/>
      <c r="PJ17" s="21"/>
      <c r="PK17" s="21"/>
      <c r="PL17" s="21"/>
      <c r="PM17" s="21"/>
      <c r="PN17" s="21"/>
      <c r="PO17" s="21"/>
      <c r="PP17" s="21"/>
      <c r="PQ17" s="21"/>
      <c r="PR17" s="21"/>
      <c r="PS17" s="21"/>
      <c r="PT17" s="21"/>
      <c r="PU17" s="21"/>
      <c r="PV17" s="21"/>
      <c r="PW17" s="21"/>
      <c r="PX17" s="21"/>
      <c r="PY17" s="21"/>
      <c r="PZ17" s="21"/>
      <c r="QA17" s="21"/>
      <c r="QB17" s="21"/>
      <c r="QC17" s="21"/>
      <c r="QD17" s="21"/>
      <c r="QE17" s="21"/>
      <c r="QF17" s="21"/>
      <c r="QG17" s="21"/>
      <c r="QH17" s="21"/>
      <c r="QI17" s="21"/>
      <c r="QJ17" s="21"/>
      <c r="QK17" s="21"/>
      <c r="QL17" s="21"/>
      <c r="QM17" s="21"/>
      <c r="QN17" s="21"/>
      <c r="QO17" s="21"/>
      <c r="QP17" s="21"/>
      <c r="QQ17" s="21"/>
      <c r="QR17" s="21"/>
      <c r="QS17" s="21"/>
      <c r="QT17" s="21"/>
      <c r="QU17" s="21"/>
      <c r="QV17" s="21"/>
      <c r="QW17" s="21"/>
      <c r="QX17" s="21"/>
      <c r="QY17" s="21"/>
      <c r="QZ17" s="21"/>
      <c r="RA17" s="21"/>
      <c r="RB17" s="21"/>
      <c r="RC17" s="21"/>
      <c r="RD17" s="21"/>
      <c r="RE17" s="21"/>
      <c r="RF17" s="21"/>
      <c r="RG17" s="21"/>
      <c r="RH17" s="21"/>
      <c r="RI17" s="21"/>
      <c r="RJ17" s="21"/>
      <c r="RK17" s="21"/>
      <c r="RL17" s="21"/>
      <c r="RM17" s="21"/>
      <c r="RN17" s="21"/>
      <c r="RO17" s="21"/>
      <c r="RP17" s="21"/>
      <c r="RQ17" s="21"/>
      <c r="RR17" s="21"/>
      <c r="RS17" s="21"/>
      <c r="RT17" s="21"/>
      <c r="RU17" s="21"/>
      <c r="RV17" s="21"/>
      <c r="RW17" s="21"/>
      <c r="RX17" s="21"/>
      <c r="RY17" s="21"/>
      <c r="RZ17" s="21"/>
      <c r="SA17" s="21"/>
      <c r="SB17" s="21"/>
      <c r="SC17" s="21"/>
      <c r="SD17" s="21"/>
      <c r="SE17" s="21"/>
      <c r="SF17" s="21"/>
      <c r="SG17" s="21"/>
      <c r="SH17" s="21"/>
      <c r="SI17" s="21"/>
      <c r="SJ17" s="21"/>
      <c r="SK17" s="21"/>
      <c r="SL17" s="21"/>
      <c r="SM17" s="21"/>
      <c r="SN17" s="21"/>
      <c r="SO17" s="21"/>
      <c r="SP17" s="21"/>
      <c r="SQ17" s="21"/>
      <c r="SR17" s="21"/>
      <c r="SS17" s="21"/>
      <c r="ST17" s="21"/>
      <c r="SU17" s="21"/>
      <c r="SV17" s="21"/>
      <c r="SW17" s="21"/>
      <c r="SX17" s="21"/>
      <c r="SY17" s="21"/>
      <c r="SZ17" s="21"/>
      <c r="TA17" s="21"/>
      <c r="TB17" s="21"/>
      <c r="TC17" s="21"/>
      <c r="TD17" s="21"/>
      <c r="TE17" s="21"/>
      <c r="TF17" s="21"/>
      <c r="TG17" s="21"/>
      <c r="TH17" s="21"/>
      <c r="TI17" s="21"/>
      <c r="TJ17" s="21"/>
      <c r="TK17" s="21"/>
      <c r="TL17" s="21"/>
      <c r="TM17" s="21"/>
      <c r="TN17" s="21"/>
      <c r="TO17" s="21"/>
      <c r="TP17" s="21"/>
      <c r="TQ17" s="21"/>
      <c r="TR17" s="21"/>
      <c r="TS17" s="21"/>
      <c r="TT17" s="21"/>
      <c r="TU17" s="21"/>
      <c r="TV17" s="21"/>
      <c r="TW17" s="21"/>
      <c r="TX17" s="21"/>
      <c r="TY17" s="21"/>
      <c r="TZ17" s="21"/>
      <c r="UA17" s="21"/>
      <c r="UB17" s="21"/>
      <c r="UC17" s="21"/>
      <c r="UD17" s="21"/>
      <c r="UE17" s="21"/>
      <c r="UF17" s="21"/>
      <c r="UG17" s="21"/>
      <c r="UH17" s="21"/>
      <c r="UI17" s="21"/>
      <c r="UJ17" s="21"/>
      <c r="UK17" s="21"/>
      <c r="UL17" s="21"/>
      <c r="UM17" s="21"/>
      <c r="UN17" s="21"/>
      <c r="UO17" s="21"/>
      <c r="UP17" s="21"/>
      <c r="UQ17" s="21"/>
      <c r="UR17" s="21"/>
      <c r="US17" s="21"/>
      <c r="UT17" s="21"/>
      <c r="UU17" s="21"/>
      <c r="UV17" s="21"/>
      <c r="UW17" s="21"/>
      <c r="UX17" s="21"/>
      <c r="UY17" s="21"/>
      <c r="UZ17" s="21"/>
      <c r="VA17" s="21"/>
      <c r="VB17" s="21"/>
      <c r="VC17" s="21"/>
      <c r="VD17" s="21"/>
      <c r="VE17" s="21"/>
      <c r="VF17" s="21"/>
      <c r="VG17" s="21"/>
      <c r="VH17" s="21"/>
      <c r="VI17" s="21"/>
      <c r="VJ17" s="21"/>
      <c r="VK17" s="21"/>
      <c r="VL17" s="21"/>
      <c r="VM17" s="21"/>
      <c r="VN17" s="21"/>
      <c r="VO17" s="21"/>
      <c r="VP17" s="21"/>
      <c r="VQ17" s="21"/>
      <c r="VR17" s="21"/>
      <c r="VS17" s="21"/>
      <c r="VT17" s="21"/>
      <c r="VU17" s="21"/>
      <c r="VV17" s="21"/>
      <c r="VW17" s="21"/>
      <c r="VX17" s="21"/>
      <c r="VY17" s="21"/>
      <c r="VZ17" s="21"/>
      <c r="WA17" s="21"/>
      <c r="WB17" s="21"/>
      <c r="WC17" s="21"/>
      <c r="WD17" s="21"/>
      <c r="WE17" s="21"/>
      <c r="WF17" s="21"/>
      <c r="WG17" s="21"/>
      <c r="WH17" s="21"/>
      <c r="WI17" s="21"/>
      <c r="WJ17" s="21"/>
      <c r="WK17" s="21"/>
      <c r="WL17" s="21"/>
      <c r="WM17" s="21"/>
      <c r="WN17" s="21"/>
      <c r="WO17" s="21"/>
      <c r="WP17" s="21"/>
      <c r="WQ17" s="21"/>
      <c r="WR17" s="21"/>
      <c r="WS17" s="21"/>
      <c r="WT17" s="21"/>
      <c r="WU17" s="21"/>
      <c r="WV17" s="21"/>
      <c r="WW17" s="21"/>
      <c r="WX17" s="21"/>
      <c r="WY17" s="21"/>
      <c r="WZ17" s="21"/>
      <c r="XA17" s="21"/>
      <c r="XB17" s="21"/>
      <c r="XC17" s="21"/>
      <c r="XD17" s="21"/>
      <c r="XE17" s="21"/>
      <c r="XF17" s="21"/>
      <c r="XG17" s="21"/>
      <c r="XH17" s="21"/>
      <c r="XI17" s="21"/>
      <c r="XJ17" s="21"/>
      <c r="XK17" s="21"/>
      <c r="XL17" s="21"/>
      <c r="XM17" s="21"/>
      <c r="XN17" s="21"/>
      <c r="XO17" s="21"/>
      <c r="XP17" s="21"/>
      <c r="XQ17" s="21"/>
      <c r="XR17" s="21"/>
      <c r="XS17" s="21"/>
      <c r="XT17" s="21"/>
      <c r="XU17" s="21"/>
      <c r="XV17" s="21"/>
      <c r="XW17" s="21"/>
      <c r="XX17" s="21"/>
      <c r="XY17" s="21"/>
      <c r="XZ17" s="21"/>
      <c r="YA17" s="21"/>
      <c r="YB17" s="21"/>
      <c r="YC17" s="21"/>
      <c r="YD17" s="21"/>
      <c r="YE17" s="21"/>
      <c r="YF17" s="21"/>
      <c r="YG17" s="21"/>
      <c r="YH17" s="21"/>
      <c r="YI17" s="21"/>
      <c r="YJ17" s="21"/>
      <c r="YK17" s="21"/>
      <c r="YL17" s="21"/>
      <c r="YM17" s="21"/>
      <c r="YN17" s="21"/>
      <c r="YO17" s="21"/>
      <c r="YP17" s="21"/>
      <c r="YQ17" s="21"/>
      <c r="YR17" s="21"/>
      <c r="YS17" s="21"/>
      <c r="YT17" s="21"/>
      <c r="YU17" s="21"/>
      <c r="YV17" s="21"/>
      <c r="YW17" s="21"/>
      <c r="YX17" s="21"/>
      <c r="YY17" s="21"/>
      <c r="YZ17" s="21"/>
      <c r="ZA17" s="21"/>
      <c r="ZB17" s="21"/>
      <c r="ZC17" s="21"/>
      <c r="ZD17" s="21"/>
      <c r="ZE17" s="21"/>
      <c r="ZF17" s="21"/>
      <c r="ZG17" s="21"/>
      <c r="ZH17" s="21"/>
      <c r="ZI17" s="21"/>
      <c r="ZJ17" s="21"/>
      <c r="ZK17" s="21"/>
      <c r="ZL17" s="21"/>
      <c r="ZM17" s="21"/>
      <c r="ZN17" s="21"/>
      <c r="ZO17" s="21"/>
      <c r="ZP17" s="21"/>
      <c r="ZQ17" s="21"/>
      <c r="ZR17" s="21"/>
      <c r="ZS17" s="21"/>
      <c r="ZT17" s="21"/>
      <c r="ZU17" s="21"/>
      <c r="ZV17" s="21"/>
      <c r="ZW17" s="21"/>
      <c r="ZX17" s="21"/>
      <c r="ZY17" s="21"/>
      <c r="ZZ17" s="21"/>
      <c r="AAA17" s="21"/>
      <c r="AAB17" s="21"/>
      <c r="AAC17" s="21"/>
      <c r="AAD17" s="21"/>
      <c r="AAE17" s="21"/>
      <c r="AAF17" s="21"/>
      <c r="AAG17" s="21"/>
      <c r="AAH17" s="21"/>
      <c r="AAI17" s="21"/>
      <c r="AAJ17" s="21"/>
      <c r="AAK17" s="21"/>
      <c r="AAL17" s="21"/>
      <c r="AAM17" s="21"/>
      <c r="AAN17" s="21"/>
      <c r="AAO17" s="21"/>
      <c r="AAP17" s="21"/>
      <c r="AAQ17" s="21"/>
      <c r="AAR17" s="21"/>
      <c r="AAS17" s="21"/>
      <c r="AAT17" s="21"/>
      <c r="AAU17" s="21"/>
      <c r="AAV17" s="21"/>
      <c r="AAW17" s="21"/>
      <c r="AAX17" s="21"/>
      <c r="AAY17" s="21"/>
      <c r="AAZ17" s="21"/>
      <c r="ABA17" s="21"/>
      <c r="ABB17" s="21"/>
      <c r="ABC17" s="21"/>
      <c r="ABD17" s="21"/>
      <c r="ABE17" s="21"/>
      <c r="ABF17" s="21"/>
      <c r="ABG17" s="21"/>
      <c r="ABH17" s="21"/>
      <c r="ABI17" s="21"/>
      <c r="ABJ17" s="21"/>
      <c r="ABK17" s="21"/>
      <c r="ABL17" s="21"/>
      <c r="ABM17" s="21"/>
      <c r="ABN17" s="21"/>
      <c r="ABO17" s="21"/>
      <c r="ABP17" s="21"/>
      <c r="ABQ17" s="21"/>
      <c r="ABR17" s="21"/>
      <c r="ABS17" s="21"/>
      <c r="ABT17" s="21"/>
      <c r="ABU17" s="21"/>
      <c r="ABV17" s="21"/>
      <c r="ABW17" s="21"/>
      <c r="ABX17" s="21"/>
      <c r="ABY17" s="21"/>
      <c r="ABZ17" s="21"/>
      <c r="ACA17" s="21"/>
      <c r="ACB17" s="21"/>
      <c r="ACC17" s="21"/>
      <c r="ACD17" s="21"/>
      <c r="ACE17" s="21"/>
      <c r="ACF17" s="21"/>
      <c r="ACG17" s="21"/>
      <c r="ACH17" s="21"/>
      <c r="ACI17" s="21"/>
      <c r="ACJ17" s="21"/>
      <c r="ACK17" s="21"/>
      <c r="ACL17" s="21"/>
      <c r="ACM17" s="21"/>
      <c r="ACN17" s="21"/>
      <c r="ACO17" s="21"/>
      <c r="ACP17" s="21"/>
      <c r="ACQ17" s="21"/>
      <c r="ACR17" s="21"/>
      <c r="ACS17" s="21"/>
      <c r="ACT17" s="21"/>
      <c r="ACU17" s="21"/>
      <c r="ACV17" s="21"/>
      <c r="ACW17" s="21"/>
      <c r="ACX17" s="21"/>
      <c r="ACY17" s="21"/>
      <c r="ACZ17" s="21"/>
      <c r="ADA17" s="21"/>
      <c r="ADB17" s="21"/>
      <c r="ADC17" s="21"/>
      <c r="ADD17" s="21"/>
      <c r="ADE17" s="21"/>
      <c r="ADF17" s="21"/>
      <c r="ADG17" s="21"/>
      <c r="ADH17" s="21"/>
      <c r="ADI17" s="21"/>
      <c r="ADJ17" s="21"/>
      <c r="ADK17" s="21"/>
      <c r="ADL17" s="21"/>
      <c r="ADM17" s="21"/>
      <c r="ADN17" s="21"/>
      <c r="ADO17" s="21"/>
      <c r="ADP17" s="21"/>
      <c r="ADQ17" s="21"/>
      <c r="ADR17" s="21"/>
      <c r="ADS17" s="21"/>
      <c r="ADT17" s="21"/>
      <c r="ADU17" s="21"/>
      <c r="ADV17" s="21"/>
      <c r="ADW17" s="21"/>
      <c r="ADX17" s="21"/>
      <c r="ADY17" s="21"/>
      <c r="ADZ17" s="21"/>
      <c r="AEA17" s="21"/>
      <c r="AEB17" s="21"/>
      <c r="AEC17" s="21"/>
      <c r="AED17" s="21"/>
      <c r="AEE17" s="21"/>
      <c r="AEF17" s="21"/>
      <c r="AEG17" s="21"/>
      <c r="AEH17" s="21"/>
      <c r="AEI17" s="21"/>
      <c r="AEJ17" s="21"/>
      <c r="AEK17" s="21"/>
      <c r="AEL17" s="21"/>
      <c r="AEM17" s="21"/>
      <c r="AEN17" s="21"/>
      <c r="AEO17" s="21"/>
      <c r="AEP17" s="21"/>
      <c r="AEQ17" s="21"/>
      <c r="AER17" s="21"/>
      <c r="AES17" s="21"/>
      <c r="AET17" s="21"/>
      <c r="AEU17" s="21"/>
      <c r="AEV17" s="21"/>
      <c r="AEW17" s="21"/>
      <c r="AEX17" s="21"/>
      <c r="AEY17" s="21"/>
      <c r="AEZ17" s="21"/>
      <c r="AFA17" s="21"/>
      <c r="AFB17" s="21"/>
      <c r="AFC17" s="21"/>
      <c r="AFD17" s="21"/>
      <c r="AFE17" s="21"/>
      <c r="AFF17" s="21"/>
      <c r="AFG17" s="21"/>
      <c r="AFH17" s="21"/>
      <c r="AFI17" s="21"/>
      <c r="AFJ17" s="21"/>
      <c r="AFK17" s="21"/>
      <c r="AFL17" s="21"/>
      <c r="AFM17" s="21"/>
      <c r="AFN17" s="21"/>
      <c r="AFO17" s="21"/>
      <c r="AFP17" s="21"/>
      <c r="AFQ17" s="21"/>
      <c r="AFR17" s="21"/>
      <c r="AFS17" s="21"/>
      <c r="AFT17" s="21"/>
      <c r="AFU17" s="21"/>
      <c r="AFV17" s="21"/>
      <c r="AFW17" s="21"/>
      <c r="AFX17" s="21"/>
      <c r="AFY17" s="21"/>
      <c r="AFZ17" s="21"/>
      <c r="AGA17" s="21"/>
      <c r="AGB17" s="21"/>
      <c r="AGC17" s="21"/>
      <c r="AGD17" s="21"/>
      <c r="AGE17" s="21"/>
      <c r="AGF17" s="21"/>
      <c r="AGG17" s="21"/>
      <c r="AGH17" s="21"/>
      <c r="AGI17" s="21"/>
      <c r="AGJ17" s="21"/>
      <c r="AGK17" s="21"/>
      <c r="AGL17" s="21"/>
      <c r="AGM17" s="21"/>
      <c r="AGN17" s="21"/>
      <c r="AGO17" s="21"/>
      <c r="AGP17" s="21"/>
      <c r="AGQ17" s="21"/>
      <c r="AGR17" s="21"/>
      <c r="AGS17" s="21"/>
    </row>
    <row r="18" spans="1:877" ht="13">
      <c r="A18" s="41"/>
      <c r="B18" s="41"/>
      <c r="C18" s="26"/>
      <c r="D18" s="21"/>
      <c r="E18" s="21"/>
      <c r="F18" s="27">
        <f>G12*12</f>
        <v>3200000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  <c r="KJ18" s="21"/>
      <c r="KK18" s="21"/>
      <c r="KL18" s="21"/>
      <c r="KM18" s="21"/>
      <c r="KN18" s="21"/>
      <c r="KO18" s="21"/>
      <c r="KP18" s="21"/>
      <c r="KQ18" s="21"/>
      <c r="KR18" s="21"/>
      <c r="KS18" s="21"/>
      <c r="KT18" s="21"/>
      <c r="KU18" s="21"/>
      <c r="KV18" s="21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1"/>
      <c r="LI18" s="21"/>
      <c r="LJ18" s="21"/>
      <c r="LK18" s="21"/>
      <c r="LL18" s="21"/>
      <c r="LM18" s="21"/>
      <c r="LN18" s="21"/>
      <c r="LO18" s="21"/>
      <c r="LP18" s="21"/>
      <c r="LQ18" s="21"/>
      <c r="LR18" s="21"/>
      <c r="LS18" s="21"/>
      <c r="LT18" s="21"/>
      <c r="LU18" s="21"/>
      <c r="LV18" s="21"/>
      <c r="LW18" s="21"/>
      <c r="LX18" s="21"/>
      <c r="LY18" s="21"/>
      <c r="LZ18" s="21"/>
      <c r="MA18" s="21"/>
      <c r="MB18" s="21"/>
      <c r="MC18" s="21"/>
      <c r="MD18" s="21"/>
      <c r="ME18" s="21"/>
      <c r="MF18" s="21"/>
      <c r="MG18" s="21"/>
      <c r="MH18" s="21"/>
      <c r="MI18" s="21"/>
      <c r="MJ18" s="21"/>
      <c r="MK18" s="21"/>
      <c r="ML18" s="21"/>
      <c r="MM18" s="21"/>
      <c r="MN18" s="21"/>
      <c r="MO18" s="21"/>
      <c r="MP18" s="21"/>
      <c r="MQ18" s="21"/>
      <c r="MR18" s="21"/>
      <c r="MS18" s="21"/>
      <c r="MT18" s="21"/>
      <c r="MU18" s="21"/>
      <c r="MV18" s="21"/>
      <c r="MW18" s="21"/>
      <c r="MX18" s="21"/>
      <c r="MY18" s="21"/>
      <c r="MZ18" s="21"/>
      <c r="NA18" s="21"/>
      <c r="NB18" s="21"/>
      <c r="NC18" s="21"/>
      <c r="ND18" s="21"/>
      <c r="NE18" s="21"/>
      <c r="NF18" s="21"/>
      <c r="NG18" s="21"/>
      <c r="NH18" s="21"/>
      <c r="NI18" s="21"/>
      <c r="NJ18" s="21"/>
      <c r="NK18" s="21"/>
      <c r="NL18" s="21"/>
      <c r="NM18" s="21"/>
      <c r="NN18" s="21"/>
      <c r="NO18" s="21"/>
      <c r="NP18" s="21"/>
      <c r="NQ18" s="21"/>
      <c r="NR18" s="21"/>
      <c r="NS18" s="21"/>
      <c r="NT18" s="21"/>
      <c r="NU18" s="21"/>
      <c r="NV18" s="21"/>
      <c r="NW18" s="21"/>
      <c r="NX18" s="21"/>
      <c r="NY18" s="21"/>
      <c r="NZ18" s="21"/>
      <c r="OA18" s="21"/>
      <c r="OB18" s="21"/>
      <c r="OC18" s="21"/>
      <c r="OD18" s="21"/>
      <c r="OE18" s="21"/>
      <c r="OF18" s="21"/>
      <c r="OG18" s="21"/>
      <c r="OH18" s="21"/>
      <c r="OI18" s="21"/>
      <c r="OJ18" s="21"/>
      <c r="OK18" s="21"/>
      <c r="OL18" s="21"/>
      <c r="OM18" s="21"/>
      <c r="ON18" s="21"/>
      <c r="OO18" s="21"/>
      <c r="OP18" s="21"/>
      <c r="OQ18" s="21"/>
      <c r="OR18" s="21"/>
      <c r="OS18" s="21"/>
      <c r="OT18" s="21"/>
      <c r="OU18" s="21"/>
      <c r="OV18" s="21"/>
      <c r="OW18" s="21"/>
      <c r="OX18" s="21"/>
      <c r="OY18" s="21"/>
      <c r="OZ18" s="21"/>
      <c r="PA18" s="21"/>
      <c r="PB18" s="21"/>
      <c r="PC18" s="21"/>
      <c r="PD18" s="21"/>
      <c r="PE18" s="21"/>
      <c r="PF18" s="21"/>
      <c r="PG18" s="21"/>
      <c r="PH18" s="21"/>
      <c r="PI18" s="21"/>
      <c r="PJ18" s="21"/>
      <c r="PK18" s="21"/>
      <c r="PL18" s="21"/>
      <c r="PM18" s="21"/>
      <c r="PN18" s="21"/>
      <c r="PO18" s="21"/>
      <c r="PP18" s="21"/>
      <c r="PQ18" s="21"/>
      <c r="PR18" s="21"/>
      <c r="PS18" s="21"/>
      <c r="PT18" s="21"/>
      <c r="PU18" s="21"/>
      <c r="PV18" s="21"/>
      <c r="PW18" s="21"/>
      <c r="PX18" s="21"/>
      <c r="PY18" s="21"/>
      <c r="PZ18" s="21"/>
      <c r="QA18" s="21"/>
      <c r="QB18" s="21"/>
      <c r="QC18" s="21"/>
      <c r="QD18" s="21"/>
      <c r="QE18" s="21"/>
      <c r="QF18" s="21"/>
      <c r="QG18" s="21"/>
      <c r="QH18" s="21"/>
      <c r="QI18" s="21"/>
      <c r="QJ18" s="21"/>
      <c r="QK18" s="21"/>
      <c r="QL18" s="21"/>
      <c r="QM18" s="21"/>
      <c r="QN18" s="21"/>
      <c r="QO18" s="21"/>
      <c r="QP18" s="21"/>
      <c r="QQ18" s="21"/>
      <c r="QR18" s="21"/>
      <c r="QS18" s="21"/>
      <c r="QT18" s="21"/>
      <c r="QU18" s="21"/>
      <c r="QV18" s="21"/>
      <c r="QW18" s="21"/>
      <c r="QX18" s="21"/>
      <c r="QY18" s="21"/>
      <c r="QZ18" s="21"/>
      <c r="RA18" s="21"/>
      <c r="RB18" s="21"/>
      <c r="RC18" s="21"/>
      <c r="RD18" s="21"/>
      <c r="RE18" s="21"/>
      <c r="RF18" s="21"/>
      <c r="RG18" s="21"/>
      <c r="RH18" s="21"/>
      <c r="RI18" s="21"/>
      <c r="RJ18" s="21"/>
      <c r="RK18" s="21"/>
      <c r="RL18" s="21"/>
      <c r="RM18" s="21"/>
      <c r="RN18" s="21"/>
      <c r="RO18" s="21"/>
      <c r="RP18" s="21"/>
      <c r="RQ18" s="21"/>
      <c r="RR18" s="21"/>
      <c r="RS18" s="21"/>
      <c r="RT18" s="21"/>
      <c r="RU18" s="21"/>
      <c r="RV18" s="21"/>
      <c r="RW18" s="21"/>
      <c r="RX18" s="21"/>
      <c r="RY18" s="21"/>
      <c r="RZ18" s="21"/>
      <c r="SA18" s="21"/>
      <c r="SB18" s="21"/>
      <c r="SC18" s="21"/>
      <c r="SD18" s="21"/>
      <c r="SE18" s="21"/>
      <c r="SF18" s="21"/>
      <c r="SG18" s="21"/>
      <c r="SH18" s="21"/>
      <c r="SI18" s="21"/>
      <c r="SJ18" s="21"/>
      <c r="SK18" s="21"/>
      <c r="SL18" s="21"/>
      <c r="SM18" s="21"/>
      <c r="SN18" s="21"/>
      <c r="SO18" s="21"/>
      <c r="SP18" s="21"/>
      <c r="SQ18" s="21"/>
      <c r="SR18" s="21"/>
      <c r="SS18" s="21"/>
      <c r="ST18" s="21"/>
      <c r="SU18" s="21"/>
      <c r="SV18" s="21"/>
      <c r="SW18" s="21"/>
      <c r="SX18" s="21"/>
      <c r="SY18" s="21"/>
      <c r="SZ18" s="21"/>
      <c r="TA18" s="21"/>
      <c r="TB18" s="21"/>
      <c r="TC18" s="21"/>
      <c r="TD18" s="21"/>
      <c r="TE18" s="21"/>
      <c r="TF18" s="21"/>
      <c r="TG18" s="21"/>
      <c r="TH18" s="21"/>
      <c r="TI18" s="21"/>
      <c r="TJ18" s="21"/>
      <c r="TK18" s="21"/>
      <c r="TL18" s="21"/>
      <c r="TM18" s="21"/>
      <c r="TN18" s="21"/>
      <c r="TO18" s="21"/>
      <c r="TP18" s="21"/>
      <c r="TQ18" s="21"/>
      <c r="TR18" s="21"/>
      <c r="TS18" s="21"/>
      <c r="TT18" s="21"/>
      <c r="TU18" s="21"/>
      <c r="TV18" s="21"/>
      <c r="TW18" s="21"/>
      <c r="TX18" s="21"/>
      <c r="TY18" s="21"/>
      <c r="TZ18" s="21"/>
      <c r="UA18" s="21"/>
      <c r="UB18" s="21"/>
      <c r="UC18" s="21"/>
      <c r="UD18" s="21"/>
      <c r="UE18" s="21"/>
      <c r="UF18" s="21"/>
      <c r="UG18" s="21"/>
      <c r="UH18" s="21"/>
      <c r="UI18" s="21"/>
      <c r="UJ18" s="21"/>
      <c r="UK18" s="21"/>
      <c r="UL18" s="21"/>
      <c r="UM18" s="21"/>
      <c r="UN18" s="21"/>
      <c r="UO18" s="21"/>
      <c r="UP18" s="21"/>
      <c r="UQ18" s="21"/>
      <c r="UR18" s="21"/>
      <c r="US18" s="21"/>
      <c r="UT18" s="21"/>
      <c r="UU18" s="21"/>
      <c r="UV18" s="21"/>
      <c r="UW18" s="21"/>
      <c r="UX18" s="21"/>
      <c r="UY18" s="21"/>
      <c r="UZ18" s="21"/>
      <c r="VA18" s="21"/>
      <c r="VB18" s="21"/>
      <c r="VC18" s="21"/>
      <c r="VD18" s="21"/>
      <c r="VE18" s="21"/>
      <c r="VF18" s="21"/>
      <c r="VG18" s="21"/>
      <c r="VH18" s="21"/>
      <c r="VI18" s="21"/>
      <c r="VJ18" s="21"/>
      <c r="VK18" s="21"/>
      <c r="VL18" s="21"/>
      <c r="VM18" s="21"/>
      <c r="VN18" s="21"/>
      <c r="VO18" s="21"/>
      <c r="VP18" s="21"/>
      <c r="VQ18" s="21"/>
      <c r="VR18" s="21"/>
      <c r="VS18" s="21"/>
      <c r="VT18" s="21"/>
      <c r="VU18" s="21"/>
      <c r="VV18" s="21"/>
      <c r="VW18" s="21"/>
      <c r="VX18" s="21"/>
      <c r="VY18" s="21"/>
      <c r="VZ18" s="21"/>
      <c r="WA18" s="21"/>
      <c r="WB18" s="21"/>
      <c r="WC18" s="21"/>
      <c r="WD18" s="21"/>
      <c r="WE18" s="21"/>
      <c r="WF18" s="21"/>
      <c r="WG18" s="21"/>
      <c r="WH18" s="21"/>
      <c r="WI18" s="21"/>
      <c r="WJ18" s="21"/>
      <c r="WK18" s="21"/>
      <c r="WL18" s="21"/>
      <c r="WM18" s="21"/>
      <c r="WN18" s="21"/>
      <c r="WO18" s="21"/>
      <c r="WP18" s="21"/>
      <c r="WQ18" s="21"/>
      <c r="WR18" s="21"/>
      <c r="WS18" s="21"/>
      <c r="WT18" s="21"/>
      <c r="WU18" s="21"/>
      <c r="WV18" s="21"/>
      <c r="WW18" s="21"/>
      <c r="WX18" s="21"/>
      <c r="WY18" s="21"/>
      <c r="WZ18" s="21"/>
      <c r="XA18" s="21"/>
      <c r="XB18" s="21"/>
      <c r="XC18" s="21"/>
      <c r="XD18" s="21"/>
      <c r="XE18" s="21"/>
      <c r="XF18" s="21"/>
      <c r="XG18" s="21"/>
      <c r="XH18" s="21"/>
      <c r="XI18" s="21"/>
      <c r="XJ18" s="21"/>
      <c r="XK18" s="21"/>
      <c r="XL18" s="21"/>
      <c r="XM18" s="21"/>
      <c r="XN18" s="21"/>
      <c r="XO18" s="21"/>
      <c r="XP18" s="21"/>
      <c r="XQ18" s="21"/>
      <c r="XR18" s="21"/>
      <c r="XS18" s="21"/>
      <c r="XT18" s="21"/>
      <c r="XU18" s="21"/>
      <c r="XV18" s="21"/>
      <c r="XW18" s="21"/>
      <c r="XX18" s="21"/>
      <c r="XY18" s="21"/>
      <c r="XZ18" s="21"/>
      <c r="YA18" s="21"/>
      <c r="YB18" s="21"/>
      <c r="YC18" s="21"/>
      <c r="YD18" s="21"/>
      <c r="YE18" s="21"/>
      <c r="YF18" s="21"/>
      <c r="YG18" s="21"/>
      <c r="YH18" s="21"/>
      <c r="YI18" s="21"/>
      <c r="YJ18" s="21"/>
      <c r="YK18" s="21"/>
      <c r="YL18" s="21"/>
      <c r="YM18" s="21"/>
      <c r="YN18" s="21"/>
      <c r="YO18" s="21"/>
      <c r="YP18" s="21"/>
      <c r="YQ18" s="21"/>
      <c r="YR18" s="21"/>
      <c r="YS18" s="21"/>
      <c r="YT18" s="21"/>
      <c r="YU18" s="21"/>
      <c r="YV18" s="21"/>
      <c r="YW18" s="21"/>
      <c r="YX18" s="21"/>
      <c r="YY18" s="21"/>
      <c r="YZ18" s="21"/>
      <c r="ZA18" s="21"/>
      <c r="ZB18" s="21"/>
      <c r="ZC18" s="21"/>
      <c r="ZD18" s="21"/>
      <c r="ZE18" s="21"/>
      <c r="ZF18" s="21"/>
      <c r="ZG18" s="21"/>
      <c r="ZH18" s="21"/>
      <c r="ZI18" s="21"/>
      <c r="ZJ18" s="21"/>
      <c r="ZK18" s="21"/>
      <c r="ZL18" s="21"/>
      <c r="ZM18" s="21"/>
      <c r="ZN18" s="21"/>
      <c r="ZO18" s="21"/>
      <c r="ZP18" s="21"/>
      <c r="ZQ18" s="21"/>
      <c r="ZR18" s="21"/>
      <c r="ZS18" s="21"/>
      <c r="ZT18" s="21"/>
      <c r="ZU18" s="21"/>
      <c r="ZV18" s="21"/>
      <c r="ZW18" s="21"/>
      <c r="ZX18" s="21"/>
      <c r="ZY18" s="21"/>
      <c r="ZZ18" s="21"/>
      <c r="AAA18" s="21"/>
      <c r="AAB18" s="21"/>
      <c r="AAC18" s="21"/>
      <c r="AAD18" s="21"/>
      <c r="AAE18" s="21"/>
      <c r="AAF18" s="21"/>
      <c r="AAG18" s="21"/>
      <c r="AAH18" s="21"/>
      <c r="AAI18" s="21"/>
      <c r="AAJ18" s="21"/>
      <c r="AAK18" s="21"/>
      <c r="AAL18" s="21"/>
      <c r="AAM18" s="21"/>
      <c r="AAN18" s="21"/>
      <c r="AAO18" s="21"/>
      <c r="AAP18" s="21"/>
      <c r="AAQ18" s="21"/>
      <c r="AAR18" s="21"/>
      <c r="AAS18" s="21"/>
      <c r="AAT18" s="21"/>
      <c r="AAU18" s="21"/>
      <c r="AAV18" s="21"/>
      <c r="AAW18" s="21"/>
      <c r="AAX18" s="21"/>
      <c r="AAY18" s="21"/>
      <c r="AAZ18" s="21"/>
      <c r="ABA18" s="21"/>
      <c r="ABB18" s="21"/>
      <c r="ABC18" s="21"/>
      <c r="ABD18" s="21"/>
      <c r="ABE18" s="21"/>
      <c r="ABF18" s="21"/>
      <c r="ABG18" s="21"/>
      <c r="ABH18" s="21"/>
      <c r="ABI18" s="21"/>
      <c r="ABJ18" s="21"/>
      <c r="ABK18" s="21"/>
      <c r="ABL18" s="21"/>
      <c r="ABM18" s="21"/>
      <c r="ABN18" s="21"/>
      <c r="ABO18" s="21"/>
      <c r="ABP18" s="21"/>
      <c r="ABQ18" s="21"/>
      <c r="ABR18" s="21"/>
      <c r="ABS18" s="21"/>
      <c r="ABT18" s="21"/>
      <c r="ABU18" s="21"/>
      <c r="ABV18" s="21"/>
      <c r="ABW18" s="21"/>
      <c r="ABX18" s="21"/>
      <c r="ABY18" s="21"/>
      <c r="ABZ18" s="21"/>
      <c r="ACA18" s="21"/>
      <c r="ACB18" s="21"/>
      <c r="ACC18" s="21"/>
      <c r="ACD18" s="21"/>
      <c r="ACE18" s="21"/>
      <c r="ACF18" s="21"/>
      <c r="ACG18" s="21"/>
      <c r="ACH18" s="21"/>
      <c r="ACI18" s="21"/>
      <c r="ACJ18" s="21"/>
      <c r="ACK18" s="21"/>
      <c r="ACL18" s="21"/>
      <c r="ACM18" s="21"/>
      <c r="ACN18" s="21"/>
      <c r="ACO18" s="21"/>
      <c r="ACP18" s="21"/>
      <c r="ACQ18" s="21"/>
      <c r="ACR18" s="21"/>
      <c r="ACS18" s="21"/>
      <c r="ACT18" s="21"/>
      <c r="ACU18" s="21"/>
      <c r="ACV18" s="21"/>
      <c r="ACW18" s="21"/>
      <c r="ACX18" s="21"/>
      <c r="ACY18" s="21"/>
      <c r="ACZ18" s="21"/>
      <c r="ADA18" s="21"/>
      <c r="ADB18" s="21"/>
      <c r="ADC18" s="21"/>
      <c r="ADD18" s="21"/>
      <c r="ADE18" s="21"/>
      <c r="ADF18" s="21"/>
      <c r="ADG18" s="21"/>
      <c r="ADH18" s="21"/>
      <c r="ADI18" s="21"/>
      <c r="ADJ18" s="21"/>
      <c r="ADK18" s="21"/>
      <c r="ADL18" s="21"/>
      <c r="ADM18" s="21"/>
      <c r="ADN18" s="21"/>
      <c r="ADO18" s="21"/>
      <c r="ADP18" s="21"/>
      <c r="ADQ18" s="21"/>
      <c r="ADR18" s="21"/>
      <c r="ADS18" s="21"/>
      <c r="ADT18" s="21"/>
      <c r="ADU18" s="21"/>
      <c r="ADV18" s="21"/>
      <c r="ADW18" s="21"/>
      <c r="ADX18" s="21"/>
      <c r="ADY18" s="21"/>
      <c r="ADZ18" s="21"/>
      <c r="AEA18" s="21"/>
      <c r="AEB18" s="21"/>
      <c r="AEC18" s="21"/>
      <c r="AED18" s="21"/>
      <c r="AEE18" s="21"/>
      <c r="AEF18" s="21"/>
      <c r="AEG18" s="21"/>
      <c r="AEH18" s="21"/>
      <c r="AEI18" s="21"/>
      <c r="AEJ18" s="21"/>
      <c r="AEK18" s="21"/>
      <c r="AEL18" s="21"/>
      <c r="AEM18" s="21"/>
      <c r="AEN18" s="21"/>
      <c r="AEO18" s="21"/>
      <c r="AEP18" s="21"/>
      <c r="AEQ18" s="21"/>
      <c r="AER18" s="21"/>
      <c r="AES18" s="21"/>
      <c r="AET18" s="21"/>
      <c r="AEU18" s="21"/>
      <c r="AEV18" s="21"/>
      <c r="AEW18" s="21"/>
      <c r="AEX18" s="21"/>
      <c r="AEY18" s="21"/>
      <c r="AEZ18" s="21"/>
      <c r="AFA18" s="21"/>
      <c r="AFB18" s="21"/>
      <c r="AFC18" s="21"/>
      <c r="AFD18" s="21"/>
      <c r="AFE18" s="21"/>
      <c r="AFF18" s="21"/>
      <c r="AFG18" s="21"/>
      <c r="AFH18" s="21"/>
      <c r="AFI18" s="21"/>
      <c r="AFJ18" s="21"/>
      <c r="AFK18" s="21"/>
      <c r="AFL18" s="21"/>
      <c r="AFM18" s="21"/>
      <c r="AFN18" s="21"/>
      <c r="AFO18" s="21"/>
      <c r="AFP18" s="21"/>
      <c r="AFQ18" s="21"/>
      <c r="AFR18" s="21"/>
      <c r="AFS18" s="21"/>
      <c r="AFT18" s="21"/>
      <c r="AFU18" s="21"/>
      <c r="AFV18" s="21"/>
      <c r="AFW18" s="21"/>
      <c r="AFX18" s="21"/>
      <c r="AFY18" s="21"/>
      <c r="AFZ18" s="21"/>
      <c r="AGA18" s="21"/>
      <c r="AGB18" s="21"/>
      <c r="AGC18" s="21"/>
      <c r="AGD18" s="21"/>
      <c r="AGE18" s="21"/>
      <c r="AGF18" s="21"/>
      <c r="AGG18" s="21"/>
      <c r="AGH18" s="21"/>
      <c r="AGI18" s="21"/>
      <c r="AGJ18" s="21"/>
      <c r="AGK18" s="21"/>
      <c r="AGL18" s="21"/>
      <c r="AGM18" s="21"/>
      <c r="AGN18" s="21"/>
      <c r="AGO18" s="21"/>
      <c r="AGP18" s="21"/>
      <c r="AGQ18" s="21"/>
      <c r="AGR18" s="21"/>
      <c r="AGS18" s="21"/>
    </row>
    <row r="19" spans="1:877" ht="15.75" customHeight="1">
      <c r="A19" s="36"/>
      <c r="B19" s="37" t="s">
        <v>28</v>
      </c>
      <c r="C19" s="38"/>
      <c r="D19" s="39"/>
      <c r="E19" s="39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  <c r="IU19" s="40"/>
      <c r="IV19" s="40"/>
      <c r="IW19" s="40"/>
      <c r="IX19" s="40"/>
      <c r="IY19" s="40"/>
      <c r="IZ19" s="40"/>
      <c r="JA19" s="40"/>
      <c r="JB19" s="40"/>
      <c r="JC19" s="40"/>
      <c r="JD19" s="40"/>
      <c r="JE19" s="40"/>
      <c r="JF19" s="40"/>
      <c r="JG19" s="40"/>
      <c r="JH19" s="40"/>
      <c r="JI19" s="40"/>
      <c r="JJ19" s="40"/>
      <c r="JK19" s="40"/>
      <c r="JL19" s="40"/>
      <c r="JM19" s="40"/>
      <c r="JN19" s="40"/>
      <c r="JO19" s="40"/>
      <c r="JP19" s="40"/>
      <c r="JQ19" s="40"/>
      <c r="JR19" s="40"/>
      <c r="JS19" s="40"/>
      <c r="JT19" s="40"/>
      <c r="JU19" s="40"/>
      <c r="JV19" s="40"/>
      <c r="JW19" s="40"/>
      <c r="JX19" s="40"/>
      <c r="JY19" s="40"/>
      <c r="JZ19" s="40"/>
      <c r="KA19" s="40"/>
      <c r="KB19" s="40"/>
      <c r="KC19" s="40"/>
      <c r="KD19" s="40"/>
      <c r="KE19" s="40"/>
      <c r="KF19" s="40"/>
      <c r="KG19" s="40"/>
      <c r="KH19" s="40"/>
      <c r="KI19" s="40"/>
      <c r="KJ19" s="40"/>
      <c r="KK19" s="40"/>
      <c r="KL19" s="40"/>
      <c r="KM19" s="40"/>
      <c r="KN19" s="40"/>
      <c r="KO19" s="40"/>
      <c r="KP19" s="40"/>
      <c r="KQ19" s="40"/>
      <c r="KR19" s="40"/>
      <c r="KS19" s="40"/>
      <c r="KT19" s="40"/>
      <c r="KU19" s="40"/>
      <c r="KV19" s="40"/>
      <c r="KW19" s="40"/>
      <c r="KX19" s="40"/>
      <c r="KY19" s="40"/>
      <c r="KZ19" s="40"/>
      <c r="LA19" s="40"/>
      <c r="LB19" s="40"/>
      <c r="LC19" s="40"/>
      <c r="LD19" s="40"/>
      <c r="LE19" s="40"/>
      <c r="LF19" s="40"/>
      <c r="LG19" s="40"/>
      <c r="LH19" s="40"/>
      <c r="LI19" s="40"/>
      <c r="LJ19" s="40"/>
      <c r="LK19" s="40"/>
      <c r="LL19" s="40"/>
      <c r="LM19" s="40"/>
      <c r="LN19" s="40"/>
      <c r="LO19" s="40"/>
      <c r="LP19" s="40"/>
      <c r="LQ19" s="40"/>
      <c r="LR19" s="40"/>
      <c r="LS19" s="40"/>
      <c r="LT19" s="40"/>
      <c r="LU19" s="40"/>
      <c r="LV19" s="40"/>
      <c r="LW19" s="40"/>
      <c r="LX19" s="40"/>
      <c r="LY19" s="40"/>
      <c r="LZ19" s="40"/>
      <c r="MA19" s="40"/>
      <c r="MB19" s="40"/>
      <c r="MC19" s="40"/>
      <c r="MD19" s="40"/>
      <c r="ME19" s="40"/>
      <c r="MF19" s="40"/>
      <c r="MG19" s="40"/>
      <c r="MH19" s="40"/>
      <c r="MI19" s="40"/>
      <c r="MJ19" s="40"/>
      <c r="MK19" s="40"/>
      <c r="ML19" s="40"/>
      <c r="MM19" s="40"/>
      <c r="MN19" s="40"/>
      <c r="MO19" s="40"/>
      <c r="MP19" s="40"/>
      <c r="MQ19" s="40"/>
      <c r="MR19" s="40"/>
      <c r="MS19" s="40"/>
      <c r="MT19" s="40"/>
      <c r="MU19" s="40"/>
      <c r="MV19" s="40"/>
      <c r="MW19" s="40"/>
      <c r="MX19" s="40"/>
      <c r="MY19" s="40"/>
      <c r="MZ19" s="40"/>
      <c r="NA19" s="40"/>
      <c r="NB19" s="40"/>
      <c r="NC19" s="40"/>
      <c r="ND19" s="40"/>
      <c r="NE19" s="40"/>
      <c r="NF19" s="40"/>
      <c r="NG19" s="40"/>
      <c r="NH19" s="40"/>
      <c r="NI19" s="40"/>
      <c r="NJ19" s="40"/>
      <c r="NK19" s="40"/>
      <c r="NL19" s="40"/>
      <c r="NM19" s="40"/>
      <c r="NN19" s="40"/>
      <c r="NO19" s="40"/>
      <c r="NP19" s="40"/>
      <c r="NQ19" s="40"/>
      <c r="NR19" s="40"/>
      <c r="NS19" s="40"/>
      <c r="NT19" s="40"/>
      <c r="NU19" s="40"/>
      <c r="NV19" s="40"/>
      <c r="NW19" s="40"/>
      <c r="NX19" s="40"/>
      <c r="NY19" s="40"/>
      <c r="NZ19" s="40"/>
      <c r="OA19" s="40"/>
      <c r="OB19" s="40"/>
      <c r="OC19" s="40"/>
      <c r="OD19" s="40"/>
      <c r="OE19" s="40"/>
      <c r="OF19" s="40"/>
      <c r="OG19" s="40"/>
      <c r="OH19" s="40"/>
      <c r="OI19" s="40"/>
      <c r="OJ19" s="40"/>
      <c r="OK19" s="40"/>
      <c r="OL19" s="40"/>
      <c r="OM19" s="40"/>
      <c r="ON19" s="40"/>
      <c r="OO19" s="40"/>
      <c r="OP19" s="40"/>
      <c r="OQ19" s="40"/>
      <c r="OR19" s="40"/>
      <c r="OS19" s="40"/>
      <c r="OT19" s="40"/>
      <c r="OU19" s="40"/>
      <c r="OV19" s="40"/>
      <c r="OW19" s="40"/>
      <c r="OX19" s="40"/>
      <c r="OY19" s="40"/>
      <c r="OZ19" s="40"/>
      <c r="PA19" s="40"/>
      <c r="PB19" s="40"/>
      <c r="PC19" s="40"/>
      <c r="PD19" s="40"/>
      <c r="PE19" s="40"/>
      <c r="PF19" s="40"/>
      <c r="PG19" s="40"/>
      <c r="PH19" s="40"/>
      <c r="PI19" s="40"/>
      <c r="PJ19" s="40"/>
      <c r="PK19" s="40"/>
      <c r="PL19" s="40"/>
      <c r="PM19" s="40"/>
      <c r="PN19" s="40"/>
      <c r="PO19" s="40"/>
      <c r="PP19" s="40"/>
      <c r="PQ19" s="40"/>
      <c r="PR19" s="40"/>
      <c r="PS19" s="40"/>
      <c r="PT19" s="40"/>
      <c r="PU19" s="40"/>
      <c r="PV19" s="40"/>
      <c r="PW19" s="40"/>
      <c r="PX19" s="40"/>
      <c r="PY19" s="40"/>
      <c r="PZ19" s="40"/>
      <c r="QA19" s="40"/>
      <c r="QB19" s="40"/>
      <c r="QC19" s="40"/>
      <c r="QD19" s="40"/>
      <c r="QE19" s="40"/>
      <c r="QF19" s="40"/>
      <c r="QG19" s="40"/>
      <c r="QH19" s="40"/>
      <c r="QI19" s="40"/>
      <c r="QJ19" s="40"/>
      <c r="QK19" s="40"/>
      <c r="QL19" s="40"/>
      <c r="QM19" s="40"/>
      <c r="QN19" s="40"/>
      <c r="QO19" s="40"/>
      <c r="QP19" s="40"/>
      <c r="QQ19" s="40"/>
      <c r="QR19" s="40"/>
      <c r="QS19" s="40"/>
      <c r="QT19" s="40"/>
      <c r="QU19" s="40"/>
      <c r="QV19" s="40"/>
      <c r="QW19" s="40"/>
      <c r="QX19" s="40"/>
      <c r="QY19" s="40"/>
      <c r="QZ19" s="40"/>
      <c r="RA19" s="40"/>
      <c r="RB19" s="40"/>
      <c r="RC19" s="40"/>
      <c r="RD19" s="40"/>
      <c r="RE19" s="40"/>
      <c r="RF19" s="40"/>
      <c r="RG19" s="40"/>
      <c r="RH19" s="40"/>
      <c r="RI19" s="40"/>
      <c r="RJ19" s="40"/>
      <c r="RK19" s="40"/>
      <c r="RL19" s="40"/>
      <c r="RM19" s="40"/>
      <c r="RN19" s="40"/>
      <c r="RO19" s="40"/>
      <c r="RP19" s="40"/>
      <c r="RQ19" s="40"/>
      <c r="RR19" s="40"/>
      <c r="RS19" s="40"/>
      <c r="RT19" s="40"/>
      <c r="RU19" s="40"/>
      <c r="RV19" s="40"/>
      <c r="RW19" s="40"/>
      <c r="RX19" s="40"/>
      <c r="RY19" s="40"/>
      <c r="RZ19" s="40"/>
      <c r="SA19" s="40"/>
      <c r="SB19" s="40"/>
      <c r="SC19" s="40"/>
      <c r="SD19" s="40"/>
      <c r="SE19" s="40"/>
      <c r="SF19" s="40"/>
      <c r="SG19" s="40"/>
      <c r="SH19" s="40"/>
      <c r="SI19" s="40"/>
      <c r="SJ19" s="40"/>
      <c r="SK19" s="40"/>
      <c r="SL19" s="40"/>
      <c r="SM19" s="40"/>
      <c r="SN19" s="40"/>
      <c r="SO19" s="40"/>
      <c r="SP19" s="40"/>
      <c r="SQ19" s="40"/>
      <c r="SR19" s="40"/>
      <c r="SS19" s="40"/>
      <c r="ST19" s="40"/>
      <c r="SU19" s="40"/>
      <c r="SV19" s="40"/>
      <c r="SW19" s="40"/>
      <c r="SX19" s="40"/>
      <c r="SY19" s="40"/>
      <c r="SZ19" s="40"/>
      <c r="TA19" s="40"/>
      <c r="TB19" s="40"/>
      <c r="TC19" s="40"/>
      <c r="TD19" s="40"/>
      <c r="TE19" s="40"/>
      <c r="TF19" s="40"/>
      <c r="TG19" s="40"/>
      <c r="TH19" s="40"/>
      <c r="TI19" s="40"/>
      <c r="TJ19" s="40"/>
      <c r="TK19" s="40"/>
      <c r="TL19" s="40"/>
      <c r="TM19" s="40"/>
      <c r="TN19" s="40"/>
      <c r="TO19" s="40"/>
      <c r="TP19" s="40"/>
      <c r="TQ19" s="40"/>
      <c r="TR19" s="40"/>
      <c r="TS19" s="40"/>
      <c r="TT19" s="40"/>
      <c r="TU19" s="40"/>
      <c r="TV19" s="40"/>
      <c r="TW19" s="40"/>
      <c r="TX19" s="40"/>
      <c r="TY19" s="40"/>
      <c r="TZ19" s="40"/>
      <c r="UA19" s="40"/>
      <c r="UB19" s="40"/>
      <c r="UC19" s="40"/>
      <c r="UD19" s="40"/>
      <c r="UE19" s="40"/>
      <c r="UF19" s="40"/>
      <c r="UG19" s="40"/>
      <c r="UH19" s="40"/>
      <c r="UI19" s="40"/>
      <c r="UJ19" s="40"/>
      <c r="UK19" s="40"/>
      <c r="UL19" s="40"/>
      <c r="UM19" s="40"/>
      <c r="UN19" s="40"/>
      <c r="UO19" s="40"/>
      <c r="UP19" s="40"/>
      <c r="UQ19" s="40"/>
      <c r="UR19" s="40"/>
      <c r="US19" s="40"/>
      <c r="UT19" s="40"/>
      <c r="UU19" s="40"/>
      <c r="UV19" s="40"/>
      <c r="UW19" s="40"/>
      <c r="UX19" s="40"/>
      <c r="UY19" s="40"/>
      <c r="UZ19" s="40"/>
      <c r="VA19" s="40"/>
      <c r="VB19" s="40"/>
      <c r="VC19" s="40"/>
      <c r="VD19" s="40"/>
      <c r="VE19" s="40"/>
      <c r="VF19" s="40"/>
      <c r="VG19" s="40"/>
      <c r="VH19" s="40"/>
      <c r="VI19" s="40"/>
      <c r="VJ19" s="40"/>
      <c r="VK19" s="40"/>
      <c r="VL19" s="40"/>
      <c r="VM19" s="40"/>
      <c r="VN19" s="40"/>
      <c r="VO19" s="40"/>
      <c r="VP19" s="40"/>
      <c r="VQ19" s="40"/>
      <c r="VR19" s="40"/>
      <c r="VS19" s="40"/>
      <c r="VT19" s="40"/>
      <c r="VU19" s="40"/>
      <c r="VV19" s="40"/>
      <c r="VW19" s="40"/>
      <c r="VX19" s="40"/>
      <c r="VY19" s="40"/>
      <c r="VZ19" s="40"/>
      <c r="WA19" s="40"/>
      <c r="WB19" s="40"/>
      <c r="WC19" s="40"/>
      <c r="WD19" s="40"/>
      <c r="WE19" s="40"/>
      <c r="WF19" s="40"/>
      <c r="WG19" s="40"/>
      <c r="WH19" s="40"/>
      <c r="WI19" s="40"/>
      <c r="WJ19" s="40"/>
      <c r="WK19" s="40"/>
      <c r="WL19" s="40"/>
      <c r="WM19" s="40"/>
      <c r="WN19" s="40"/>
      <c r="WO19" s="40"/>
      <c r="WP19" s="40"/>
      <c r="WQ19" s="40"/>
      <c r="WR19" s="40"/>
      <c r="WS19" s="40"/>
      <c r="WT19" s="40"/>
      <c r="WU19" s="40"/>
      <c r="WV19" s="40"/>
      <c r="WW19" s="40"/>
      <c r="WX19" s="40"/>
      <c r="WY19" s="40"/>
      <c r="WZ19" s="40"/>
      <c r="XA19" s="40"/>
      <c r="XB19" s="40"/>
      <c r="XC19" s="40"/>
      <c r="XD19" s="40"/>
      <c r="XE19" s="40"/>
      <c r="XF19" s="40"/>
      <c r="XG19" s="40"/>
      <c r="XH19" s="40"/>
      <c r="XI19" s="40"/>
      <c r="XJ19" s="40"/>
      <c r="XK19" s="40"/>
      <c r="XL19" s="40"/>
      <c r="XM19" s="40"/>
      <c r="XN19" s="40"/>
      <c r="XO19" s="40"/>
      <c r="XP19" s="40"/>
      <c r="XQ19" s="40"/>
      <c r="XR19" s="40"/>
      <c r="XS19" s="40"/>
      <c r="XT19" s="40"/>
      <c r="XU19" s="40"/>
      <c r="XV19" s="40"/>
      <c r="XW19" s="40"/>
      <c r="XX19" s="40"/>
      <c r="XY19" s="40"/>
      <c r="XZ19" s="40"/>
      <c r="YA19" s="40"/>
      <c r="YB19" s="40"/>
      <c r="YC19" s="40"/>
      <c r="YD19" s="40"/>
      <c r="YE19" s="40"/>
      <c r="YF19" s="40"/>
      <c r="YG19" s="40"/>
      <c r="YH19" s="40"/>
      <c r="YI19" s="40"/>
      <c r="YJ19" s="40"/>
      <c r="YK19" s="40"/>
      <c r="YL19" s="40"/>
      <c r="YM19" s="40"/>
      <c r="YN19" s="40"/>
      <c r="YO19" s="40"/>
      <c r="YP19" s="40"/>
      <c r="YQ19" s="40"/>
      <c r="YR19" s="40"/>
      <c r="YS19" s="40"/>
      <c r="YT19" s="40"/>
      <c r="YU19" s="40"/>
      <c r="YV19" s="40"/>
      <c r="YW19" s="40"/>
      <c r="YX19" s="40"/>
      <c r="YY19" s="40"/>
      <c r="YZ19" s="40"/>
      <c r="ZA19" s="40"/>
      <c r="ZB19" s="40"/>
      <c r="ZC19" s="40"/>
      <c r="ZD19" s="40"/>
      <c r="ZE19" s="40"/>
      <c r="ZF19" s="40"/>
      <c r="ZG19" s="40"/>
      <c r="ZH19" s="40"/>
      <c r="ZI19" s="40"/>
      <c r="ZJ19" s="40"/>
      <c r="ZK19" s="40"/>
      <c r="ZL19" s="40"/>
      <c r="ZM19" s="40"/>
      <c r="ZN19" s="40"/>
      <c r="ZO19" s="40"/>
      <c r="ZP19" s="40"/>
      <c r="ZQ19" s="40"/>
      <c r="ZR19" s="40"/>
      <c r="ZS19" s="40"/>
      <c r="ZT19" s="40"/>
      <c r="ZU19" s="40"/>
      <c r="ZV19" s="40"/>
      <c r="ZW19" s="40"/>
      <c r="ZX19" s="40"/>
      <c r="ZY19" s="40"/>
      <c r="ZZ19" s="40"/>
      <c r="AAA19" s="40"/>
      <c r="AAB19" s="40"/>
      <c r="AAC19" s="40"/>
      <c r="AAD19" s="40"/>
      <c r="AAE19" s="40"/>
      <c r="AAF19" s="40"/>
      <c r="AAG19" s="40"/>
      <c r="AAH19" s="40"/>
      <c r="AAI19" s="40"/>
      <c r="AAJ19" s="40"/>
      <c r="AAK19" s="40"/>
      <c r="AAL19" s="40"/>
      <c r="AAM19" s="40"/>
      <c r="AAN19" s="40"/>
      <c r="AAO19" s="40"/>
      <c r="AAP19" s="40"/>
      <c r="AAQ19" s="40"/>
      <c r="AAR19" s="40"/>
      <c r="AAS19" s="40"/>
      <c r="AAT19" s="40"/>
      <c r="AAU19" s="40"/>
      <c r="AAV19" s="40"/>
      <c r="AAW19" s="40"/>
      <c r="AAX19" s="40"/>
      <c r="AAY19" s="40"/>
      <c r="AAZ19" s="40"/>
      <c r="ABA19" s="40"/>
      <c r="ABB19" s="40"/>
      <c r="ABC19" s="40"/>
      <c r="ABD19" s="40"/>
      <c r="ABE19" s="40"/>
      <c r="ABF19" s="40"/>
      <c r="ABG19" s="40"/>
      <c r="ABH19" s="40"/>
      <c r="ABI19" s="40"/>
      <c r="ABJ19" s="40"/>
      <c r="ABK19" s="40"/>
      <c r="ABL19" s="40"/>
      <c r="ABM19" s="40"/>
      <c r="ABN19" s="40"/>
      <c r="ABO19" s="40"/>
      <c r="ABP19" s="40"/>
      <c r="ABQ19" s="40"/>
      <c r="ABR19" s="40"/>
      <c r="ABS19" s="40"/>
      <c r="ABT19" s="40"/>
      <c r="ABU19" s="40"/>
      <c r="ABV19" s="40"/>
      <c r="ABW19" s="40"/>
      <c r="ABX19" s="40"/>
      <c r="ABY19" s="40"/>
      <c r="ABZ19" s="40"/>
      <c r="ACA19" s="40"/>
      <c r="ACB19" s="40"/>
      <c r="ACC19" s="40"/>
      <c r="ACD19" s="40"/>
      <c r="ACE19" s="40"/>
      <c r="ACF19" s="40"/>
      <c r="ACG19" s="40"/>
      <c r="ACH19" s="40"/>
      <c r="ACI19" s="40"/>
      <c r="ACJ19" s="40"/>
      <c r="ACK19" s="40"/>
      <c r="ACL19" s="40"/>
      <c r="ACM19" s="40"/>
      <c r="ACN19" s="40"/>
      <c r="ACO19" s="40"/>
      <c r="ACP19" s="40"/>
      <c r="ACQ19" s="40"/>
      <c r="ACR19" s="40"/>
      <c r="ACS19" s="40"/>
      <c r="ACT19" s="40"/>
      <c r="ACU19" s="40"/>
      <c r="ACV19" s="40"/>
      <c r="ACW19" s="40"/>
      <c r="ACX19" s="40"/>
      <c r="ACY19" s="40"/>
      <c r="ACZ19" s="40"/>
      <c r="ADA19" s="40"/>
      <c r="ADB19" s="40"/>
      <c r="ADC19" s="40"/>
      <c r="ADD19" s="40"/>
      <c r="ADE19" s="40"/>
      <c r="ADF19" s="40"/>
      <c r="ADG19" s="40"/>
      <c r="ADH19" s="40"/>
      <c r="ADI19" s="40"/>
      <c r="ADJ19" s="40"/>
      <c r="ADK19" s="40"/>
      <c r="ADL19" s="40"/>
      <c r="ADM19" s="40"/>
      <c r="ADN19" s="40"/>
      <c r="ADO19" s="40"/>
      <c r="ADP19" s="40"/>
      <c r="ADQ19" s="40"/>
      <c r="ADR19" s="40"/>
      <c r="ADS19" s="40"/>
      <c r="ADT19" s="40"/>
      <c r="ADU19" s="40"/>
      <c r="ADV19" s="40"/>
      <c r="ADW19" s="40"/>
      <c r="ADX19" s="40"/>
      <c r="ADY19" s="40"/>
      <c r="ADZ19" s="40"/>
      <c r="AEA19" s="40"/>
      <c r="AEB19" s="40"/>
      <c r="AEC19" s="40"/>
      <c r="AED19" s="40"/>
      <c r="AEE19" s="40"/>
      <c r="AEF19" s="40"/>
      <c r="AEG19" s="40"/>
      <c r="AEH19" s="40"/>
      <c r="AEI19" s="40"/>
      <c r="AEJ19" s="40"/>
      <c r="AEK19" s="40"/>
      <c r="AEL19" s="40"/>
      <c r="AEM19" s="40"/>
      <c r="AEN19" s="40"/>
      <c r="AEO19" s="40"/>
      <c r="AEP19" s="40"/>
      <c r="AEQ19" s="40"/>
      <c r="AER19" s="40"/>
      <c r="AES19" s="40"/>
      <c r="AET19" s="40"/>
      <c r="AEU19" s="40"/>
      <c r="AEV19" s="40"/>
      <c r="AEW19" s="40"/>
      <c r="AEX19" s="40"/>
      <c r="AEY19" s="40"/>
      <c r="AEZ19" s="40"/>
      <c r="AFA19" s="40"/>
      <c r="AFB19" s="40"/>
      <c r="AFC19" s="40"/>
      <c r="AFD19" s="40"/>
      <c r="AFE19" s="40"/>
      <c r="AFF19" s="40"/>
      <c r="AFG19" s="40"/>
      <c r="AFH19" s="40"/>
      <c r="AFI19" s="40"/>
      <c r="AFJ19" s="40"/>
      <c r="AFK19" s="40"/>
      <c r="AFL19" s="40"/>
      <c r="AFM19" s="40"/>
      <c r="AFN19" s="40"/>
      <c r="AFO19" s="40"/>
      <c r="AFP19" s="40"/>
      <c r="AFQ19" s="40"/>
      <c r="AFR19" s="40"/>
      <c r="AFS19" s="40"/>
      <c r="AFT19" s="40"/>
      <c r="AFU19" s="40"/>
      <c r="AFV19" s="40"/>
      <c r="AFW19" s="40"/>
      <c r="AFX19" s="40"/>
      <c r="AFY19" s="40"/>
      <c r="AFZ19" s="40"/>
      <c r="AGA19" s="40"/>
      <c r="AGB19" s="40"/>
      <c r="AGC19" s="40"/>
      <c r="AGD19" s="40"/>
      <c r="AGE19" s="40"/>
      <c r="AGF19" s="40"/>
      <c r="AGG19" s="40"/>
      <c r="AGH19" s="40"/>
      <c r="AGI19" s="40"/>
      <c r="AGJ19" s="40"/>
      <c r="AGK19" s="40"/>
      <c r="AGL19" s="40"/>
      <c r="AGM19" s="40"/>
      <c r="AGN19" s="40"/>
      <c r="AGO19" s="40"/>
      <c r="AGP19" s="40"/>
      <c r="AGQ19" s="40"/>
      <c r="AGR19" s="40"/>
      <c r="AGS19" s="40"/>
    </row>
    <row r="20" spans="1:877" ht="13">
      <c r="A20" s="41"/>
      <c r="B20" s="42" t="s">
        <v>21</v>
      </c>
      <c r="C20" s="43" t="s">
        <v>22</v>
      </c>
      <c r="D20" s="40"/>
      <c r="E20" s="40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8"/>
      <c r="S20" s="28">
        <f>'Project Overview'!$C$12/12</f>
        <v>270000</v>
      </c>
      <c r="T20" s="28">
        <f>'Project Overview'!$C$12/12</f>
        <v>270000</v>
      </c>
      <c r="U20" s="28">
        <f>'Project Overview'!$C$12/12</f>
        <v>270000</v>
      </c>
      <c r="V20" s="28">
        <f>'Project Overview'!$C$12/12</f>
        <v>270000</v>
      </c>
      <c r="W20" s="28">
        <f>'Project Overview'!$C$12/12</f>
        <v>270000</v>
      </c>
      <c r="X20" s="28">
        <f>'Project Overview'!$C$12/12</f>
        <v>270000</v>
      </c>
      <c r="Y20" s="28">
        <f>'Project Overview'!$C$12/12</f>
        <v>270000</v>
      </c>
      <c r="Z20" s="28">
        <f>'Project Overview'!$C$12/12</f>
        <v>270000</v>
      </c>
      <c r="AA20" s="28">
        <f>'Project Overview'!$C$12/12</f>
        <v>270000</v>
      </c>
      <c r="AB20" s="28">
        <f>'Project Overview'!$C$12/12</f>
        <v>270000</v>
      </c>
      <c r="AC20" s="28">
        <f>'Project Overview'!$C$12/12</f>
        <v>270000</v>
      </c>
      <c r="AD20" s="28">
        <f>'Project Overview'!$C$12/12</f>
        <v>270000</v>
      </c>
      <c r="AE20" s="28">
        <f>'Project Overview'!$D$12/12</f>
        <v>125000</v>
      </c>
      <c r="AF20" s="28">
        <f>'Project Overview'!$D$12/12</f>
        <v>125000</v>
      </c>
      <c r="AG20" s="28">
        <f>'Project Overview'!$D$12/12</f>
        <v>125000</v>
      </c>
      <c r="AH20" s="28">
        <f>'Project Overview'!$D$12/12</f>
        <v>125000</v>
      </c>
      <c r="AI20" s="28">
        <f>'Project Overview'!$D$12/12</f>
        <v>125000</v>
      </c>
      <c r="AJ20" s="28">
        <f>'Project Overview'!$D$12/12</f>
        <v>125000</v>
      </c>
      <c r="AK20" s="28">
        <f>'Project Overview'!$D$12/12</f>
        <v>125000</v>
      </c>
      <c r="AL20" s="28">
        <f>'Project Overview'!$D$12/12</f>
        <v>125000</v>
      </c>
      <c r="AM20" s="28">
        <f>'Project Overview'!$D$12/12</f>
        <v>125000</v>
      </c>
      <c r="AN20" s="28">
        <f>'Project Overview'!$D$12/12</f>
        <v>125000</v>
      </c>
      <c r="AO20" s="28">
        <f>'Project Overview'!$D$12/12</f>
        <v>125000</v>
      </c>
      <c r="AP20" s="28">
        <f>'Project Overview'!$D$12/12</f>
        <v>125000</v>
      </c>
      <c r="AQ20" s="28">
        <f>'Project Overview'!$E$12/12</f>
        <v>0</v>
      </c>
      <c r="AR20" s="28">
        <f>'Project Overview'!$E$12/12</f>
        <v>0</v>
      </c>
      <c r="AS20" s="28">
        <f>'Project Overview'!$E$12/12</f>
        <v>0</v>
      </c>
      <c r="AT20" s="28">
        <f>'Project Overview'!$E$12/12</f>
        <v>0</v>
      </c>
      <c r="AU20" s="28">
        <f>'Project Overview'!$E$12/12</f>
        <v>0</v>
      </c>
      <c r="AV20" s="28">
        <f>'Project Overview'!$E$12/12</f>
        <v>0</v>
      </c>
      <c r="AW20" s="28">
        <f>'Project Overview'!$E$12/12</f>
        <v>0</v>
      </c>
      <c r="AX20" s="28">
        <f>'Project Overview'!$E$12/12</f>
        <v>0</v>
      </c>
      <c r="AY20" s="28">
        <f>'Project Overview'!$E$12/12</f>
        <v>0</v>
      </c>
      <c r="AZ20" s="28">
        <f>'Project Overview'!$E$12/12</f>
        <v>0</v>
      </c>
      <c r="BA20" s="28">
        <f>'Project Overview'!$E$12/12</f>
        <v>0</v>
      </c>
      <c r="BB20" s="28">
        <f>'Project Overview'!$E$12/12</f>
        <v>0</v>
      </c>
      <c r="BC20" s="28">
        <f>'Project Overview'!$F$12/12</f>
        <v>0</v>
      </c>
      <c r="BD20" s="28">
        <f>'Project Overview'!$F$12/12</f>
        <v>0</v>
      </c>
      <c r="BE20" s="28">
        <f>'Project Overview'!$F$12/12</f>
        <v>0</v>
      </c>
      <c r="BF20" s="28">
        <f>'Project Overview'!$F$12/12</f>
        <v>0</v>
      </c>
      <c r="BG20" s="28">
        <f>'Project Overview'!$F$12/12</f>
        <v>0</v>
      </c>
      <c r="BH20" s="28">
        <f>'Project Overview'!$F$12/12</f>
        <v>0</v>
      </c>
      <c r="BI20" s="28">
        <f>'Project Overview'!$F$12/12</f>
        <v>0</v>
      </c>
      <c r="BJ20" s="28">
        <f>'Project Overview'!$F$12/12</f>
        <v>0</v>
      </c>
      <c r="BK20" s="28">
        <f>'Project Overview'!$F$12/12</f>
        <v>0</v>
      </c>
      <c r="BL20" s="28">
        <f>'Project Overview'!$F$12/12</f>
        <v>0</v>
      </c>
      <c r="BM20" s="28">
        <f>'Project Overview'!$F$12/12</f>
        <v>0</v>
      </c>
      <c r="BN20" s="28">
        <f>'Project Overview'!$F$12/12</f>
        <v>0</v>
      </c>
      <c r="BO20" s="28">
        <f>'Project Overview'!$G$12/12</f>
        <v>0</v>
      </c>
      <c r="BP20" s="28">
        <f>'Project Overview'!$G$12/12</f>
        <v>0</v>
      </c>
      <c r="BQ20" s="28">
        <f>'Project Overview'!$G$12/12</f>
        <v>0</v>
      </c>
      <c r="BR20" s="28">
        <f>'Project Overview'!$G$12/12</f>
        <v>0</v>
      </c>
      <c r="BS20" s="28">
        <f>'Project Overview'!$G$12/12</f>
        <v>0</v>
      </c>
      <c r="BT20" s="28">
        <f>'Project Overview'!$G$12/12</f>
        <v>0</v>
      </c>
      <c r="BU20" s="28">
        <f>'Project Overview'!$G$12/12</f>
        <v>0</v>
      </c>
      <c r="BV20" s="28">
        <f>'Project Overview'!$G$12/12</f>
        <v>0</v>
      </c>
      <c r="BW20" s="28">
        <f>'Project Overview'!$G$12/12</f>
        <v>0</v>
      </c>
      <c r="BX20" s="28">
        <f>'Project Overview'!$G$12/12</f>
        <v>0</v>
      </c>
      <c r="BY20" s="28">
        <f>'Project Overview'!$G$12/12</f>
        <v>0</v>
      </c>
      <c r="BZ20" s="28">
        <f>'Project Overview'!$G$12/12</f>
        <v>0</v>
      </c>
      <c r="CA20" s="28">
        <f>'Project Overview'!$G$12/12</f>
        <v>0</v>
      </c>
      <c r="CB20" s="28">
        <f>'Project Overview'!$G$12/12</f>
        <v>0</v>
      </c>
      <c r="CC20" s="28">
        <f>'Project Overview'!$G$12/12</f>
        <v>0</v>
      </c>
      <c r="CD20" s="28">
        <f>'Project Overview'!$G$12/12</f>
        <v>0</v>
      </c>
      <c r="CE20" s="28">
        <f>'Project Overview'!$G$12/12</f>
        <v>0</v>
      </c>
      <c r="CF20" s="28">
        <f>'Project Overview'!$G$12/12</f>
        <v>0</v>
      </c>
      <c r="CG20" s="28">
        <f>'Project Overview'!$G$12/12</f>
        <v>0</v>
      </c>
      <c r="CH20" s="28">
        <f>'Project Overview'!$G$12/12</f>
        <v>0</v>
      </c>
      <c r="CI20" s="28">
        <f>'Project Overview'!$G$12/12</f>
        <v>0</v>
      </c>
      <c r="CJ20" s="28">
        <f>'Project Overview'!$G$12/12</f>
        <v>0</v>
      </c>
      <c r="CK20" s="28">
        <f>'Project Overview'!$G$12/12</f>
        <v>0</v>
      </c>
      <c r="CL20" s="28">
        <f>'Project Overview'!$G$12/12</f>
        <v>0</v>
      </c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40"/>
      <c r="IO20" s="40"/>
      <c r="IP20" s="40"/>
      <c r="IQ20" s="40"/>
      <c r="IR20" s="40"/>
      <c r="IS20" s="40"/>
      <c r="IT20" s="40"/>
      <c r="IU20" s="40"/>
      <c r="IV20" s="40"/>
      <c r="IW20" s="40"/>
      <c r="IX20" s="40"/>
      <c r="IY20" s="40"/>
      <c r="IZ20" s="40"/>
      <c r="JA20" s="40"/>
      <c r="JB20" s="40"/>
      <c r="JC20" s="40"/>
      <c r="JD20" s="40"/>
      <c r="JE20" s="40"/>
      <c r="JF20" s="40"/>
      <c r="JG20" s="40"/>
      <c r="JH20" s="40"/>
      <c r="JI20" s="40"/>
      <c r="JJ20" s="40"/>
      <c r="JK20" s="40"/>
      <c r="JL20" s="40"/>
      <c r="JM20" s="40"/>
      <c r="JN20" s="40"/>
      <c r="JO20" s="40"/>
      <c r="JP20" s="40"/>
      <c r="JQ20" s="40"/>
      <c r="JR20" s="40"/>
      <c r="JS20" s="40"/>
      <c r="JT20" s="40"/>
      <c r="JU20" s="40"/>
      <c r="JV20" s="40"/>
      <c r="JW20" s="40"/>
      <c r="JX20" s="40"/>
      <c r="JY20" s="40"/>
      <c r="JZ20" s="40"/>
      <c r="KA20" s="40"/>
      <c r="KB20" s="40"/>
      <c r="KC20" s="40"/>
      <c r="KD20" s="40"/>
      <c r="KE20" s="40"/>
      <c r="KF20" s="40"/>
      <c r="KG20" s="40"/>
      <c r="KH20" s="40"/>
      <c r="KI20" s="40"/>
      <c r="KJ20" s="40"/>
      <c r="KK20" s="40"/>
      <c r="KL20" s="40"/>
      <c r="KM20" s="40"/>
      <c r="KN20" s="40"/>
      <c r="KO20" s="40"/>
      <c r="KP20" s="40"/>
      <c r="KQ20" s="40"/>
      <c r="KR20" s="40"/>
      <c r="KS20" s="40"/>
      <c r="KT20" s="40"/>
      <c r="KU20" s="40"/>
      <c r="KV20" s="40"/>
      <c r="KW20" s="40"/>
      <c r="KX20" s="40"/>
      <c r="KY20" s="40"/>
      <c r="KZ20" s="40"/>
      <c r="LA20" s="40"/>
      <c r="LB20" s="40"/>
      <c r="LC20" s="40"/>
      <c r="LD20" s="40"/>
      <c r="LE20" s="40"/>
      <c r="LF20" s="40"/>
      <c r="LG20" s="40"/>
      <c r="LH20" s="40"/>
      <c r="LI20" s="40"/>
      <c r="LJ20" s="40"/>
      <c r="LK20" s="40"/>
      <c r="LL20" s="40"/>
      <c r="LM20" s="40"/>
      <c r="LN20" s="40"/>
      <c r="LO20" s="40"/>
      <c r="LP20" s="40"/>
      <c r="LQ20" s="40"/>
      <c r="LR20" s="40"/>
      <c r="LS20" s="40"/>
      <c r="LT20" s="40"/>
      <c r="LU20" s="40"/>
      <c r="LV20" s="40"/>
      <c r="LW20" s="40"/>
      <c r="LX20" s="40"/>
      <c r="LY20" s="40"/>
      <c r="LZ20" s="40"/>
      <c r="MA20" s="40"/>
      <c r="MB20" s="40"/>
      <c r="MC20" s="40"/>
      <c r="MD20" s="40"/>
      <c r="ME20" s="40"/>
      <c r="MF20" s="40"/>
      <c r="MG20" s="40"/>
      <c r="MH20" s="40"/>
      <c r="MI20" s="40"/>
      <c r="MJ20" s="40"/>
      <c r="MK20" s="40"/>
      <c r="ML20" s="40"/>
      <c r="MM20" s="40"/>
      <c r="MN20" s="40"/>
      <c r="MO20" s="40"/>
      <c r="MP20" s="40"/>
      <c r="MQ20" s="40"/>
      <c r="MR20" s="40"/>
      <c r="MS20" s="40"/>
      <c r="MT20" s="40"/>
      <c r="MU20" s="40"/>
      <c r="MV20" s="40"/>
      <c r="MW20" s="40"/>
      <c r="MX20" s="40"/>
      <c r="MY20" s="40"/>
      <c r="MZ20" s="40"/>
      <c r="NA20" s="40"/>
      <c r="NB20" s="40"/>
      <c r="NC20" s="40"/>
      <c r="ND20" s="40"/>
      <c r="NE20" s="40"/>
      <c r="NF20" s="40"/>
      <c r="NG20" s="40"/>
      <c r="NH20" s="40"/>
      <c r="NI20" s="40"/>
      <c r="NJ20" s="40"/>
      <c r="NK20" s="40"/>
      <c r="NL20" s="40"/>
      <c r="NM20" s="40"/>
      <c r="NN20" s="40"/>
      <c r="NO20" s="40"/>
      <c r="NP20" s="40"/>
      <c r="NQ20" s="40"/>
      <c r="NR20" s="40"/>
      <c r="NS20" s="40"/>
      <c r="NT20" s="40"/>
      <c r="NU20" s="40"/>
      <c r="NV20" s="40"/>
      <c r="NW20" s="40"/>
      <c r="NX20" s="40"/>
      <c r="NY20" s="40"/>
      <c r="NZ20" s="40"/>
      <c r="OA20" s="40"/>
      <c r="OB20" s="40"/>
      <c r="OC20" s="40"/>
      <c r="OD20" s="40"/>
      <c r="OE20" s="40"/>
      <c r="OF20" s="40"/>
      <c r="OG20" s="40"/>
      <c r="OH20" s="40"/>
      <c r="OI20" s="40"/>
      <c r="OJ20" s="40"/>
      <c r="OK20" s="40"/>
      <c r="OL20" s="40"/>
      <c r="OM20" s="40"/>
      <c r="ON20" s="40"/>
      <c r="OO20" s="40"/>
      <c r="OP20" s="40"/>
      <c r="OQ20" s="40"/>
      <c r="OR20" s="40"/>
      <c r="OS20" s="40"/>
      <c r="OT20" s="40"/>
      <c r="OU20" s="40"/>
      <c r="OV20" s="40"/>
      <c r="OW20" s="40"/>
      <c r="OX20" s="40"/>
      <c r="OY20" s="40"/>
      <c r="OZ20" s="40"/>
      <c r="PA20" s="40"/>
      <c r="PB20" s="40"/>
      <c r="PC20" s="40"/>
      <c r="PD20" s="40"/>
      <c r="PE20" s="40"/>
      <c r="PF20" s="40"/>
      <c r="PG20" s="40"/>
      <c r="PH20" s="40"/>
      <c r="PI20" s="40"/>
      <c r="PJ20" s="40"/>
      <c r="PK20" s="40"/>
      <c r="PL20" s="40"/>
      <c r="PM20" s="40"/>
      <c r="PN20" s="40"/>
      <c r="PO20" s="40"/>
      <c r="PP20" s="40"/>
      <c r="PQ20" s="40"/>
      <c r="PR20" s="40"/>
      <c r="PS20" s="40"/>
      <c r="PT20" s="40"/>
      <c r="PU20" s="40"/>
      <c r="PV20" s="40"/>
      <c r="PW20" s="40"/>
      <c r="PX20" s="40"/>
      <c r="PY20" s="40"/>
      <c r="PZ20" s="40"/>
      <c r="QA20" s="40"/>
      <c r="QB20" s="40"/>
      <c r="QC20" s="40"/>
      <c r="QD20" s="40"/>
      <c r="QE20" s="40"/>
      <c r="QF20" s="40"/>
      <c r="QG20" s="40"/>
      <c r="QH20" s="40"/>
      <c r="QI20" s="40"/>
      <c r="QJ20" s="40"/>
      <c r="QK20" s="40"/>
      <c r="QL20" s="40"/>
      <c r="QM20" s="40"/>
      <c r="QN20" s="40"/>
      <c r="QO20" s="40"/>
      <c r="QP20" s="40"/>
      <c r="QQ20" s="40"/>
      <c r="QR20" s="40"/>
      <c r="QS20" s="40"/>
      <c r="QT20" s="40"/>
      <c r="QU20" s="40"/>
      <c r="QV20" s="40"/>
      <c r="QW20" s="40"/>
      <c r="QX20" s="40"/>
      <c r="QY20" s="40"/>
      <c r="QZ20" s="40"/>
      <c r="RA20" s="40"/>
      <c r="RB20" s="40"/>
      <c r="RC20" s="40"/>
      <c r="RD20" s="40"/>
      <c r="RE20" s="40"/>
      <c r="RF20" s="40"/>
      <c r="RG20" s="40"/>
      <c r="RH20" s="40"/>
      <c r="RI20" s="40"/>
      <c r="RJ20" s="40"/>
      <c r="RK20" s="40"/>
      <c r="RL20" s="40"/>
      <c r="RM20" s="40"/>
      <c r="RN20" s="40"/>
      <c r="RO20" s="40"/>
      <c r="RP20" s="40"/>
      <c r="RQ20" s="40"/>
      <c r="RR20" s="40"/>
      <c r="RS20" s="40"/>
      <c r="RT20" s="40"/>
      <c r="RU20" s="40"/>
      <c r="RV20" s="40"/>
      <c r="RW20" s="40"/>
      <c r="RX20" s="40"/>
      <c r="RY20" s="40"/>
      <c r="RZ20" s="40"/>
      <c r="SA20" s="40"/>
      <c r="SB20" s="40"/>
      <c r="SC20" s="40"/>
      <c r="SD20" s="40"/>
      <c r="SE20" s="40"/>
      <c r="SF20" s="40"/>
      <c r="SG20" s="40"/>
      <c r="SH20" s="40"/>
      <c r="SI20" s="40"/>
      <c r="SJ20" s="40"/>
      <c r="SK20" s="40"/>
      <c r="SL20" s="40"/>
      <c r="SM20" s="40"/>
      <c r="SN20" s="40"/>
      <c r="SO20" s="40"/>
      <c r="SP20" s="40"/>
      <c r="SQ20" s="40"/>
      <c r="SR20" s="40"/>
      <c r="SS20" s="40"/>
      <c r="ST20" s="40"/>
      <c r="SU20" s="40"/>
      <c r="SV20" s="40"/>
      <c r="SW20" s="40"/>
      <c r="SX20" s="40"/>
      <c r="SY20" s="40"/>
      <c r="SZ20" s="40"/>
      <c r="TA20" s="40"/>
      <c r="TB20" s="40"/>
      <c r="TC20" s="40"/>
      <c r="TD20" s="40"/>
      <c r="TE20" s="40"/>
      <c r="TF20" s="40"/>
      <c r="TG20" s="40"/>
      <c r="TH20" s="40"/>
      <c r="TI20" s="40"/>
      <c r="TJ20" s="40"/>
      <c r="TK20" s="40"/>
      <c r="TL20" s="40"/>
      <c r="TM20" s="40"/>
      <c r="TN20" s="40"/>
      <c r="TO20" s="40"/>
      <c r="TP20" s="40"/>
      <c r="TQ20" s="40"/>
      <c r="TR20" s="40"/>
      <c r="TS20" s="40"/>
      <c r="TT20" s="40"/>
      <c r="TU20" s="40"/>
      <c r="TV20" s="40"/>
      <c r="TW20" s="40"/>
      <c r="TX20" s="40"/>
      <c r="TY20" s="40"/>
      <c r="TZ20" s="40"/>
      <c r="UA20" s="40"/>
      <c r="UB20" s="40"/>
      <c r="UC20" s="40"/>
      <c r="UD20" s="40"/>
      <c r="UE20" s="40"/>
      <c r="UF20" s="40"/>
      <c r="UG20" s="40"/>
      <c r="UH20" s="40"/>
      <c r="UI20" s="40"/>
      <c r="UJ20" s="40"/>
      <c r="UK20" s="40"/>
      <c r="UL20" s="40"/>
      <c r="UM20" s="40"/>
      <c r="UN20" s="40"/>
      <c r="UO20" s="40"/>
      <c r="UP20" s="40"/>
      <c r="UQ20" s="40"/>
      <c r="UR20" s="40"/>
      <c r="US20" s="40"/>
      <c r="UT20" s="40"/>
      <c r="UU20" s="40"/>
      <c r="UV20" s="40"/>
      <c r="UW20" s="40"/>
      <c r="UX20" s="40"/>
      <c r="UY20" s="40"/>
      <c r="UZ20" s="40"/>
      <c r="VA20" s="40"/>
      <c r="VB20" s="40"/>
      <c r="VC20" s="40"/>
      <c r="VD20" s="40"/>
      <c r="VE20" s="40"/>
      <c r="VF20" s="40"/>
      <c r="VG20" s="40"/>
      <c r="VH20" s="40"/>
      <c r="VI20" s="40"/>
      <c r="VJ20" s="40"/>
      <c r="VK20" s="40"/>
      <c r="VL20" s="40"/>
      <c r="VM20" s="40"/>
      <c r="VN20" s="40"/>
      <c r="VO20" s="40"/>
      <c r="VP20" s="40"/>
      <c r="VQ20" s="40"/>
      <c r="VR20" s="40"/>
      <c r="VS20" s="40"/>
      <c r="VT20" s="40"/>
      <c r="VU20" s="40"/>
      <c r="VV20" s="40"/>
      <c r="VW20" s="40"/>
      <c r="VX20" s="40"/>
      <c r="VY20" s="40"/>
      <c r="VZ20" s="40"/>
      <c r="WA20" s="40"/>
      <c r="WB20" s="40"/>
      <c r="WC20" s="40"/>
      <c r="WD20" s="40"/>
      <c r="WE20" s="40"/>
      <c r="WF20" s="40"/>
      <c r="WG20" s="40"/>
      <c r="WH20" s="40"/>
      <c r="WI20" s="40"/>
      <c r="WJ20" s="40"/>
      <c r="WK20" s="40"/>
      <c r="WL20" s="40"/>
      <c r="WM20" s="40"/>
      <c r="WN20" s="40"/>
      <c r="WO20" s="40"/>
      <c r="WP20" s="40"/>
      <c r="WQ20" s="40"/>
      <c r="WR20" s="40"/>
      <c r="WS20" s="40"/>
      <c r="WT20" s="40"/>
      <c r="WU20" s="40"/>
      <c r="WV20" s="40"/>
      <c r="WW20" s="40"/>
      <c r="WX20" s="40"/>
      <c r="WY20" s="40"/>
      <c r="WZ20" s="40"/>
      <c r="XA20" s="40"/>
      <c r="XB20" s="40"/>
      <c r="XC20" s="40"/>
      <c r="XD20" s="40"/>
      <c r="XE20" s="40"/>
      <c r="XF20" s="40"/>
      <c r="XG20" s="40"/>
      <c r="XH20" s="40"/>
      <c r="XI20" s="40"/>
      <c r="XJ20" s="40"/>
      <c r="XK20" s="40"/>
      <c r="XL20" s="40"/>
      <c r="XM20" s="40"/>
      <c r="XN20" s="40"/>
      <c r="XO20" s="40"/>
      <c r="XP20" s="40"/>
      <c r="XQ20" s="40"/>
      <c r="XR20" s="40"/>
      <c r="XS20" s="40"/>
      <c r="XT20" s="40"/>
      <c r="XU20" s="40"/>
      <c r="XV20" s="40"/>
      <c r="XW20" s="40"/>
      <c r="XX20" s="40"/>
      <c r="XY20" s="40"/>
      <c r="XZ20" s="40"/>
      <c r="YA20" s="40"/>
      <c r="YB20" s="40"/>
      <c r="YC20" s="40"/>
      <c r="YD20" s="40"/>
      <c r="YE20" s="40"/>
      <c r="YF20" s="40"/>
      <c r="YG20" s="40"/>
      <c r="YH20" s="40"/>
      <c r="YI20" s="40"/>
      <c r="YJ20" s="40"/>
      <c r="YK20" s="40"/>
      <c r="YL20" s="40"/>
      <c r="YM20" s="40"/>
      <c r="YN20" s="40"/>
      <c r="YO20" s="40"/>
      <c r="YP20" s="40"/>
      <c r="YQ20" s="40"/>
      <c r="YR20" s="40"/>
      <c r="YS20" s="40"/>
      <c r="YT20" s="40"/>
      <c r="YU20" s="40"/>
      <c r="YV20" s="40"/>
      <c r="YW20" s="40"/>
      <c r="YX20" s="40"/>
      <c r="YY20" s="40"/>
      <c r="YZ20" s="40"/>
      <c r="ZA20" s="40"/>
      <c r="ZB20" s="40"/>
      <c r="ZC20" s="40"/>
      <c r="ZD20" s="40"/>
      <c r="ZE20" s="40"/>
      <c r="ZF20" s="40"/>
      <c r="ZG20" s="40"/>
      <c r="ZH20" s="40"/>
      <c r="ZI20" s="40"/>
      <c r="ZJ20" s="40"/>
      <c r="ZK20" s="40"/>
      <c r="ZL20" s="40"/>
      <c r="ZM20" s="40"/>
      <c r="ZN20" s="40"/>
      <c r="ZO20" s="40"/>
      <c r="ZP20" s="40"/>
      <c r="ZQ20" s="40"/>
      <c r="ZR20" s="40"/>
      <c r="ZS20" s="40"/>
      <c r="ZT20" s="40"/>
      <c r="ZU20" s="40"/>
      <c r="ZV20" s="40"/>
      <c r="ZW20" s="40"/>
      <c r="ZX20" s="40"/>
      <c r="ZY20" s="40"/>
      <c r="ZZ20" s="40"/>
      <c r="AAA20" s="40"/>
      <c r="AAB20" s="40"/>
      <c r="AAC20" s="40"/>
      <c r="AAD20" s="40"/>
      <c r="AAE20" s="40"/>
      <c r="AAF20" s="40"/>
      <c r="AAG20" s="40"/>
      <c r="AAH20" s="40"/>
      <c r="AAI20" s="40"/>
      <c r="AAJ20" s="40"/>
      <c r="AAK20" s="40"/>
      <c r="AAL20" s="40"/>
      <c r="AAM20" s="40"/>
      <c r="AAN20" s="40"/>
      <c r="AAO20" s="40"/>
      <c r="AAP20" s="40"/>
      <c r="AAQ20" s="40"/>
      <c r="AAR20" s="40"/>
      <c r="AAS20" s="40"/>
      <c r="AAT20" s="40"/>
      <c r="AAU20" s="40"/>
      <c r="AAV20" s="40"/>
      <c r="AAW20" s="40"/>
      <c r="AAX20" s="40"/>
      <c r="AAY20" s="40"/>
      <c r="AAZ20" s="40"/>
      <c r="ABA20" s="40"/>
      <c r="ABB20" s="40"/>
      <c r="ABC20" s="40"/>
      <c r="ABD20" s="40"/>
      <c r="ABE20" s="40"/>
      <c r="ABF20" s="40"/>
      <c r="ABG20" s="40"/>
      <c r="ABH20" s="40"/>
      <c r="ABI20" s="40"/>
      <c r="ABJ20" s="40"/>
      <c r="ABK20" s="40"/>
      <c r="ABL20" s="40"/>
      <c r="ABM20" s="40"/>
      <c r="ABN20" s="40"/>
      <c r="ABO20" s="40"/>
      <c r="ABP20" s="40"/>
      <c r="ABQ20" s="40"/>
      <c r="ABR20" s="40"/>
      <c r="ABS20" s="40"/>
      <c r="ABT20" s="40"/>
      <c r="ABU20" s="40"/>
      <c r="ABV20" s="40"/>
      <c r="ABW20" s="40"/>
      <c r="ABX20" s="40"/>
      <c r="ABY20" s="40"/>
      <c r="ABZ20" s="40"/>
      <c r="ACA20" s="40"/>
      <c r="ACB20" s="40"/>
      <c r="ACC20" s="40"/>
      <c r="ACD20" s="40"/>
      <c r="ACE20" s="40"/>
      <c r="ACF20" s="40"/>
      <c r="ACG20" s="40"/>
      <c r="ACH20" s="40"/>
      <c r="ACI20" s="40"/>
      <c r="ACJ20" s="40"/>
      <c r="ACK20" s="40"/>
      <c r="ACL20" s="40"/>
      <c r="ACM20" s="40"/>
      <c r="ACN20" s="40"/>
      <c r="ACO20" s="40"/>
      <c r="ACP20" s="40"/>
      <c r="ACQ20" s="40"/>
      <c r="ACR20" s="40"/>
      <c r="ACS20" s="40"/>
      <c r="ACT20" s="40"/>
      <c r="ACU20" s="40"/>
      <c r="ACV20" s="40"/>
      <c r="ACW20" s="40"/>
      <c r="ACX20" s="40"/>
      <c r="ACY20" s="40"/>
      <c r="ACZ20" s="40"/>
      <c r="ADA20" s="40"/>
      <c r="ADB20" s="40"/>
      <c r="ADC20" s="40"/>
      <c r="ADD20" s="40"/>
      <c r="ADE20" s="40"/>
      <c r="ADF20" s="40"/>
      <c r="ADG20" s="40"/>
      <c r="ADH20" s="40"/>
      <c r="ADI20" s="40"/>
      <c r="ADJ20" s="40"/>
      <c r="ADK20" s="40"/>
      <c r="ADL20" s="40"/>
      <c r="ADM20" s="40"/>
      <c r="ADN20" s="40"/>
      <c r="ADO20" s="40"/>
      <c r="ADP20" s="40"/>
      <c r="ADQ20" s="40"/>
      <c r="ADR20" s="40"/>
      <c r="ADS20" s="40"/>
      <c r="ADT20" s="40"/>
      <c r="ADU20" s="40"/>
      <c r="ADV20" s="40"/>
      <c r="ADW20" s="40"/>
      <c r="ADX20" s="40"/>
      <c r="ADY20" s="40"/>
      <c r="ADZ20" s="40"/>
      <c r="AEA20" s="40"/>
      <c r="AEB20" s="40"/>
      <c r="AEC20" s="40"/>
      <c r="AED20" s="40"/>
      <c r="AEE20" s="40"/>
      <c r="AEF20" s="40"/>
      <c r="AEG20" s="40"/>
      <c r="AEH20" s="40"/>
      <c r="AEI20" s="40"/>
      <c r="AEJ20" s="40"/>
      <c r="AEK20" s="40"/>
      <c r="AEL20" s="40"/>
      <c r="AEM20" s="40"/>
      <c r="AEN20" s="40"/>
      <c r="AEO20" s="40"/>
      <c r="AEP20" s="40"/>
      <c r="AEQ20" s="40"/>
      <c r="AER20" s="40"/>
      <c r="AES20" s="40"/>
      <c r="AET20" s="40"/>
      <c r="AEU20" s="40"/>
      <c r="AEV20" s="40"/>
      <c r="AEW20" s="40"/>
      <c r="AEX20" s="40"/>
      <c r="AEY20" s="40"/>
      <c r="AEZ20" s="40"/>
      <c r="AFA20" s="40"/>
      <c r="AFB20" s="40"/>
      <c r="AFC20" s="40"/>
      <c r="AFD20" s="40"/>
      <c r="AFE20" s="40"/>
      <c r="AFF20" s="40"/>
      <c r="AFG20" s="40"/>
      <c r="AFH20" s="40"/>
      <c r="AFI20" s="40"/>
      <c r="AFJ20" s="40"/>
      <c r="AFK20" s="40"/>
      <c r="AFL20" s="40"/>
      <c r="AFM20" s="40"/>
      <c r="AFN20" s="40"/>
      <c r="AFO20" s="40"/>
      <c r="AFP20" s="40"/>
      <c r="AFQ20" s="40"/>
      <c r="AFR20" s="40"/>
      <c r="AFS20" s="40"/>
      <c r="AFT20" s="40"/>
      <c r="AFU20" s="40"/>
      <c r="AFV20" s="40"/>
      <c r="AFW20" s="40"/>
      <c r="AFX20" s="40"/>
      <c r="AFY20" s="40"/>
      <c r="AFZ20" s="40"/>
      <c r="AGA20" s="40"/>
      <c r="AGB20" s="40"/>
      <c r="AGC20" s="40"/>
      <c r="AGD20" s="40"/>
      <c r="AGE20" s="40"/>
      <c r="AGF20" s="40"/>
      <c r="AGG20" s="40"/>
      <c r="AGH20" s="40"/>
      <c r="AGI20" s="40"/>
      <c r="AGJ20" s="40"/>
      <c r="AGK20" s="40"/>
      <c r="AGL20" s="40"/>
      <c r="AGM20" s="40"/>
      <c r="AGN20" s="40"/>
      <c r="AGO20" s="40"/>
      <c r="AGP20" s="40"/>
      <c r="AGQ20" s="40"/>
      <c r="AGR20" s="40"/>
      <c r="AGS20" s="40"/>
    </row>
    <row r="21" spans="1:877" ht="13">
      <c r="A21" s="41"/>
      <c r="B21" s="44">
        <f>'H2 Production Costs'!$D$9</f>
        <v>2.6198684210526317</v>
      </c>
      <c r="C21" s="43" t="s">
        <v>8</v>
      </c>
      <c r="D21" s="40"/>
      <c r="E21" s="40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8"/>
      <c r="S21" s="28">
        <f>'Project Overview'!$C$13/12</f>
        <v>68107.666666666672</v>
      </c>
      <c r="T21" s="28">
        <f>'Project Overview'!$C$13/12</f>
        <v>68107.666666666672</v>
      </c>
      <c r="U21" s="28">
        <f>'Project Overview'!$C$13/12</f>
        <v>68107.666666666672</v>
      </c>
      <c r="V21" s="28">
        <f>'Project Overview'!$C$13/12</f>
        <v>68107.666666666672</v>
      </c>
      <c r="W21" s="28">
        <f>'Project Overview'!$C$13/12</f>
        <v>68107.666666666672</v>
      </c>
      <c r="X21" s="28">
        <f>'Project Overview'!$C$13/12</f>
        <v>68107.666666666672</v>
      </c>
      <c r="Y21" s="28">
        <f>'Project Overview'!$C$13/12</f>
        <v>68107.666666666672</v>
      </c>
      <c r="Z21" s="28">
        <f>'Project Overview'!$C$13/12</f>
        <v>68107.666666666672</v>
      </c>
      <c r="AA21" s="28">
        <f>'Project Overview'!$C$13/12</f>
        <v>68107.666666666672</v>
      </c>
      <c r="AB21" s="28">
        <f>'Project Overview'!$C$13/12</f>
        <v>68107.666666666672</v>
      </c>
      <c r="AC21" s="28">
        <f>'Project Overview'!$C$13/12</f>
        <v>68107.666666666672</v>
      </c>
      <c r="AD21" s="28">
        <f>'Project Overview'!$C$13/12</f>
        <v>68107.666666666672</v>
      </c>
      <c r="AE21" s="28">
        <f>'Project Overview'!$D$13/12</f>
        <v>90171.116666666654</v>
      </c>
      <c r="AF21" s="28">
        <f>'Project Overview'!$D$13/12</f>
        <v>90171.116666666654</v>
      </c>
      <c r="AG21" s="28">
        <f>'Project Overview'!$D$13/12</f>
        <v>90171.116666666654</v>
      </c>
      <c r="AH21" s="28">
        <f>'Project Overview'!$D$13/12</f>
        <v>90171.116666666654</v>
      </c>
      <c r="AI21" s="28">
        <f>'Project Overview'!$D$13/12</f>
        <v>90171.116666666654</v>
      </c>
      <c r="AJ21" s="28">
        <f>'Project Overview'!$D$13/12</f>
        <v>90171.116666666654</v>
      </c>
      <c r="AK21" s="28">
        <f>'Project Overview'!$D$13/12</f>
        <v>90171.116666666654</v>
      </c>
      <c r="AL21" s="28">
        <f>'Project Overview'!$D$13/12</f>
        <v>90171.116666666654</v>
      </c>
      <c r="AM21" s="28">
        <f>'Project Overview'!$D$13/12</f>
        <v>90171.116666666654</v>
      </c>
      <c r="AN21" s="28">
        <f>'Project Overview'!$D$13/12</f>
        <v>90171.116666666654</v>
      </c>
      <c r="AO21" s="28">
        <f>'Project Overview'!$D$13/12</f>
        <v>90171.116666666654</v>
      </c>
      <c r="AP21" s="28">
        <f>'Project Overview'!$D$13/12</f>
        <v>90171.116666666654</v>
      </c>
      <c r="AQ21" s="28">
        <f>'Project Overview'!$E$13/12</f>
        <v>103696.78416666666</v>
      </c>
      <c r="AR21" s="28">
        <f>'Project Overview'!$E$13/12</f>
        <v>103696.78416666666</v>
      </c>
      <c r="AS21" s="28">
        <f>'Project Overview'!$E$13/12</f>
        <v>103696.78416666666</v>
      </c>
      <c r="AT21" s="28">
        <f>'Project Overview'!$E$13/12</f>
        <v>103696.78416666666</v>
      </c>
      <c r="AU21" s="28">
        <f>'Project Overview'!$E$13/12</f>
        <v>103696.78416666666</v>
      </c>
      <c r="AV21" s="28">
        <f>'Project Overview'!$E$13/12</f>
        <v>103696.78416666666</v>
      </c>
      <c r="AW21" s="28">
        <f>'Project Overview'!$E$13/12</f>
        <v>103696.78416666666</v>
      </c>
      <c r="AX21" s="28">
        <f>'Project Overview'!$E$13/12</f>
        <v>103696.78416666666</v>
      </c>
      <c r="AY21" s="28">
        <f>'Project Overview'!$E$13/12</f>
        <v>103696.78416666666</v>
      </c>
      <c r="AZ21" s="28">
        <f>'Project Overview'!$E$13/12</f>
        <v>103696.78416666666</v>
      </c>
      <c r="BA21" s="28">
        <f>'Project Overview'!$E$13/12</f>
        <v>103696.78416666666</v>
      </c>
      <c r="BB21" s="28">
        <f>'Project Overview'!$E$13/12</f>
        <v>103696.78416666666</v>
      </c>
      <c r="BC21" s="28">
        <f>'Project Overview'!$F$13/12</f>
        <v>119251.30179166666</v>
      </c>
      <c r="BD21" s="28">
        <f>'Project Overview'!$F$13/12</f>
        <v>119251.30179166666</v>
      </c>
      <c r="BE21" s="28">
        <f>'Project Overview'!$F$13/12</f>
        <v>119251.30179166666</v>
      </c>
      <c r="BF21" s="28">
        <f>'Project Overview'!$F$13/12</f>
        <v>119251.30179166666</v>
      </c>
      <c r="BG21" s="28">
        <f>'Project Overview'!$F$13/12</f>
        <v>119251.30179166666</v>
      </c>
      <c r="BH21" s="28">
        <f>'Project Overview'!$F$13/12</f>
        <v>119251.30179166666</v>
      </c>
      <c r="BI21" s="28">
        <f>'Project Overview'!$F$13/12</f>
        <v>119251.30179166666</v>
      </c>
      <c r="BJ21" s="28">
        <f>'Project Overview'!$F$13/12</f>
        <v>119251.30179166666</v>
      </c>
      <c r="BK21" s="28">
        <f>'Project Overview'!$F$13/12</f>
        <v>119251.30179166666</v>
      </c>
      <c r="BL21" s="28">
        <f>'Project Overview'!$F$13/12</f>
        <v>119251.30179166666</v>
      </c>
      <c r="BM21" s="28">
        <f>'Project Overview'!$F$13/12</f>
        <v>119251.30179166666</v>
      </c>
      <c r="BN21" s="28">
        <f>'Project Overview'!$F$13/12</f>
        <v>119251.30179166666</v>
      </c>
      <c r="BO21" s="28">
        <f>'Project Overview'!$G$13/12</f>
        <v>119251.30179166666</v>
      </c>
      <c r="BP21" s="28">
        <f>'Project Overview'!$G$13/12</f>
        <v>119251.30179166666</v>
      </c>
      <c r="BQ21" s="28">
        <f>'Project Overview'!$G$13/12</f>
        <v>119251.30179166666</v>
      </c>
      <c r="BR21" s="28">
        <f>'Project Overview'!$G$13/12</f>
        <v>119251.30179166666</v>
      </c>
      <c r="BS21" s="28">
        <f>'Project Overview'!$G$13/12</f>
        <v>119251.30179166666</v>
      </c>
      <c r="BT21" s="28">
        <f>'Project Overview'!$G$13/12</f>
        <v>119251.30179166666</v>
      </c>
      <c r="BU21" s="28">
        <f>'Project Overview'!$G$13/12</f>
        <v>119251.30179166666</v>
      </c>
      <c r="BV21" s="28">
        <f>'Project Overview'!$G$13/12</f>
        <v>119251.30179166666</v>
      </c>
      <c r="BW21" s="28">
        <f>'Project Overview'!$G$13/12</f>
        <v>119251.30179166666</v>
      </c>
      <c r="BX21" s="28">
        <f>'Project Overview'!$G$13/12</f>
        <v>119251.30179166666</v>
      </c>
      <c r="BY21" s="28">
        <f>'Project Overview'!$G$13/12</f>
        <v>119251.30179166666</v>
      </c>
      <c r="BZ21" s="28">
        <f>'Project Overview'!$G$13/12</f>
        <v>119251.30179166666</v>
      </c>
      <c r="CA21" s="28">
        <f>'Project Overview'!$G$13/12</f>
        <v>119251.30179166666</v>
      </c>
      <c r="CB21" s="28">
        <f>'Project Overview'!$G$13/12</f>
        <v>119251.30179166666</v>
      </c>
      <c r="CC21" s="28">
        <f>'Project Overview'!$G$13/12</f>
        <v>119251.30179166666</v>
      </c>
      <c r="CD21" s="28">
        <f>'Project Overview'!$G$13/12</f>
        <v>119251.30179166666</v>
      </c>
      <c r="CE21" s="28">
        <f>'Project Overview'!$G$13/12</f>
        <v>119251.30179166666</v>
      </c>
      <c r="CF21" s="28">
        <f>'Project Overview'!$G$13/12</f>
        <v>119251.30179166666</v>
      </c>
      <c r="CG21" s="28">
        <f>'Project Overview'!$G$13/12</f>
        <v>119251.30179166666</v>
      </c>
      <c r="CH21" s="28">
        <f>'Project Overview'!$G$13/12</f>
        <v>119251.30179166666</v>
      </c>
      <c r="CI21" s="28">
        <f>'Project Overview'!$G$13/12</f>
        <v>119251.30179166666</v>
      </c>
      <c r="CJ21" s="28">
        <f>'Project Overview'!$G$13/12</f>
        <v>119251.30179166666</v>
      </c>
      <c r="CK21" s="28">
        <f>'Project Overview'!$G$13/12</f>
        <v>119251.30179166666</v>
      </c>
      <c r="CL21" s="28">
        <f>'Project Overview'!$G$13/12</f>
        <v>119251.30179166666</v>
      </c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40"/>
      <c r="HC21" s="40"/>
      <c r="HD21" s="40"/>
      <c r="HE21" s="40"/>
      <c r="HF21" s="40"/>
      <c r="HG21" s="40"/>
      <c r="HH21" s="40"/>
      <c r="HI21" s="40"/>
      <c r="HJ21" s="40"/>
      <c r="HK21" s="40"/>
      <c r="HL21" s="40"/>
      <c r="HM21" s="40"/>
      <c r="HN21" s="40"/>
      <c r="HO21" s="40"/>
      <c r="HP21" s="40"/>
      <c r="HQ21" s="40"/>
      <c r="HR21" s="40"/>
      <c r="HS21" s="40"/>
      <c r="HT21" s="40"/>
      <c r="HU21" s="40"/>
      <c r="HV21" s="40"/>
      <c r="HW21" s="40"/>
      <c r="HX21" s="40"/>
      <c r="HY21" s="40"/>
      <c r="HZ21" s="40"/>
      <c r="IA21" s="40"/>
      <c r="IB21" s="40"/>
      <c r="IC21" s="40"/>
      <c r="ID21" s="40"/>
      <c r="IE21" s="40"/>
      <c r="IF21" s="40"/>
      <c r="IG21" s="40"/>
      <c r="IH21" s="40"/>
      <c r="II21" s="40"/>
      <c r="IJ21" s="40"/>
      <c r="IK21" s="40"/>
      <c r="IL21" s="40"/>
      <c r="IM21" s="40"/>
      <c r="IN21" s="40"/>
      <c r="IO21" s="40"/>
      <c r="IP21" s="40"/>
      <c r="IQ21" s="40"/>
      <c r="IR21" s="40"/>
      <c r="IS21" s="40"/>
      <c r="IT21" s="40"/>
      <c r="IU21" s="40"/>
      <c r="IV21" s="40"/>
      <c r="IW21" s="40"/>
      <c r="IX21" s="40"/>
      <c r="IY21" s="40"/>
      <c r="IZ21" s="40"/>
      <c r="JA21" s="40"/>
      <c r="JB21" s="40"/>
      <c r="JC21" s="40"/>
      <c r="JD21" s="40"/>
      <c r="JE21" s="40"/>
      <c r="JF21" s="40"/>
      <c r="JG21" s="40"/>
      <c r="JH21" s="40"/>
      <c r="JI21" s="40"/>
      <c r="JJ21" s="40"/>
      <c r="JK21" s="40"/>
      <c r="JL21" s="40"/>
      <c r="JM21" s="40"/>
      <c r="JN21" s="40"/>
      <c r="JO21" s="40"/>
      <c r="JP21" s="40"/>
      <c r="JQ21" s="40"/>
      <c r="JR21" s="40"/>
      <c r="JS21" s="40"/>
      <c r="JT21" s="40"/>
      <c r="JU21" s="40"/>
      <c r="JV21" s="40"/>
      <c r="JW21" s="40"/>
      <c r="JX21" s="40"/>
      <c r="JY21" s="40"/>
      <c r="JZ21" s="40"/>
      <c r="KA21" s="40"/>
      <c r="KB21" s="40"/>
      <c r="KC21" s="40"/>
      <c r="KD21" s="40"/>
      <c r="KE21" s="40"/>
      <c r="KF21" s="40"/>
      <c r="KG21" s="40"/>
      <c r="KH21" s="40"/>
      <c r="KI21" s="40"/>
      <c r="KJ21" s="40"/>
      <c r="KK21" s="40"/>
      <c r="KL21" s="40"/>
      <c r="KM21" s="40"/>
      <c r="KN21" s="40"/>
      <c r="KO21" s="40"/>
      <c r="KP21" s="40"/>
      <c r="KQ21" s="40"/>
      <c r="KR21" s="40"/>
      <c r="KS21" s="40"/>
      <c r="KT21" s="40"/>
      <c r="KU21" s="40"/>
      <c r="KV21" s="40"/>
      <c r="KW21" s="40"/>
      <c r="KX21" s="40"/>
      <c r="KY21" s="40"/>
      <c r="KZ21" s="40"/>
      <c r="LA21" s="40"/>
      <c r="LB21" s="40"/>
      <c r="LC21" s="40"/>
      <c r="LD21" s="40"/>
      <c r="LE21" s="40"/>
      <c r="LF21" s="40"/>
      <c r="LG21" s="40"/>
      <c r="LH21" s="40"/>
      <c r="LI21" s="40"/>
      <c r="LJ21" s="40"/>
      <c r="LK21" s="40"/>
      <c r="LL21" s="40"/>
      <c r="LM21" s="40"/>
      <c r="LN21" s="40"/>
      <c r="LO21" s="40"/>
      <c r="LP21" s="40"/>
      <c r="LQ21" s="40"/>
      <c r="LR21" s="40"/>
      <c r="LS21" s="40"/>
      <c r="LT21" s="40"/>
      <c r="LU21" s="40"/>
      <c r="LV21" s="40"/>
      <c r="LW21" s="40"/>
      <c r="LX21" s="40"/>
      <c r="LY21" s="40"/>
      <c r="LZ21" s="40"/>
      <c r="MA21" s="40"/>
      <c r="MB21" s="40"/>
      <c r="MC21" s="40"/>
      <c r="MD21" s="40"/>
      <c r="ME21" s="40"/>
      <c r="MF21" s="40"/>
      <c r="MG21" s="40"/>
      <c r="MH21" s="40"/>
      <c r="MI21" s="40"/>
      <c r="MJ21" s="40"/>
      <c r="MK21" s="40"/>
      <c r="ML21" s="40"/>
      <c r="MM21" s="40"/>
      <c r="MN21" s="40"/>
      <c r="MO21" s="40"/>
      <c r="MP21" s="40"/>
      <c r="MQ21" s="40"/>
      <c r="MR21" s="40"/>
      <c r="MS21" s="40"/>
      <c r="MT21" s="40"/>
      <c r="MU21" s="40"/>
      <c r="MV21" s="40"/>
      <c r="MW21" s="40"/>
      <c r="MX21" s="40"/>
      <c r="MY21" s="40"/>
      <c r="MZ21" s="40"/>
      <c r="NA21" s="40"/>
      <c r="NB21" s="40"/>
      <c r="NC21" s="40"/>
      <c r="ND21" s="40"/>
      <c r="NE21" s="40"/>
      <c r="NF21" s="40"/>
      <c r="NG21" s="40"/>
      <c r="NH21" s="40"/>
      <c r="NI21" s="40"/>
      <c r="NJ21" s="40"/>
      <c r="NK21" s="40"/>
      <c r="NL21" s="40"/>
      <c r="NM21" s="40"/>
      <c r="NN21" s="40"/>
      <c r="NO21" s="40"/>
      <c r="NP21" s="40"/>
      <c r="NQ21" s="40"/>
      <c r="NR21" s="40"/>
      <c r="NS21" s="40"/>
      <c r="NT21" s="40"/>
      <c r="NU21" s="40"/>
      <c r="NV21" s="40"/>
      <c r="NW21" s="40"/>
      <c r="NX21" s="40"/>
      <c r="NY21" s="40"/>
      <c r="NZ21" s="40"/>
      <c r="OA21" s="40"/>
      <c r="OB21" s="40"/>
      <c r="OC21" s="40"/>
      <c r="OD21" s="40"/>
      <c r="OE21" s="40"/>
      <c r="OF21" s="40"/>
      <c r="OG21" s="40"/>
      <c r="OH21" s="40"/>
      <c r="OI21" s="40"/>
      <c r="OJ21" s="40"/>
      <c r="OK21" s="40"/>
      <c r="OL21" s="40"/>
      <c r="OM21" s="40"/>
      <c r="ON21" s="40"/>
      <c r="OO21" s="40"/>
      <c r="OP21" s="40"/>
      <c r="OQ21" s="40"/>
      <c r="OR21" s="40"/>
      <c r="OS21" s="40"/>
      <c r="OT21" s="40"/>
      <c r="OU21" s="40"/>
      <c r="OV21" s="40"/>
      <c r="OW21" s="40"/>
      <c r="OX21" s="40"/>
      <c r="OY21" s="40"/>
      <c r="OZ21" s="40"/>
      <c r="PA21" s="40"/>
      <c r="PB21" s="40"/>
      <c r="PC21" s="40"/>
      <c r="PD21" s="40"/>
      <c r="PE21" s="40"/>
      <c r="PF21" s="40"/>
      <c r="PG21" s="40"/>
      <c r="PH21" s="40"/>
      <c r="PI21" s="40"/>
      <c r="PJ21" s="40"/>
      <c r="PK21" s="40"/>
      <c r="PL21" s="40"/>
      <c r="PM21" s="40"/>
      <c r="PN21" s="40"/>
      <c r="PO21" s="40"/>
      <c r="PP21" s="40"/>
      <c r="PQ21" s="40"/>
      <c r="PR21" s="40"/>
      <c r="PS21" s="40"/>
      <c r="PT21" s="40"/>
      <c r="PU21" s="40"/>
      <c r="PV21" s="40"/>
      <c r="PW21" s="40"/>
      <c r="PX21" s="40"/>
      <c r="PY21" s="40"/>
      <c r="PZ21" s="40"/>
      <c r="QA21" s="40"/>
      <c r="QB21" s="40"/>
      <c r="QC21" s="40"/>
      <c r="QD21" s="40"/>
      <c r="QE21" s="40"/>
      <c r="QF21" s="40"/>
      <c r="QG21" s="40"/>
      <c r="QH21" s="40"/>
      <c r="QI21" s="40"/>
      <c r="QJ21" s="40"/>
      <c r="QK21" s="40"/>
      <c r="QL21" s="40"/>
      <c r="QM21" s="40"/>
      <c r="QN21" s="40"/>
      <c r="QO21" s="40"/>
      <c r="QP21" s="40"/>
      <c r="QQ21" s="40"/>
      <c r="QR21" s="40"/>
      <c r="QS21" s="40"/>
      <c r="QT21" s="40"/>
      <c r="QU21" s="40"/>
      <c r="QV21" s="40"/>
      <c r="QW21" s="40"/>
      <c r="QX21" s="40"/>
      <c r="QY21" s="40"/>
      <c r="QZ21" s="40"/>
      <c r="RA21" s="40"/>
      <c r="RB21" s="40"/>
      <c r="RC21" s="40"/>
      <c r="RD21" s="40"/>
      <c r="RE21" s="40"/>
      <c r="RF21" s="40"/>
      <c r="RG21" s="40"/>
      <c r="RH21" s="40"/>
      <c r="RI21" s="40"/>
      <c r="RJ21" s="40"/>
      <c r="RK21" s="40"/>
      <c r="RL21" s="40"/>
      <c r="RM21" s="40"/>
      <c r="RN21" s="40"/>
      <c r="RO21" s="40"/>
      <c r="RP21" s="40"/>
      <c r="RQ21" s="40"/>
      <c r="RR21" s="40"/>
      <c r="RS21" s="40"/>
      <c r="RT21" s="40"/>
      <c r="RU21" s="40"/>
      <c r="RV21" s="40"/>
      <c r="RW21" s="40"/>
      <c r="RX21" s="40"/>
      <c r="RY21" s="40"/>
      <c r="RZ21" s="40"/>
      <c r="SA21" s="40"/>
      <c r="SB21" s="40"/>
      <c r="SC21" s="40"/>
      <c r="SD21" s="40"/>
      <c r="SE21" s="40"/>
      <c r="SF21" s="40"/>
      <c r="SG21" s="40"/>
      <c r="SH21" s="40"/>
      <c r="SI21" s="40"/>
      <c r="SJ21" s="40"/>
      <c r="SK21" s="40"/>
      <c r="SL21" s="40"/>
      <c r="SM21" s="40"/>
      <c r="SN21" s="40"/>
      <c r="SO21" s="40"/>
      <c r="SP21" s="40"/>
      <c r="SQ21" s="40"/>
      <c r="SR21" s="40"/>
      <c r="SS21" s="40"/>
      <c r="ST21" s="40"/>
      <c r="SU21" s="40"/>
      <c r="SV21" s="40"/>
      <c r="SW21" s="40"/>
      <c r="SX21" s="40"/>
      <c r="SY21" s="40"/>
      <c r="SZ21" s="40"/>
      <c r="TA21" s="40"/>
      <c r="TB21" s="40"/>
      <c r="TC21" s="40"/>
      <c r="TD21" s="40"/>
      <c r="TE21" s="40"/>
      <c r="TF21" s="40"/>
      <c r="TG21" s="40"/>
      <c r="TH21" s="40"/>
      <c r="TI21" s="40"/>
      <c r="TJ21" s="40"/>
      <c r="TK21" s="40"/>
      <c r="TL21" s="40"/>
      <c r="TM21" s="40"/>
      <c r="TN21" s="40"/>
      <c r="TO21" s="40"/>
      <c r="TP21" s="40"/>
      <c r="TQ21" s="40"/>
      <c r="TR21" s="40"/>
      <c r="TS21" s="40"/>
      <c r="TT21" s="40"/>
      <c r="TU21" s="40"/>
      <c r="TV21" s="40"/>
      <c r="TW21" s="40"/>
      <c r="TX21" s="40"/>
      <c r="TY21" s="40"/>
      <c r="TZ21" s="40"/>
      <c r="UA21" s="40"/>
      <c r="UB21" s="40"/>
      <c r="UC21" s="40"/>
      <c r="UD21" s="40"/>
      <c r="UE21" s="40"/>
      <c r="UF21" s="40"/>
      <c r="UG21" s="40"/>
      <c r="UH21" s="40"/>
      <c r="UI21" s="40"/>
      <c r="UJ21" s="40"/>
      <c r="UK21" s="40"/>
      <c r="UL21" s="40"/>
      <c r="UM21" s="40"/>
      <c r="UN21" s="40"/>
      <c r="UO21" s="40"/>
      <c r="UP21" s="40"/>
      <c r="UQ21" s="40"/>
      <c r="UR21" s="40"/>
      <c r="US21" s="40"/>
      <c r="UT21" s="40"/>
      <c r="UU21" s="40"/>
      <c r="UV21" s="40"/>
      <c r="UW21" s="40"/>
      <c r="UX21" s="40"/>
      <c r="UY21" s="40"/>
      <c r="UZ21" s="40"/>
      <c r="VA21" s="40"/>
      <c r="VB21" s="40"/>
      <c r="VC21" s="40"/>
      <c r="VD21" s="40"/>
      <c r="VE21" s="40"/>
      <c r="VF21" s="40"/>
      <c r="VG21" s="40"/>
      <c r="VH21" s="40"/>
      <c r="VI21" s="40"/>
      <c r="VJ21" s="40"/>
      <c r="VK21" s="40"/>
      <c r="VL21" s="40"/>
      <c r="VM21" s="40"/>
      <c r="VN21" s="40"/>
      <c r="VO21" s="40"/>
      <c r="VP21" s="40"/>
      <c r="VQ21" s="40"/>
      <c r="VR21" s="40"/>
      <c r="VS21" s="40"/>
      <c r="VT21" s="40"/>
      <c r="VU21" s="40"/>
      <c r="VV21" s="40"/>
      <c r="VW21" s="40"/>
      <c r="VX21" s="40"/>
      <c r="VY21" s="40"/>
      <c r="VZ21" s="40"/>
      <c r="WA21" s="40"/>
      <c r="WB21" s="40"/>
      <c r="WC21" s="40"/>
      <c r="WD21" s="40"/>
      <c r="WE21" s="40"/>
      <c r="WF21" s="40"/>
      <c r="WG21" s="40"/>
      <c r="WH21" s="40"/>
      <c r="WI21" s="40"/>
      <c r="WJ21" s="40"/>
      <c r="WK21" s="40"/>
      <c r="WL21" s="40"/>
      <c r="WM21" s="40"/>
      <c r="WN21" s="40"/>
      <c r="WO21" s="40"/>
      <c r="WP21" s="40"/>
      <c r="WQ21" s="40"/>
      <c r="WR21" s="40"/>
      <c r="WS21" s="40"/>
      <c r="WT21" s="40"/>
      <c r="WU21" s="40"/>
      <c r="WV21" s="40"/>
      <c r="WW21" s="40"/>
      <c r="WX21" s="40"/>
      <c r="WY21" s="40"/>
      <c r="WZ21" s="40"/>
      <c r="XA21" s="40"/>
      <c r="XB21" s="40"/>
      <c r="XC21" s="40"/>
      <c r="XD21" s="40"/>
      <c r="XE21" s="40"/>
      <c r="XF21" s="40"/>
      <c r="XG21" s="40"/>
      <c r="XH21" s="40"/>
      <c r="XI21" s="40"/>
      <c r="XJ21" s="40"/>
      <c r="XK21" s="40"/>
      <c r="XL21" s="40"/>
      <c r="XM21" s="40"/>
      <c r="XN21" s="40"/>
      <c r="XO21" s="40"/>
      <c r="XP21" s="40"/>
      <c r="XQ21" s="40"/>
      <c r="XR21" s="40"/>
      <c r="XS21" s="40"/>
      <c r="XT21" s="40"/>
      <c r="XU21" s="40"/>
      <c r="XV21" s="40"/>
      <c r="XW21" s="40"/>
      <c r="XX21" s="40"/>
      <c r="XY21" s="40"/>
      <c r="XZ21" s="40"/>
      <c r="YA21" s="40"/>
      <c r="YB21" s="40"/>
      <c r="YC21" s="40"/>
      <c r="YD21" s="40"/>
      <c r="YE21" s="40"/>
      <c r="YF21" s="40"/>
      <c r="YG21" s="40"/>
      <c r="YH21" s="40"/>
      <c r="YI21" s="40"/>
      <c r="YJ21" s="40"/>
      <c r="YK21" s="40"/>
      <c r="YL21" s="40"/>
      <c r="YM21" s="40"/>
      <c r="YN21" s="40"/>
      <c r="YO21" s="40"/>
      <c r="YP21" s="40"/>
      <c r="YQ21" s="40"/>
      <c r="YR21" s="40"/>
      <c r="YS21" s="40"/>
      <c r="YT21" s="40"/>
      <c r="YU21" s="40"/>
      <c r="YV21" s="40"/>
      <c r="YW21" s="40"/>
      <c r="YX21" s="40"/>
      <c r="YY21" s="40"/>
      <c r="YZ21" s="40"/>
      <c r="ZA21" s="40"/>
      <c r="ZB21" s="40"/>
      <c r="ZC21" s="40"/>
      <c r="ZD21" s="40"/>
      <c r="ZE21" s="40"/>
      <c r="ZF21" s="40"/>
      <c r="ZG21" s="40"/>
      <c r="ZH21" s="40"/>
      <c r="ZI21" s="40"/>
      <c r="ZJ21" s="40"/>
      <c r="ZK21" s="40"/>
      <c r="ZL21" s="40"/>
      <c r="ZM21" s="40"/>
      <c r="ZN21" s="40"/>
      <c r="ZO21" s="40"/>
      <c r="ZP21" s="40"/>
      <c r="ZQ21" s="40"/>
      <c r="ZR21" s="40"/>
      <c r="ZS21" s="40"/>
      <c r="ZT21" s="40"/>
      <c r="ZU21" s="40"/>
      <c r="ZV21" s="40"/>
      <c r="ZW21" s="40"/>
      <c r="ZX21" s="40"/>
      <c r="ZY21" s="40"/>
      <c r="ZZ21" s="40"/>
      <c r="AAA21" s="40"/>
      <c r="AAB21" s="40"/>
      <c r="AAC21" s="40"/>
      <c r="AAD21" s="40"/>
      <c r="AAE21" s="40"/>
      <c r="AAF21" s="40"/>
      <c r="AAG21" s="40"/>
      <c r="AAH21" s="40"/>
      <c r="AAI21" s="40"/>
      <c r="AAJ21" s="40"/>
      <c r="AAK21" s="40"/>
      <c r="AAL21" s="40"/>
      <c r="AAM21" s="40"/>
      <c r="AAN21" s="40"/>
      <c r="AAO21" s="40"/>
      <c r="AAP21" s="40"/>
      <c r="AAQ21" s="40"/>
      <c r="AAR21" s="40"/>
      <c r="AAS21" s="40"/>
      <c r="AAT21" s="40"/>
      <c r="AAU21" s="40"/>
      <c r="AAV21" s="40"/>
      <c r="AAW21" s="40"/>
      <c r="AAX21" s="40"/>
      <c r="AAY21" s="40"/>
      <c r="AAZ21" s="40"/>
      <c r="ABA21" s="40"/>
      <c r="ABB21" s="40"/>
      <c r="ABC21" s="40"/>
      <c r="ABD21" s="40"/>
      <c r="ABE21" s="40"/>
      <c r="ABF21" s="40"/>
      <c r="ABG21" s="40"/>
      <c r="ABH21" s="40"/>
      <c r="ABI21" s="40"/>
      <c r="ABJ21" s="40"/>
      <c r="ABK21" s="40"/>
      <c r="ABL21" s="40"/>
      <c r="ABM21" s="40"/>
      <c r="ABN21" s="40"/>
      <c r="ABO21" s="40"/>
      <c r="ABP21" s="40"/>
      <c r="ABQ21" s="40"/>
      <c r="ABR21" s="40"/>
      <c r="ABS21" s="40"/>
      <c r="ABT21" s="40"/>
      <c r="ABU21" s="40"/>
      <c r="ABV21" s="40"/>
      <c r="ABW21" s="40"/>
      <c r="ABX21" s="40"/>
      <c r="ABY21" s="40"/>
      <c r="ABZ21" s="40"/>
      <c r="ACA21" s="40"/>
      <c r="ACB21" s="40"/>
      <c r="ACC21" s="40"/>
      <c r="ACD21" s="40"/>
      <c r="ACE21" s="40"/>
      <c r="ACF21" s="40"/>
      <c r="ACG21" s="40"/>
      <c r="ACH21" s="40"/>
      <c r="ACI21" s="40"/>
      <c r="ACJ21" s="40"/>
      <c r="ACK21" s="40"/>
      <c r="ACL21" s="40"/>
      <c r="ACM21" s="40"/>
      <c r="ACN21" s="40"/>
      <c r="ACO21" s="40"/>
      <c r="ACP21" s="40"/>
      <c r="ACQ21" s="40"/>
      <c r="ACR21" s="40"/>
      <c r="ACS21" s="40"/>
      <c r="ACT21" s="40"/>
      <c r="ACU21" s="40"/>
      <c r="ACV21" s="40"/>
      <c r="ACW21" s="40"/>
      <c r="ACX21" s="40"/>
      <c r="ACY21" s="40"/>
      <c r="ACZ21" s="40"/>
      <c r="ADA21" s="40"/>
      <c r="ADB21" s="40"/>
      <c r="ADC21" s="40"/>
      <c r="ADD21" s="40"/>
      <c r="ADE21" s="40"/>
      <c r="ADF21" s="40"/>
      <c r="ADG21" s="40"/>
      <c r="ADH21" s="40"/>
      <c r="ADI21" s="40"/>
      <c r="ADJ21" s="40"/>
      <c r="ADK21" s="40"/>
      <c r="ADL21" s="40"/>
      <c r="ADM21" s="40"/>
      <c r="ADN21" s="40"/>
      <c r="ADO21" s="40"/>
      <c r="ADP21" s="40"/>
      <c r="ADQ21" s="40"/>
      <c r="ADR21" s="40"/>
      <c r="ADS21" s="40"/>
      <c r="ADT21" s="40"/>
      <c r="ADU21" s="40"/>
      <c r="ADV21" s="40"/>
      <c r="ADW21" s="40"/>
      <c r="ADX21" s="40"/>
      <c r="ADY21" s="40"/>
      <c r="ADZ21" s="40"/>
      <c r="AEA21" s="40"/>
      <c r="AEB21" s="40"/>
      <c r="AEC21" s="40"/>
      <c r="AED21" s="40"/>
      <c r="AEE21" s="40"/>
      <c r="AEF21" s="40"/>
      <c r="AEG21" s="40"/>
      <c r="AEH21" s="40"/>
      <c r="AEI21" s="40"/>
      <c r="AEJ21" s="40"/>
      <c r="AEK21" s="40"/>
      <c r="AEL21" s="40"/>
      <c r="AEM21" s="40"/>
      <c r="AEN21" s="40"/>
      <c r="AEO21" s="40"/>
      <c r="AEP21" s="40"/>
      <c r="AEQ21" s="40"/>
      <c r="AER21" s="40"/>
      <c r="AES21" s="40"/>
      <c r="AET21" s="40"/>
      <c r="AEU21" s="40"/>
      <c r="AEV21" s="40"/>
      <c r="AEW21" s="40"/>
      <c r="AEX21" s="40"/>
      <c r="AEY21" s="40"/>
      <c r="AEZ21" s="40"/>
      <c r="AFA21" s="40"/>
      <c r="AFB21" s="40"/>
      <c r="AFC21" s="40"/>
      <c r="AFD21" s="40"/>
      <c r="AFE21" s="40"/>
      <c r="AFF21" s="40"/>
      <c r="AFG21" s="40"/>
      <c r="AFH21" s="40"/>
      <c r="AFI21" s="40"/>
      <c r="AFJ21" s="40"/>
      <c r="AFK21" s="40"/>
      <c r="AFL21" s="40"/>
      <c r="AFM21" s="40"/>
      <c r="AFN21" s="40"/>
      <c r="AFO21" s="40"/>
      <c r="AFP21" s="40"/>
      <c r="AFQ21" s="40"/>
      <c r="AFR21" s="40"/>
      <c r="AFS21" s="40"/>
      <c r="AFT21" s="40"/>
      <c r="AFU21" s="40"/>
      <c r="AFV21" s="40"/>
      <c r="AFW21" s="40"/>
      <c r="AFX21" s="40"/>
      <c r="AFY21" s="40"/>
      <c r="AFZ21" s="40"/>
      <c r="AGA21" s="40"/>
      <c r="AGB21" s="40"/>
      <c r="AGC21" s="40"/>
      <c r="AGD21" s="40"/>
      <c r="AGE21" s="40"/>
      <c r="AGF21" s="40"/>
      <c r="AGG21" s="40"/>
      <c r="AGH21" s="40"/>
      <c r="AGI21" s="40"/>
      <c r="AGJ21" s="40"/>
      <c r="AGK21" s="40"/>
      <c r="AGL21" s="40"/>
      <c r="AGM21" s="40"/>
      <c r="AGN21" s="40"/>
      <c r="AGO21" s="40"/>
      <c r="AGP21" s="40"/>
      <c r="AGQ21" s="40"/>
      <c r="AGR21" s="40"/>
      <c r="AGS21" s="40"/>
    </row>
    <row r="22" spans="1:877" ht="13">
      <c r="A22" s="45"/>
      <c r="B22" s="42" t="s">
        <v>23</v>
      </c>
      <c r="C22" s="46" t="s">
        <v>24</v>
      </c>
      <c r="D22" s="47"/>
      <c r="E22" s="4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8"/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37500</v>
      </c>
      <c r="AF22" s="28">
        <v>37500</v>
      </c>
      <c r="AG22" s="28">
        <v>37500</v>
      </c>
      <c r="AH22" s="28">
        <v>37500</v>
      </c>
      <c r="AI22" s="28">
        <v>37500</v>
      </c>
      <c r="AJ22" s="28">
        <v>37500</v>
      </c>
      <c r="AK22" s="28">
        <v>37500</v>
      </c>
      <c r="AL22" s="28">
        <v>37500</v>
      </c>
      <c r="AM22" s="28">
        <v>37500</v>
      </c>
      <c r="AN22" s="28">
        <v>37500</v>
      </c>
      <c r="AO22" s="28">
        <v>37500</v>
      </c>
      <c r="AP22" s="28">
        <v>37500</v>
      </c>
      <c r="AQ22" s="28">
        <v>75000</v>
      </c>
      <c r="AR22" s="28">
        <v>75000</v>
      </c>
      <c r="AS22" s="28">
        <v>75000</v>
      </c>
      <c r="AT22" s="28">
        <v>75000</v>
      </c>
      <c r="AU22" s="28">
        <v>75000</v>
      </c>
      <c r="AV22" s="28">
        <v>75000</v>
      </c>
      <c r="AW22" s="28">
        <v>75000</v>
      </c>
      <c r="AX22" s="28">
        <v>75000</v>
      </c>
      <c r="AY22" s="28">
        <v>75000</v>
      </c>
      <c r="AZ22" s="28">
        <v>75000</v>
      </c>
      <c r="BA22" s="28">
        <v>75000</v>
      </c>
      <c r="BB22" s="28">
        <v>75000</v>
      </c>
      <c r="BC22" s="28">
        <v>75000</v>
      </c>
      <c r="BD22" s="28">
        <v>75000</v>
      </c>
      <c r="BE22" s="28">
        <v>75000</v>
      </c>
      <c r="BF22" s="28">
        <v>75000</v>
      </c>
      <c r="BG22" s="28">
        <v>75000</v>
      </c>
      <c r="BH22" s="28">
        <v>75000</v>
      </c>
      <c r="BI22" s="28">
        <v>75000</v>
      </c>
      <c r="BJ22" s="28">
        <v>75000</v>
      </c>
      <c r="BK22" s="28">
        <v>75000</v>
      </c>
      <c r="BL22" s="28">
        <v>75000</v>
      </c>
      <c r="BM22" s="28">
        <v>75000</v>
      </c>
      <c r="BN22" s="28">
        <v>75000</v>
      </c>
      <c r="BO22" s="28">
        <v>75000</v>
      </c>
      <c r="BP22" s="28">
        <v>75000</v>
      </c>
      <c r="BQ22" s="28">
        <v>75000</v>
      </c>
      <c r="BR22" s="28">
        <v>75000</v>
      </c>
      <c r="BS22" s="28">
        <v>75000</v>
      </c>
      <c r="BT22" s="28">
        <v>75000</v>
      </c>
      <c r="BU22" s="28">
        <v>75000</v>
      </c>
      <c r="BV22" s="28">
        <v>75000</v>
      </c>
      <c r="BW22" s="28">
        <v>75000</v>
      </c>
      <c r="BX22" s="28">
        <v>75000</v>
      </c>
      <c r="BY22" s="28">
        <v>75000</v>
      </c>
      <c r="BZ22" s="28">
        <v>75000</v>
      </c>
      <c r="CA22" s="28">
        <v>75000</v>
      </c>
      <c r="CB22" s="28">
        <v>75000</v>
      </c>
      <c r="CC22" s="28">
        <v>75000</v>
      </c>
      <c r="CD22" s="28">
        <v>75000</v>
      </c>
      <c r="CE22" s="28">
        <v>75000</v>
      </c>
      <c r="CF22" s="28">
        <v>75000</v>
      </c>
      <c r="CG22" s="28">
        <v>75000</v>
      </c>
      <c r="CH22" s="28">
        <v>75000</v>
      </c>
      <c r="CI22" s="28">
        <v>75000</v>
      </c>
      <c r="CJ22" s="28">
        <v>75000</v>
      </c>
      <c r="CK22" s="28">
        <v>75000</v>
      </c>
      <c r="CL22" s="28">
        <v>75000</v>
      </c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  <c r="GF22" s="47"/>
      <c r="GG22" s="47"/>
      <c r="GH22" s="47"/>
      <c r="GI22" s="47"/>
      <c r="GJ22" s="47"/>
      <c r="GK22" s="47"/>
      <c r="GL22" s="47"/>
      <c r="GM22" s="47"/>
      <c r="GN22" s="47"/>
      <c r="GO22" s="47"/>
      <c r="GP22" s="47"/>
      <c r="GQ22" s="47"/>
      <c r="GR22" s="47"/>
      <c r="GS22" s="47"/>
      <c r="GT22" s="47"/>
      <c r="GU22" s="47"/>
      <c r="GV22" s="47"/>
      <c r="GW22" s="47"/>
      <c r="GX22" s="47"/>
      <c r="GY22" s="47"/>
      <c r="GZ22" s="47"/>
      <c r="HA22" s="47"/>
      <c r="HB22" s="47"/>
      <c r="HC22" s="47"/>
      <c r="HD22" s="47"/>
      <c r="HE22" s="47"/>
      <c r="HF22" s="47"/>
      <c r="HG22" s="47"/>
      <c r="HH22" s="47"/>
      <c r="HI22" s="47"/>
      <c r="HJ22" s="47"/>
      <c r="HK22" s="47"/>
      <c r="HL22" s="47"/>
      <c r="HM22" s="47"/>
      <c r="HN22" s="47"/>
      <c r="HO22" s="47"/>
      <c r="HP22" s="47"/>
      <c r="HQ22" s="47"/>
      <c r="HR22" s="47"/>
      <c r="HS22" s="47"/>
      <c r="HT22" s="47"/>
      <c r="HU22" s="47"/>
      <c r="HV22" s="47"/>
      <c r="HW22" s="47"/>
      <c r="HX22" s="47"/>
      <c r="HY22" s="47"/>
      <c r="HZ22" s="47"/>
      <c r="IA22" s="47"/>
      <c r="IB22" s="47"/>
      <c r="IC22" s="47"/>
      <c r="ID22" s="47"/>
      <c r="IE22" s="47"/>
      <c r="IF22" s="47"/>
      <c r="IG22" s="47"/>
      <c r="IH22" s="47"/>
      <c r="II22" s="47"/>
      <c r="IJ22" s="47"/>
      <c r="IK22" s="47"/>
      <c r="IL22" s="47"/>
      <c r="IM22" s="47"/>
      <c r="IN22" s="47"/>
      <c r="IO22" s="47"/>
      <c r="IP22" s="47"/>
      <c r="IQ22" s="47"/>
      <c r="IR22" s="47"/>
      <c r="IS22" s="47"/>
      <c r="IT22" s="47"/>
      <c r="IU22" s="47"/>
      <c r="IV22" s="47"/>
      <c r="IW22" s="47"/>
      <c r="IX22" s="47"/>
      <c r="IY22" s="47"/>
      <c r="IZ22" s="47"/>
      <c r="JA22" s="47"/>
      <c r="JB22" s="47"/>
      <c r="JC22" s="47"/>
      <c r="JD22" s="47"/>
      <c r="JE22" s="47"/>
      <c r="JF22" s="47"/>
      <c r="JG22" s="47"/>
      <c r="JH22" s="47"/>
      <c r="JI22" s="47"/>
      <c r="JJ22" s="47"/>
      <c r="JK22" s="47"/>
      <c r="JL22" s="47"/>
      <c r="JM22" s="47"/>
      <c r="JN22" s="47"/>
      <c r="JO22" s="47"/>
      <c r="JP22" s="47"/>
      <c r="JQ22" s="47"/>
      <c r="JR22" s="47"/>
      <c r="JS22" s="47"/>
      <c r="JT22" s="47"/>
      <c r="JU22" s="47"/>
      <c r="JV22" s="47"/>
      <c r="JW22" s="47"/>
      <c r="JX22" s="47"/>
      <c r="JY22" s="47"/>
      <c r="JZ22" s="47"/>
      <c r="KA22" s="47"/>
      <c r="KB22" s="47"/>
      <c r="KC22" s="47"/>
      <c r="KD22" s="47"/>
      <c r="KE22" s="47"/>
      <c r="KF22" s="47"/>
      <c r="KG22" s="47"/>
      <c r="KH22" s="47"/>
      <c r="KI22" s="47"/>
      <c r="KJ22" s="47"/>
      <c r="KK22" s="47"/>
      <c r="KL22" s="47"/>
      <c r="KM22" s="47"/>
      <c r="KN22" s="47"/>
      <c r="KO22" s="47"/>
      <c r="KP22" s="47"/>
      <c r="KQ22" s="47"/>
      <c r="KR22" s="47"/>
      <c r="KS22" s="47"/>
      <c r="KT22" s="47"/>
      <c r="KU22" s="47"/>
      <c r="KV22" s="47"/>
      <c r="KW22" s="47"/>
      <c r="KX22" s="47"/>
      <c r="KY22" s="47"/>
      <c r="KZ22" s="47"/>
      <c r="LA22" s="47"/>
      <c r="LB22" s="47"/>
      <c r="LC22" s="47"/>
      <c r="LD22" s="47"/>
      <c r="LE22" s="47"/>
      <c r="LF22" s="47"/>
      <c r="LG22" s="47"/>
      <c r="LH22" s="47"/>
      <c r="LI22" s="47"/>
      <c r="LJ22" s="47"/>
      <c r="LK22" s="47"/>
      <c r="LL22" s="47"/>
      <c r="LM22" s="47"/>
      <c r="LN22" s="47"/>
      <c r="LO22" s="47"/>
      <c r="LP22" s="47"/>
      <c r="LQ22" s="47"/>
      <c r="LR22" s="47"/>
      <c r="LS22" s="47"/>
      <c r="LT22" s="47"/>
      <c r="LU22" s="47"/>
      <c r="LV22" s="47"/>
      <c r="LW22" s="47"/>
      <c r="LX22" s="47"/>
      <c r="LY22" s="47"/>
      <c r="LZ22" s="47"/>
      <c r="MA22" s="47"/>
      <c r="MB22" s="47"/>
      <c r="MC22" s="47"/>
      <c r="MD22" s="47"/>
      <c r="ME22" s="47"/>
      <c r="MF22" s="47"/>
      <c r="MG22" s="47"/>
      <c r="MH22" s="47"/>
      <c r="MI22" s="47"/>
      <c r="MJ22" s="47"/>
      <c r="MK22" s="47"/>
      <c r="ML22" s="47"/>
      <c r="MM22" s="47"/>
      <c r="MN22" s="47"/>
      <c r="MO22" s="47"/>
      <c r="MP22" s="47"/>
      <c r="MQ22" s="47"/>
      <c r="MR22" s="47"/>
      <c r="MS22" s="47"/>
      <c r="MT22" s="47"/>
      <c r="MU22" s="47"/>
      <c r="MV22" s="47"/>
      <c r="MW22" s="47"/>
      <c r="MX22" s="47"/>
      <c r="MY22" s="47"/>
      <c r="MZ22" s="47"/>
      <c r="NA22" s="47"/>
      <c r="NB22" s="47"/>
      <c r="NC22" s="47"/>
      <c r="ND22" s="47"/>
      <c r="NE22" s="47"/>
      <c r="NF22" s="47"/>
      <c r="NG22" s="47"/>
      <c r="NH22" s="47"/>
      <c r="NI22" s="47"/>
      <c r="NJ22" s="47"/>
      <c r="NK22" s="47"/>
      <c r="NL22" s="47"/>
      <c r="NM22" s="47"/>
      <c r="NN22" s="47"/>
      <c r="NO22" s="47"/>
      <c r="NP22" s="47"/>
      <c r="NQ22" s="47"/>
      <c r="NR22" s="47"/>
      <c r="NS22" s="47"/>
      <c r="NT22" s="47"/>
      <c r="NU22" s="47"/>
      <c r="NV22" s="47"/>
      <c r="NW22" s="47"/>
      <c r="NX22" s="47"/>
      <c r="NY22" s="47"/>
      <c r="NZ22" s="47"/>
      <c r="OA22" s="47"/>
      <c r="OB22" s="47"/>
      <c r="OC22" s="47"/>
      <c r="OD22" s="47"/>
      <c r="OE22" s="47"/>
      <c r="OF22" s="47"/>
      <c r="OG22" s="47"/>
      <c r="OH22" s="47"/>
      <c r="OI22" s="47"/>
      <c r="OJ22" s="47"/>
      <c r="OK22" s="47"/>
      <c r="OL22" s="47"/>
      <c r="OM22" s="47"/>
      <c r="ON22" s="47"/>
      <c r="OO22" s="47"/>
      <c r="OP22" s="47"/>
      <c r="OQ22" s="47"/>
      <c r="OR22" s="47"/>
      <c r="OS22" s="47"/>
      <c r="OT22" s="47"/>
      <c r="OU22" s="47"/>
      <c r="OV22" s="47"/>
      <c r="OW22" s="47"/>
      <c r="OX22" s="47"/>
      <c r="OY22" s="47"/>
      <c r="OZ22" s="47"/>
      <c r="PA22" s="47"/>
      <c r="PB22" s="47"/>
      <c r="PC22" s="47"/>
      <c r="PD22" s="47"/>
      <c r="PE22" s="47"/>
      <c r="PF22" s="47"/>
      <c r="PG22" s="47"/>
      <c r="PH22" s="47"/>
      <c r="PI22" s="47"/>
      <c r="PJ22" s="47"/>
      <c r="PK22" s="47"/>
      <c r="PL22" s="47"/>
      <c r="PM22" s="47"/>
      <c r="PN22" s="47"/>
      <c r="PO22" s="47"/>
      <c r="PP22" s="47"/>
      <c r="PQ22" s="47"/>
      <c r="PR22" s="47"/>
      <c r="PS22" s="47"/>
      <c r="PT22" s="47"/>
      <c r="PU22" s="47"/>
      <c r="PV22" s="47"/>
      <c r="PW22" s="47"/>
      <c r="PX22" s="47"/>
      <c r="PY22" s="47"/>
      <c r="PZ22" s="47"/>
      <c r="QA22" s="47"/>
      <c r="QB22" s="47"/>
      <c r="QC22" s="47"/>
      <c r="QD22" s="47"/>
      <c r="QE22" s="47"/>
      <c r="QF22" s="47"/>
      <c r="QG22" s="47"/>
      <c r="QH22" s="47"/>
      <c r="QI22" s="47"/>
      <c r="QJ22" s="47"/>
      <c r="QK22" s="47"/>
      <c r="QL22" s="47"/>
      <c r="QM22" s="47"/>
      <c r="QN22" s="47"/>
      <c r="QO22" s="47"/>
      <c r="QP22" s="47"/>
      <c r="QQ22" s="47"/>
      <c r="QR22" s="47"/>
      <c r="QS22" s="47"/>
      <c r="QT22" s="47"/>
      <c r="QU22" s="47"/>
      <c r="QV22" s="47"/>
      <c r="QW22" s="47"/>
      <c r="QX22" s="47"/>
      <c r="QY22" s="47"/>
      <c r="QZ22" s="47"/>
      <c r="RA22" s="47"/>
      <c r="RB22" s="47"/>
      <c r="RC22" s="47"/>
      <c r="RD22" s="47"/>
      <c r="RE22" s="47"/>
      <c r="RF22" s="47"/>
      <c r="RG22" s="47"/>
      <c r="RH22" s="47"/>
      <c r="RI22" s="47"/>
      <c r="RJ22" s="47"/>
      <c r="RK22" s="47"/>
      <c r="RL22" s="47"/>
      <c r="RM22" s="47"/>
      <c r="RN22" s="47"/>
      <c r="RO22" s="47"/>
      <c r="RP22" s="47"/>
      <c r="RQ22" s="47"/>
      <c r="RR22" s="47"/>
      <c r="RS22" s="47"/>
      <c r="RT22" s="47"/>
      <c r="RU22" s="47"/>
      <c r="RV22" s="47"/>
      <c r="RW22" s="47"/>
      <c r="RX22" s="47"/>
      <c r="RY22" s="47"/>
      <c r="RZ22" s="47"/>
      <c r="SA22" s="47"/>
      <c r="SB22" s="47"/>
      <c r="SC22" s="47"/>
      <c r="SD22" s="47"/>
      <c r="SE22" s="47"/>
      <c r="SF22" s="47"/>
      <c r="SG22" s="47"/>
      <c r="SH22" s="47"/>
      <c r="SI22" s="47"/>
      <c r="SJ22" s="47"/>
      <c r="SK22" s="47"/>
      <c r="SL22" s="47"/>
      <c r="SM22" s="47"/>
      <c r="SN22" s="47"/>
      <c r="SO22" s="47"/>
      <c r="SP22" s="47"/>
      <c r="SQ22" s="47"/>
      <c r="SR22" s="47"/>
      <c r="SS22" s="47"/>
      <c r="ST22" s="47"/>
      <c r="SU22" s="47"/>
      <c r="SV22" s="47"/>
      <c r="SW22" s="47"/>
      <c r="SX22" s="47"/>
      <c r="SY22" s="47"/>
      <c r="SZ22" s="47"/>
      <c r="TA22" s="47"/>
      <c r="TB22" s="47"/>
      <c r="TC22" s="47"/>
      <c r="TD22" s="47"/>
      <c r="TE22" s="47"/>
      <c r="TF22" s="47"/>
      <c r="TG22" s="47"/>
      <c r="TH22" s="47"/>
      <c r="TI22" s="47"/>
      <c r="TJ22" s="47"/>
      <c r="TK22" s="47"/>
      <c r="TL22" s="47"/>
      <c r="TM22" s="47"/>
      <c r="TN22" s="47"/>
      <c r="TO22" s="47"/>
      <c r="TP22" s="47"/>
      <c r="TQ22" s="47"/>
      <c r="TR22" s="47"/>
      <c r="TS22" s="47"/>
      <c r="TT22" s="47"/>
      <c r="TU22" s="47"/>
      <c r="TV22" s="47"/>
      <c r="TW22" s="47"/>
      <c r="TX22" s="47"/>
      <c r="TY22" s="47"/>
      <c r="TZ22" s="47"/>
      <c r="UA22" s="47"/>
      <c r="UB22" s="47"/>
      <c r="UC22" s="47"/>
      <c r="UD22" s="47"/>
      <c r="UE22" s="47"/>
      <c r="UF22" s="47"/>
      <c r="UG22" s="47"/>
      <c r="UH22" s="47"/>
      <c r="UI22" s="47"/>
      <c r="UJ22" s="47"/>
      <c r="UK22" s="47"/>
      <c r="UL22" s="47"/>
      <c r="UM22" s="47"/>
      <c r="UN22" s="47"/>
      <c r="UO22" s="47"/>
      <c r="UP22" s="47"/>
      <c r="UQ22" s="47"/>
      <c r="UR22" s="47"/>
      <c r="US22" s="47"/>
      <c r="UT22" s="47"/>
      <c r="UU22" s="47"/>
      <c r="UV22" s="47"/>
      <c r="UW22" s="47"/>
      <c r="UX22" s="47"/>
      <c r="UY22" s="47"/>
      <c r="UZ22" s="47"/>
      <c r="VA22" s="47"/>
      <c r="VB22" s="47"/>
      <c r="VC22" s="47"/>
      <c r="VD22" s="47"/>
      <c r="VE22" s="47"/>
      <c r="VF22" s="47"/>
      <c r="VG22" s="47"/>
      <c r="VH22" s="47"/>
      <c r="VI22" s="47"/>
      <c r="VJ22" s="47"/>
      <c r="VK22" s="47"/>
      <c r="VL22" s="47"/>
      <c r="VM22" s="47"/>
      <c r="VN22" s="47"/>
      <c r="VO22" s="47"/>
      <c r="VP22" s="47"/>
      <c r="VQ22" s="47"/>
      <c r="VR22" s="47"/>
      <c r="VS22" s="47"/>
      <c r="VT22" s="47"/>
      <c r="VU22" s="47"/>
      <c r="VV22" s="47"/>
      <c r="VW22" s="47"/>
      <c r="VX22" s="47"/>
      <c r="VY22" s="47"/>
      <c r="VZ22" s="47"/>
      <c r="WA22" s="47"/>
      <c r="WB22" s="47"/>
      <c r="WC22" s="47"/>
      <c r="WD22" s="47"/>
      <c r="WE22" s="47"/>
      <c r="WF22" s="47"/>
      <c r="WG22" s="47"/>
      <c r="WH22" s="47"/>
      <c r="WI22" s="47"/>
      <c r="WJ22" s="47"/>
      <c r="WK22" s="47"/>
      <c r="WL22" s="47"/>
      <c r="WM22" s="47"/>
      <c r="WN22" s="47"/>
      <c r="WO22" s="47"/>
      <c r="WP22" s="47"/>
      <c r="WQ22" s="47"/>
      <c r="WR22" s="47"/>
      <c r="WS22" s="47"/>
      <c r="WT22" s="47"/>
      <c r="WU22" s="47"/>
      <c r="WV22" s="47"/>
      <c r="WW22" s="47"/>
      <c r="WX22" s="47"/>
      <c r="WY22" s="47"/>
      <c r="WZ22" s="47"/>
      <c r="XA22" s="47"/>
      <c r="XB22" s="47"/>
      <c r="XC22" s="47"/>
      <c r="XD22" s="47"/>
      <c r="XE22" s="47"/>
      <c r="XF22" s="47"/>
      <c r="XG22" s="47"/>
      <c r="XH22" s="47"/>
      <c r="XI22" s="47"/>
      <c r="XJ22" s="47"/>
      <c r="XK22" s="47"/>
      <c r="XL22" s="47"/>
      <c r="XM22" s="47"/>
      <c r="XN22" s="47"/>
      <c r="XO22" s="47"/>
      <c r="XP22" s="47"/>
      <c r="XQ22" s="47"/>
      <c r="XR22" s="47"/>
      <c r="XS22" s="47"/>
      <c r="XT22" s="47"/>
      <c r="XU22" s="47"/>
      <c r="XV22" s="47"/>
      <c r="XW22" s="47"/>
      <c r="XX22" s="47"/>
      <c r="XY22" s="47"/>
      <c r="XZ22" s="47"/>
      <c r="YA22" s="47"/>
      <c r="YB22" s="47"/>
      <c r="YC22" s="47"/>
      <c r="YD22" s="47"/>
      <c r="YE22" s="47"/>
      <c r="YF22" s="47"/>
      <c r="YG22" s="47"/>
      <c r="YH22" s="47"/>
      <c r="YI22" s="47"/>
      <c r="YJ22" s="47"/>
      <c r="YK22" s="47"/>
      <c r="YL22" s="47"/>
      <c r="YM22" s="47"/>
      <c r="YN22" s="47"/>
      <c r="YO22" s="47"/>
      <c r="YP22" s="47"/>
      <c r="YQ22" s="47"/>
      <c r="YR22" s="47"/>
      <c r="YS22" s="47"/>
      <c r="YT22" s="47"/>
      <c r="YU22" s="47"/>
      <c r="YV22" s="47"/>
      <c r="YW22" s="47"/>
      <c r="YX22" s="47"/>
      <c r="YY22" s="47"/>
      <c r="YZ22" s="47"/>
      <c r="ZA22" s="47"/>
      <c r="ZB22" s="47"/>
      <c r="ZC22" s="47"/>
      <c r="ZD22" s="47"/>
      <c r="ZE22" s="47"/>
      <c r="ZF22" s="47"/>
      <c r="ZG22" s="47"/>
      <c r="ZH22" s="47"/>
      <c r="ZI22" s="47"/>
      <c r="ZJ22" s="47"/>
      <c r="ZK22" s="47"/>
      <c r="ZL22" s="47"/>
      <c r="ZM22" s="47"/>
      <c r="ZN22" s="47"/>
      <c r="ZO22" s="47"/>
      <c r="ZP22" s="47"/>
      <c r="ZQ22" s="47"/>
      <c r="ZR22" s="47"/>
      <c r="ZS22" s="47"/>
      <c r="ZT22" s="47"/>
      <c r="ZU22" s="47"/>
      <c r="ZV22" s="47"/>
      <c r="ZW22" s="47"/>
      <c r="ZX22" s="47"/>
      <c r="ZY22" s="47"/>
      <c r="ZZ22" s="47"/>
      <c r="AAA22" s="47"/>
      <c r="AAB22" s="47"/>
      <c r="AAC22" s="47"/>
      <c r="AAD22" s="47"/>
      <c r="AAE22" s="47"/>
      <c r="AAF22" s="47"/>
      <c r="AAG22" s="47"/>
      <c r="AAH22" s="47"/>
      <c r="AAI22" s="47"/>
      <c r="AAJ22" s="47"/>
      <c r="AAK22" s="47"/>
      <c r="AAL22" s="47"/>
      <c r="AAM22" s="47"/>
      <c r="AAN22" s="47"/>
      <c r="AAO22" s="47"/>
      <c r="AAP22" s="47"/>
      <c r="AAQ22" s="47"/>
      <c r="AAR22" s="47"/>
      <c r="AAS22" s="47"/>
      <c r="AAT22" s="47"/>
      <c r="AAU22" s="47"/>
      <c r="AAV22" s="47"/>
      <c r="AAW22" s="47"/>
      <c r="AAX22" s="47"/>
      <c r="AAY22" s="47"/>
      <c r="AAZ22" s="47"/>
      <c r="ABA22" s="47"/>
      <c r="ABB22" s="47"/>
      <c r="ABC22" s="47"/>
      <c r="ABD22" s="47"/>
      <c r="ABE22" s="47"/>
      <c r="ABF22" s="47"/>
      <c r="ABG22" s="47"/>
      <c r="ABH22" s="47"/>
      <c r="ABI22" s="47"/>
      <c r="ABJ22" s="47"/>
      <c r="ABK22" s="47"/>
      <c r="ABL22" s="47"/>
      <c r="ABM22" s="47"/>
      <c r="ABN22" s="47"/>
      <c r="ABO22" s="47"/>
      <c r="ABP22" s="47"/>
      <c r="ABQ22" s="47"/>
      <c r="ABR22" s="47"/>
      <c r="ABS22" s="47"/>
      <c r="ABT22" s="47"/>
      <c r="ABU22" s="47"/>
      <c r="ABV22" s="47"/>
      <c r="ABW22" s="47"/>
      <c r="ABX22" s="47"/>
      <c r="ABY22" s="47"/>
      <c r="ABZ22" s="47"/>
      <c r="ACA22" s="47"/>
      <c r="ACB22" s="47"/>
      <c r="ACC22" s="47"/>
      <c r="ACD22" s="47"/>
      <c r="ACE22" s="47"/>
      <c r="ACF22" s="47"/>
      <c r="ACG22" s="47"/>
      <c r="ACH22" s="47"/>
      <c r="ACI22" s="47"/>
      <c r="ACJ22" s="47"/>
      <c r="ACK22" s="47"/>
      <c r="ACL22" s="47"/>
      <c r="ACM22" s="47"/>
      <c r="ACN22" s="47"/>
      <c r="ACO22" s="47"/>
      <c r="ACP22" s="47"/>
      <c r="ACQ22" s="47"/>
      <c r="ACR22" s="47"/>
      <c r="ACS22" s="47"/>
      <c r="ACT22" s="47"/>
      <c r="ACU22" s="47"/>
      <c r="ACV22" s="47"/>
      <c r="ACW22" s="47"/>
      <c r="ACX22" s="47"/>
      <c r="ACY22" s="47"/>
      <c r="ACZ22" s="47"/>
      <c r="ADA22" s="47"/>
      <c r="ADB22" s="47"/>
      <c r="ADC22" s="47"/>
      <c r="ADD22" s="47"/>
      <c r="ADE22" s="47"/>
      <c r="ADF22" s="47"/>
      <c r="ADG22" s="47"/>
      <c r="ADH22" s="47"/>
      <c r="ADI22" s="47"/>
      <c r="ADJ22" s="47"/>
      <c r="ADK22" s="47"/>
      <c r="ADL22" s="47"/>
      <c r="ADM22" s="47"/>
      <c r="ADN22" s="47"/>
      <c r="ADO22" s="47"/>
      <c r="ADP22" s="47"/>
      <c r="ADQ22" s="47"/>
      <c r="ADR22" s="47"/>
      <c r="ADS22" s="47"/>
      <c r="ADT22" s="47"/>
      <c r="ADU22" s="47"/>
      <c r="ADV22" s="47"/>
      <c r="ADW22" s="47"/>
      <c r="ADX22" s="47"/>
      <c r="ADY22" s="47"/>
      <c r="ADZ22" s="47"/>
      <c r="AEA22" s="47"/>
      <c r="AEB22" s="47"/>
      <c r="AEC22" s="47"/>
      <c r="AED22" s="47"/>
      <c r="AEE22" s="47"/>
      <c r="AEF22" s="47"/>
      <c r="AEG22" s="47"/>
      <c r="AEH22" s="47"/>
      <c r="AEI22" s="47"/>
      <c r="AEJ22" s="47"/>
      <c r="AEK22" s="47"/>
      <c r="AEL22" s="47"/>
      <c r="AEM22" s="47"/>
      <c r="AEN22" s="47"/>
      <c r="AEO22" s="47"/>
      <c r="AEP22" s="47"/>
      <c r="AEQ22" s="47"/>
      <c r="AER22" s="47"/>
      <c r="AES22" s="47"/>
      <c r="AET22" s="47"/>
      <c r="AEU22" s="47"/>
      <c r="AEV22" s="47"/>
      <c r="AEW22" s="47"/>
      <c r="AEX22" s="47"/>
      <c r="AEY22" s="47"/>
      <c r="AEZ22" s="47"/>
      <c r="AFA22" s="47"/>
      <c r="AFB22" s="47"/>
      <c r="AFC22" s="47"/>
      <c r="AFD22" s="47"/>
      <c r="AFE22" s="47"/>
      <c r="AFF22" s="47"/>
      <c r="AFG22" s="47"/>
      <c r="AFH22" s="47"/>
      <c r="AFI22" s="47"/>
      <c r="AFJ22" s="47"/>
      <c r="AFK22" s="47"/>
      <c r="AFL22" s="47"/>
      <c r="AFM22" s="47"/>
      <c r="AFN22" s="47"/>
      <c r="AFO22" s="47"/>
      <c r="AFP22" s="47"/>
      <c r="AFQ22" s="47"/>
      <c r="AFR22" s="47"/>
      <c r="AFS22" s="47"/>
      <c r="AFT22" s="47"/>
      <c r="AFU22" s="47"/>
      <c r="AFV22" s="47"/>
      <c r="AFW22" s="47"/>
      <c r="AFX22" s="47"/>
      <c r="AFY22" s="47"/>
      <c r="AFZ22" s="47"/>
      <c r="AGA22" s="47"/>
      <c r="AGB22" s="47"/>
      <c r="AGC22" s="47"/>
      <c r="AGD22" s="47"/>
      <c r="AGE22" s="47"/>
      <c r="AGF22" s="47"/>
      <c r="AGG22" s="47"/>
      <c r="AGH22" s="47"/>
      <c r="AGI22" s="47"/>
      <c r="AGJ22" s="47"/>
      <c r="AGK22" s="47"/>
      <c r="AGL22" s="47"/>
      <c r="AGM22" s="47"/>
      <c r="AGN22" s="47"/>
      <c r="AGO22" s="47"/>
      <c r="AGP22" s="47"/>
      <c r="AGQ22" s="47"/>
      <c r="AGR22" s="47"/>
      <c r="AGS22" s="47"/>
    </row>
    <row r="23" spans="1:877" ht="13">
      <c r="A23" s="25"/>
      <c r="B23" s="44">
        <v>25</v>
      </c>
      <c r="C23" s="46" t="s">
        <v>25</v>
      </c>
      <c r="D23" s="36"/>
      <c r="E23" s="36"/>
      <c r="F23" s="27"/>
      <c r="G23" s="27">
        <f t="shared" ref="G23:CL23" si="7">G22*$B$15</f>
        <v>0</v>
      </c>
      <c r="H23" s="27">
        <f t="shared" si="7"/>
        <v>0</v>
      </c>
      <c r="I23" s="27">
        <f t="shared" si="7"/>
        <v>0</v>
      </c>
      <c r="J23" s="27">
        <f t="shared" si="7"/>
        <v>0</v>
      </c>
      <c r="K23" s="27">
        <f t="shared" si="7"/>
        <v>0</v>
      </c>
      <c r="L23" s="27">
        <f t="shared" si="7"/>
        <v>0</v>
      </c>
      <c r="M23" s="27">
        <f t="shared" si="7"/>
        <v>0</v>
      </c>
      <c r="N23" s="27">
        <f t="shared" si="7"/>
        <v>0</v>
      </c>
      <c r="O23" s="27">
        <f t="shared" si="7"/>
        <v>0</v>
      </c>
      <c r="P23" s="27">
        <f t="shared" si="7"/>
        <v>0</v>
      </c>
      <c r="Q23" s="27">
        <f t="shared" si="7"/>
        <v>0</v>
      </c>
      <c r="R23" s="27">
        <f t="shared" si="7"/>
        <v>0</v>
      </c>
      <c r="S23" s="27">
        <f t="shared" si="7"/>
        <v>0</v>
      </c>
      <c r="T23" s="27">
        <f t="shared" si="7"/>
        <v>0</v>
      </c>
      <c r="U23" s="27">
        <f t="shared" si="7"/>
        <v>0</v>
      </c>
      <c r="V23" s="27">
        <f t="shared" si="7"/>
        <v>0</v>
      </c>
      <c r="W23" s="27">
        <f t="shared" si="7"/>
        <v>0</v>
      </c>
      <c r="X23" s="27">
        <f t="shared" si="7"/>
        <v>0</v>
      </c>
      <c r="Y23" s="27">
        <f t="shared" si="7"/>
        <v>0</v>
      </c>
      <c r="Z23" s="27">
        <f t="shared" si="7"/>
        <v>0</v>
      </c>
      <c r="AA23" s="27">
        <f t="shared" si="7"/>
        <v>0</v>
      </c>
      <c r="AB23" s="27">
        <f t="shared" si="7"/>
        <v>0</v>
      </c>
      <c r="AC23" s="27">
        <f t="shared" si="7"/>
        <v>0</v>
      </c>
      <c r="AD23" s="27">
        <f t="shared" si="7"/>
        <v>0</v>
      </c>
      <c r="AE23" s="27">
        <f t="shared" si="7"/>
        <v>937500</v>
      </c>
      <c r="AF23" s="27">
        <f t="shared" si="7"/>
        <v>937500</v>
      </c>
      <c r="AG23" s="27">
        <f t="shared" si="7"/>
        <v>937500</v>
      </c>
      <c r="AH23" s="27">
        <f t="shared" si="7"/>
        <v>937500</v>
      </c>
      <c r="AI23" s="27">
        <f t="shared" si="7"/>
        <v>937500</v>
      </c>
      <c r="AJ23" s="27">
        <f t="shared" si="7"/>
        <v>937500</v>
      </c>
      <c r="AK23" s="27">
        <f t="shared" si="7"/>
        <v>937500</v>
      </c>
      <c r="AL23" s="27">
        <f t="shared" si="7"/>
        <v>937500</v>
      </c>
      <c r="AM23" s="27">
        <f t="shared" si="7"/>
        <v>937500</v>
      </c>
      <c r="AN23" s="27">
        <f t="shared" si="7"/>
        <v>937500</v>
      </c>
      <c r="AO23" s="27">
        <f t="shared" si="7"/>
        <v>937500</v>
      </c>
      <c r="AP23" s="27">
        <f t="shared" si="7"/>
        <v>937500</v>
      </c>
      <c r="AQ23" s="27">
        <f t="shared" si="7"/>
        <v>1875000</v>
      </c>
      <c r="AR23" s="27">
        <f t="shared" si="7"/>
        <v>1875000</v>
      </c>
      <c r="AS23" s="27">
        <f t="shared" si="7"/>
        <v>1875000</v>
      </c>
      <c r="AT23" s="27">
        <f t="shared" si="7"/>
        <v>1875000</v>
      </c>
      <c r="AU23" s="27">
        <f t="shared" si="7"/>
        <v>1875000</v>
      </c>
      <c r="AV23" s="27">
        <f t="shared" si="7"/>
        <v>1875000</v>
      </c>
      <c r="AW23" s="27">
        <f t="shared" si="7"/>
        <v>1875000</v>
      </c>
      <c r="AX23" s="27">
        <f t="shared" si="7"/>
        <v>1875000</v>
      </c>
      <c r="AY23" s="27">
        <f t="shared" si="7"/>
        <v>1875000</v>
      </c>
      <c r="AZ23" s="27">
        <f t="shared" si="7"/>
        <v>1875000</v>
      </c>
      <c r="BA23" s="27">
        <f t="shared" si="7"/>
        <v>1875000</v>
      </c>
      <c r="BB23" s="27">
        <f t="shared" si="7"/>
        <v>1875000</v>
      </c>
      <c r="BC23" s="27">
        <f t="shared" si="7"/>
        <v>1875000</v>
      </c>
      <c r="BD23" s="27">
        <f t="shared" si="7"/>
        <v>1875000</v>
      </c>
      <c r="BE23" s="27">
        <f t="shared" si="7"/>
        <v>1875000</v>
      </c>
      <c r="BF23" s="27">
        <f t="shared" si="7"/>
        <v>1875000</v>
      </c>
      <c r="BG23" s="27">
        <f t="shared" si="7"/>
        <v>1875000</v>
      </c>
      <c r="BH23" s="27">
        <f t="shared" si="7"/>
        <v>1875000</v>
      </c>
      <c r="BI23" s="27">
        <f t="shared" si="7"/>
        <v>1875000</v>
      </c>
      <c r="BJ23" s="27">
        <f t="shared" si="7"/>
        <v>1875000</v>
      </c>
      <c r="BK23" s="27">
        <f t="shared" si="7"/>
        <v>1875000</v>
      </c>
      <c r="BL23" s="27">
        <f t="shared" si="7"/>
        <v>1875000</v>
      </c>
      <c r="BM23" s="27">
        <f t="shared" si="7"/>
        <v>1875000</v>
      </c>
      <c r="BN23" s="27">
        <f t="shared" si="7"/>
        <v>1875000</v>
      </c>
      <c r="BO23" s="27">
        <f t="shared" si="7"/>
        <v>1875000</v>
      </c>
      <c r="BP23" s="27">
        <f t="shared" si="7"/>
        <v>1875000</v>
      </c>
      <c r="BQ23" s="27">
        <f t="shared" si="7"/>
        <v>1875000</v>
      </c>
      <c r="BR23" s="27">
        <f t="shared" si="7"/>
        <v>1875000</v>
      </c>
      <c r="BS23" s="27">
        <f t="shared" si="7"/>
        <v>1875000</v>
      </c>
      <c r="BT23" s="27">
        <f t="shared" si="7"/>
        <v>1875000</v>
      </c>
      <c r="BU23" s="27">
        <f t="shared" si="7"/>
        <v>1875000</v>
      </c>
      <c r="BV23" s="27">
        <f t="shared" si="7"/>
        <v>1875000</v>
      </c>
      <c r="BW23" s="27">
        <f t="shared" si="7"/>
        <v>1875000</v>
      </c>
      <c r="BX23" s="27">
        <f t="shared" si="7"/>
        <v>1875000</v>
      </c>
      <c r="BY23" s="27">
        <f t="shared" si="7"/>
        <v>1875000</v>
      </c>
      <c r="BZ23" s="27">
        <f t="shared" si="7"/>
        <v>1875000</v>
      </c>
      <c r="CA23" s="27">
        <f t="shared" si="7"/>
        <v>1875000</v>
      </c>
      <c r="CB23" s="27">
        <f t="shared" si="7"/>
        <v>1875000</v>
      </c>
      <c r="CC23" s="27">
        <f t="shared" si="7"/>
        <v>1875000</v>
      </c>
      <c r="CD23" s="27">
        <f t="shared" si="7"/>
        <v>1875000</v>
      </c>
      <c r="CE23" s="27">
        <f t="shared" si="7"/>
        <v>1875000</v>
      </c>
      <c r="CF23" s="27">
        <f t="shared" si="7"/>
        <v>1875000</v>
      </c>
      <c r="CG23" s="27">
        <f t="shared" si="7"/>
        <v>1875000</v>
      </c>
      <c r="CH23" s="27">
        <f t="shared" si="7"/>
        <v>1875000</v>
      </c>
      <c r="CI23" s="27">
        <f t="shared" si="7"/>
        <v>1875000</v>
      </c>
      <c r="CJ23" s="27">
        <f t="shared" si="7"/>
        <v>1875000</v>
      </c>
      <c r="CK23" s="27">
        <f t="shared" si="7"/>
        <v>1875000</v>
      </c>
      <c r="CL23" s="27">
        <f t="shared" si="7"/>
        <v>1875000</v>
      </c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1"/>
      <c r="KT23" s="21"/>
      <c r="KU23" s="21"/>
      <c r="KV23" s="21"/>
      <c r="KW23" s="21"/>
      <c r="KX23" s="21"/>
      <c r="KY23" s="21"/>
      <c r="KZ23" s="21"/>
      <c r="LA23" s="21"/>
      <c r="LB23" s="21"/>
      <c r="LC23" s="21"/>
      <c r="LD23" s="21"/>
      <c r="LE23" s="21"/>
      <c r="LF23" s="21"/>
      <c r="LG23" s="21"/>
      <c r="LH23" s="21"/>
      <c r="LI23" s="21"/>
      <c r="LJ23" s="21"/>
      <c r="LK23" s="21"/>
      <c r="LL23" s="21"/>
      <c r="LM23" s="21"/>
      <c r="LN23" s="21"/>
      <c r="LO23" s="21"/>
      <c r="LP23" s="21"/>
      <c r="LQ23" s="21"/>
      <c r="LR23" s="21"/>
      <c r="LS23" s="21"/>
      <c r="LT23" s="21"/>
      <c r="LU23" s="21"/>
      <c r="LV23" s="21"/>
      <c r="LW23" s="21"/>
      <c r="LX23" s="21"/>
      <c r="LY23" s="21"/>
      <c r="LZ23" s="21"/>
      <c r="MA23" s="21"/>
      <c r="MB23" s="21"/>
      <c r="MC23" s="21"/>
      <c r="MD23" s="21"/>
      <c r="ME23" s="21"/>
      <c r="MF23" s="21"/>
      <c r="MG23" s="21"/>
      <c r="MH23" s="21"/>
      <c r="MI23" s="21"/>
      <c r="MJ23" s="21"/>
      <c r="MK23" s="21"/>
      <c r="ML23" s="21"/>
      <c r="MM23" s="21"/>
      <c r="MN23" s="21"/>
      <c r="MO23" s="21"/>
      <c r="MP23" s="21"/>
      <c r="MQ23" s="21"/>
      <c r="MR23" s="21"/>
      <c r="MS23" s="21"/>
      <c r="MT23" s="21"/>
      <c r="MU23" s="21"/>
      <c r="MV23" s="21"/>
      <c r="MW23" s="21"/>
      <c r="MX23" s="21"/>
      <c r="MY23" s="21"/>
      <c r="MZ23" s="21"/>
      <c r="NA23" s="21"/>
      <c r="NB23" s="21"/>
      <c r="NC23" s="21"/>
      <c r="ND23" s="21"/>
      <c r="NE23" s="21"/>
      <c r="NF23" s="21"/>
      <c r="NG23" s="21"/>
      <c r="NH23" s="21"/>
      <c r="NI23" s="21"/>
      <c r="NJ23" s="21"/>
      <c r="NK23" s="21"/>
      <c r="NL23" s="21"/>
      <c r="NM23" s="21"/>
      <c r="NN23" s="21"/>
      <c r="NO23" s="21"/>
      <c r="NP23" s="21"/>
      <c r="NQ23" s="21"/>
      <c r="NR23" s="21"/>
      <c r="NS23" s="21"/>
      <c r="NT23" s="21"/>
      <c r="NU23" s="21"/>
      <c r="NV23" s="21"/>
      <c r="NW23" s="21"/>
      <c r="NX23" s="21"/>
      <c r="NY23" s="21"/>
      <c r="NZ23" s="21"/>
      <c r="OA23" s="21"/>
      <c r="OB23" s="21"/>
      <c r="OC23" s="21"/>
      <c r="OD23" s="21"/>
      <c r="OE23" s="21"/>
      <c r="OF23" s="21"/>
      <c r="OG23" s="21"/>
      <c r="OH23" s="21"/>
      <c r="OI23" s="21"/>
      <c r="OJ23" s="21"/>
      <c r="OK23" s="21"/>
      <c r="OL23" s="21"/>
      <c r="OM23" s="21"/>
      <c r="ON23" s="21"/>
      <c r="OO23" s="21"/>
      <c r="OP23" s="21"/>
      <c r="OQ23" s="21"/>
      <c r="OR23" s="21"/>
      <c r="OS23" s="21"/>
      <c r="OT23" s="21"/>
      <c r="OU23" s="21"/>
      <c r="OV23" s="21"/>
      <c r="OW23" s="21"/>
      <c r="OX23" s="21"/>
      <c r="OY23" s="21"/>
      <c r="OZ23" s="21"/>
      <c r="PA23" s="21"/>
      <c r="PB23" s="21"/>
      <c r="PC23" s="21"/>
      <c r="PD23" s="21"/>
      <c r="PE23" s="21"/>
      <c r="PF23" s="21"/>
      <c r="PG23" s="21"/>
      <c r="PH23" s="21"/>
      <c r="PI23" s="21"/>
      <c r="PJ23" s="21"/>
      <c r="PK23" s="21"/>
      <c r="PL23" s="21"/>
      <c r="PM23" s="21"/>
      <c r="PN23" s="21"/>
      <c r="PO23" s="21"/>
      <c r="PP23" s="21"/>
      <c r="PQ23" s="21"/>
      <c r="PR23" s="21"/>
      <c r="PS23" s="21"/>
      <c r="PT23" s="21"/>
      <c r="PU23" s="21"/>
      <c r="PV23" s="21"/>
      <c r="PW23" s="21"/>
      <c r="PX23" s="21"/>
      <c r="PY23" s="21"/>
      <c r="PZ23" s="21"/>
      <c r="QA23" s="21"/>
      <c r="QB23" s="21"/>
      <c r="QC23" s="21"/>
      <c r="QD23" s="21"/>
      <c r="QE23" s="21"/>
      <c r="QF23" s="21"/>
      <c r="QG23" s="21"/>
      <c r="QH23" s="21"/>
      <c r="QI23" s="21"/>
      <c r="QJ23" s="21"/>
      <c r="QK23" s="21"/>
      <c r="QL23" s="21"/>
      <c r="QM23" s="21"/>
      <c r="QN23" s="21"/>
      <c r="QO23" s="21"/>
      <c r="QP23" s="21"/>
      <c r="QQ23" s="21"/>
      <c r="QR23" s="21"/>
      <c r="QS23" s="21"/>
      <c r="QT23" s="21"/>
      <c r="QU23" s="21"/>
      <c r="QV23" s="21"/>
      <c r="QW23" s="21"/>
      <c r="QX23" s="21"/>
      <c r="QY23" s="21"/>
      <c r="QZ23" s="21"/>
      <c r="RA23" s="21"/>
      <c r="RB23" s="21"/>
      <c r="RC23" s="21"/>
      <c r="RD23" s="21"/>
      <c r="RE23" s="21"/>
      <c r="RF23" s="21"/>
      <c r="RG23" s="21"/>
      <c r="RH23" s="21"/>
      <c r="RI23" s="21"/>
      <c r="RJ23" s="21"/>
      <c r="RK23" s="21"/>
      <c r="RL23" s="21"/>
      <c r="RM23" s="21"/>
      <c r="RN23" s="21"/>
      <c r="RO23" s="21"/>
      <c r="RP23" s="21"/>
      <c r="RQ23" s="21"/>
      <c r="RR23" s="21"/>
      <c r="RS23" s="21"/>
      <c r="RT23" s="21"/>
      <c r="RU23" s="21"/>
      <c r="RV23" s="21"/>
      <c r="RW23" s="21"/>
      <c r="RX23" s="21"/>
      <c r="RY23" s="21"/>
      <c r="RZ23" s="21"/>
      <c r="SA23" s="21"/>
      <c r="SB23" s="21"/>
      <c r="SC23" s="21"/>
      <c r="SD23" s="21"/>
      <c r="SE23" s="21"/>
      <c r="SF23" s="21"/>
      <c r="SG23" s="21"/>
      <c r="SH23" s="21"/>
      <c r="SI23" s="21"/>
      <c r="SJ23" s="21"/>
      <c r="SK23" s="21"/>
      <c r="SL23" s="21"/>
      <c r="SM23" s="21"/>
      <c r="SN23" s="21"/>
      <c r="SO23" s="21"/>
      <c r="SP23" s="21"/>
      <c r="SQ23" s="21"/>
      <c r="SR23" s="21"/>
      <c r="SS23" s="21"/>
      <c r="ST23" s="21"/>
      <c r="SU23" s="21"/>
      <c r="SV23" s="21"/>
      <c r="SW23" s="21"/>
      <c r="SX23" s="21"/>
      <c r="SY23" s="21"/>
      <c r="SZ23" s="21"/>
      <c r="TA23" s="21"/>
      <c r="TB23" s="21"/>
      <c r="TC23" s="21"/>
      <c r="TD23" s="21"/>
      <c r="TE23" s="21"/>
      <c r="TF23" s="21"/>
      <c r="TG23" s="21"/>
      <c r="TH23" s="21"/>
      <c r="TI23" s="21"/>
      <c r="TJ23" s="21"/>
      <c r="TK23" s="21"/>
      <c r="TL23" s="21"/>
      <c r="TM23" s="21"/>
      <c r="TN23" s="21"/>
      <c r="TO23" s="21"/>
      <c r="TP23" s="21"/>
      <c r="TQ23" s="21"/>
      <c r="TR23" s="21"/>
      <c r="TS23" s="21"/>
      <c r="TT23" s="21"/>
      <c r="TU23" s="21"/>
      <c r="TV23" s="21"/>
      <c r="TW23" s="21"/>
      <c r="TX23" s="21"/>
      <c r="TY23" s="21"/>
      <c r="TZ23" s="21"/>
      <c r="UA23" s="21"/>
      <c r="UB23" s="21"/>
      <c r="UC23" s="21"/>
      <c r="UD23" s="21"/>
      <c r="UE23" s="21"/>
      <c r="UF23" s="21"/>
      <c r="UG23" s="21"/>
      <c r="UH23" s="21"/>
      <c r="UI23" s="21"/>
      <c r="UJ23" s="21"/>
      <c r="UK23" s="21"/>
      <c r="UL23" s="21"/>
      <c r="UM23" s="21"/>
      <c r="UN23" s="21"/>
      <c r="UO23" s="21"/>
      <c r="UP23" s="21"/>
      <c r="UQ23" s="21"/>
      <c r="UR23" s="21"/>
      <c r="US23" s="21"/>
      <c r="UT23" s="21"/>
      <c r="UU23" s="21"/>
      <c r="UV23" s="21"/>
      <c r="UW23" s="21"/>
      <c r="UX23" s="21"/>
      <c r="UY23" s="21"/>
      <c r="UZ23" s="21"/>
      <c r="VA23" s="21"/>
      <c r="VB23" s="21"/>
      <c r="VC23" s="21"/>
      <c r="VD23" s="21"/>
      <c r="VE23" s="21"/>
      <c r="VF23" s="21"/>
      <c r="VG23" s="21"/>
      <c r="VH23" s="21"/>
      <c r="VI23" s="21"/>
      <c r="VJ23" s="21"/>
      <c r="VK23" s="21"/>
      <c r="VL23" s="21"/>
      <c r="VM23" s="21"/>
      <c r="VN23" s="21"/>
      <c r="VO23" s="21"/>
      <c r="VP23" s="21"/>
      <c r="VQ23" s="21"/>
      <c r="VR23" s="21"/>
      <c r="VS23" s="21"/>
      <c r="VT23" s="21"/>
      <c r="VU23" s="21"/>
      <c r="VV23" s="21"/>
      <c r="VW23" s="21"/>
      <c r="VX23" s="21"/>
      <c r="VY23" s="21"/>
      <c r="VZ23" s="21"/>
      <c r="WA23" s="21"/>
      <c r="WB23" s="21"/>
      <c r="WC23" s="21"/>
      <c r="WD23" s="21"/>
      <c r="WE23" s="21"/>
      <c r="WF23" s="21"/>
      <c r="WG23" s="21"/>
      <c r="WH23" s="21"/>
      <c r="WI23" s="21"/>
      <c r="WJ23" s="21"/>
      <c r="WK23" s="21"/>
      <c r="WL23" s="21"/>
      <c r="WM23" s="21"/>
      <c r="WN23" s="21"/>
      <c r="WO23" s="21"/>
      <c r="WP23" s="21"/>
      <c r="WQ23" s="21"/>
      <c r="WR23" s="21"/>
      <c r="WS23" s="21"/>
      <c r="WT23" s="21"/>
      <c r="WU23" s="21"/>
      <c r="WV23" s="21"/>
      <c r="WW23" s="21"/>
      <c r="WX23" s="21"/>
      <c r="WY23" s="21"/>
      <c r="WZ23" s="21"/>
      <c r="XA23" s="21"/>
      <c r="XB23" s="21"/>
      <c r="XC23" s="21"/>
      <c r="XD23" s="21"/>
      <c r="XE23" s="21"/>
      <c r="XF23" s="21"/>
      <c r="XG23" s="21"/>
      <c r="XH23" s="21"/>
      <c r="XI23" s="21"/>
      <c r="XJ23" s="21"/>
      <c r="XK23" s="21"/>
      <c r="XL23" s="21"/>
      <c r="XM23" s="21"/>
      <c r="XN23" s="21"/>
      <c r="XO23" s="21"/>
      <c r="XP23" s="21"/>
      <c r="XQ23" s="21"/>
      <c r="XR23" s="21"/>
      <c r="XS23" s="21"/>
      <c r="XT23" s="21"/>
      <c r="XU23" s="21"/>
      <c r="XV23" s="21"/>
      <c r="XW23" s="21"/>
      <c r="XX23" s="21"/>
      <c r="XY23" s="21"/>
      <c r="XZ23" s="21"/>
      <c r="YA23" s="21"/>
      <c r="YB23" s="21"/>
      <c r="YC23" s="21"/>
      <c r="YD23" s="21"/>
      <c r="YE23" s="21"/>
      <c r="YF23" s="21"/>
      <c r="YG23" s="21"/>
      <c r="YH23" s="21"/>
      <c r="YI23" s="21"/>
      <c r="YJ23" s="21"/>
      <c r="YK23" s="21"/>
      <c r="YL23" s="21"/>
      <c r="YM23" s="21"/>
      <c r="YN23" s="21"/>
      <c r="YO23" s="21"/>
      <c r="YP23" s="21"/>
      <c r="YQ23" s="21"/>
      <c r="YR23" s="21"/>
      <c r="YS23" s="21"/>
      <c r="YT23" s="21"/>
      <c r="YU23" s="21"/>
      <c r="YV23" s="21"/>
      <c r="YW23" s="21"/>
      <c r="YX23" s="21"/>
      <c r="YY23" s="21"/>
      <c r="YZ23" s="21"/>
      <c r="ZA23" s="21"/>
      <c r="ZB23" s="21"/>
      <c r="ZC23" s="21"/>
      <c r="ZD23" s="21"/>
      <c r="ZE23" s="21"/>
      <c r="ZF23" s="21"/>
      <c r="ZG23" s="21"/>
      <c r="ZH23" s="21"/>
      <c r="ZI23" s="21"/>
      <c r="ZJ23" s="21"/>
      <c r="ZK23" s="21"/>
      <c r="ZL23" s="21"/>
      <c r="ZM23" s="21"/>
      <c r="ZN23" s="21"/>
      <c r="ZO23" s="21"/>
      <c r="ZP23" s="21"/>
      <c r="ZQ23" s="21"/>
      <c r="ZR23" s="21"/>
      <c r="ZS23" s="21"/>
      <c r="ZT23" s="21"/>
      <c r="ZU23" s="21"/>
      <c r="ZV23" s="21"/>
      <c r="ZW23" s="21"/>
      <c r="ZX23" s="21"/>
      <c r="ZY23" s="21"/>
      <c r="ZZ23" s="21"/>
      <c r="AAA23" s="21"/>
      <c r="AAB23" s="21"/>
      <c r="AAC23" s="21"/>
      <c r="AAD23" s="21"/>
      <c r="AAE23" s="21"/>
      <c r="AAF23" s="21"/>
      <c r="AAG23" s="21"/>
      <c r="AAH23" s="21"/>
      <c r="AAI23" s="21"/>
      <c r="AAJ23" s="21"/>
      <c r="AAK23" s="21"/>
      <c r="AAL23" s="21"/>
      <c r="AAM23" s="21"/>
      <c r="AAN23" s="21"/>
      <c r="AAO23" s="21"/>
      <c r="AAP23" s="21"/>
      <c r="AAQ23" s="21"/>
      <c r="AAR23" s="21"/>
      <c r="AAS23" s="21"/>
      <c r="AAT23" s="21"/>
      <c r="AAU23" s="21"/>
      <c r="AAV23" s="21"/>
      <c r="AAW23" s="21"/>
      <c r="AAX23" s="21"/>
      <c r="AAY23" s="21"/>
      <c r="AAZ23" s="21"/>
      <c r="ABA23" s="21"/>
      <c r="ABB23" s="21"/>
      <c r="ABC23" s="21"/>
      <c r="ABD23" s="21"/>
      <c r="ABE23" s="21"/>
      <c r="ABF23" s="21"/>
      <c r="ABG23" s="21"/>
      <c r="ABH23" s="21"/>
      <c r="ABI23" s="21"/>
      <c r="ABJ23" s="21"/>
      <c r="ABK23" s="21"/>
      <c r="ABL23" s="21"/>
      <c r="ABM23" s="21"/>
      <c r="ABN23" s="21"/>
      <c r="ABO23" s="21"/>
      <c r="ABP23" s="21"/>
      <c r="ABQ23" s="21"/>
      <c r="ABR23" s="21"/>
      <c r="ABS23" s="21"/>
      <c r="ABT23" s="21"/>
      <c r="ABU23" s="21"/>
      <c r="ABV23" s="21"/>
      <c r="ABW23" s="21"/>
      <c r="ABX23" s="21"/>
      <c r="ABY23" s="21"/>
      <c r="ABZ23" s="21"/>
      <c r="ACA23" s="21"/>
      <c r="ACB23" s="21"/>
      <c r="ACC23" s="21"/>
      <c r="ACD23" s="21"/>
      <c r="ACE23" s="21"/>
      <c r="ACF23" s="21"/>
      <c r="ACG23" s="21"/>
      <c r="ACH23" s="21"/>
      <c r="ACI23" s="21"/>
      <c r="ACJ23" s="21"/>
      <c r="ACK23" s="21"/>
      <c r="ACL23" s="21"/>
      <c r="ACM23" s="21"/>
      <c r="ACN23" s="21"/>
      <c r="ACO23" s="21"/>
      <c r="ACP23" s="21"/>
      <c r="ACQ23" s="21"/>
      <c r="ACR23" s="21"/>
      <c r="ACS23" s="21"/>
      <c r="ACT23" s="21"/>
      <c r="ACU23" s="21"/>
      <c r="ACV23" s="21"/>
      <c r="ACW23" s="21"/>
      <c r="ACX23" s="21"/>
      <c r="ACY23" s="21"/>
      <c r="ACZ23" s="21"/>
      <c r="ADA23" s="21"/>
      <c r="ADB23" s="21"/>
      <c r="ADC23" s="21"/>
      <c r="ADD23" s="21"/>
      <c r="ADE23" s="21"/>
      <c r="ADF23" s="21"/>
      <c r="ADG23" s="21"/>
      <c r="ADH23" s="21"/>
      <c r="ADI23" s="21"/>
      <c r="ADJ23" s="21"/>
      <c r="ADK23" s="21"/>
      <c r="ADL23" s="21"/>
      <c r="ADM23" s="21"/>
      <c r="ADN23" s="21"/>
      <c r="ADO23" s="21"/>
      <c r="ADP23" s="21"/>
      <c r="ADQ23" s="21"/>
      <c r="ADR23" s="21"/>
      <c r="ADS23" s="21"/>
      <c r="ADT23" s="21"/>
      <c r="ADU23" s="21"/>
      <c r="ADV23" s="21"/>
      <c r="ADW23" s="21"/>
      <c r="ADX23" s="21"/>
      <c r="ADY23" s="21"/>
      <c r="ADZ23" s="21"/>
      <c r="AEA23" s="21"/>
      <c r="AEB23" s="21"/>
      <c r="AEC23" s="21"/>
      <c r="AED23" s="21"/>
      <c r="AEE23" s="21"/>
      <c r="AEF23" s="21"/>
      <c r="AEG23" s="21"/>
      <c r="AEH23" s="21"/>
      <c r="AEI23" s="21"/>
      <c r="AEJ23" s="21"/>
      <c r="AEK23" s="21"/>
      <c r="AEL23" s="21"/>
      <c r="AEM23" s="21"/>
      <c r="AEN23" s="21"/>
      <c r="AEO23" s="21"/>
      <c r="AEP23" s="21"/>
      <c r="AEQ23" s="21"/>
      <c r="AER23" s="21"/>
      <c r="AES23" s="21"/>
      <c r="AET23" s="21"/>
      <c r="AEU23" s="21"/>
      <c r="AEV23" s="21"/>
      <c r="AEW23" s="21"/>
      <c r="AEX23" s="21"/>
      <c r="AEY23" s="21"/>
      <c r="AEZ23" s="21"/>
      <c r="AFA23" s="21"/>
      <c r="AFB23" s="21"/>
      <c r="AFC23" s="21"/>
      <c r="AFD23" s="21"/>
      <c r="AFE23" s="21"/>
      <c r="AFF23" s="21"/>
      <c r="AFG23" s="21"/>
      <c r="AFH23" s="21"/>
      <c r="AFI23" s="21"/>
      <c r="AFJ23" s="21"/>
      <c r="AFK23" s="21"/>
      <c r="AFL23" s="21"/>
      <c r="AFM23" s="21"/>
      <c r="AFN23" s="21"/>
      <c r="AFO23" s="21"/>
      <c r="AFP23" s="21"/>
      <c r="AFQ23" s="21"/>
      <c r="AFR23" s="21"/>
      <c r="AFS23" s="21"/>
      <c r="AFT23" s="21"/>
      <c r="AFU23" s="21"/>
      <c r="AFV23" s="21"/>
      <c r="AFW23" s="21"/>
      <c r="AFX23" s="21"/>
      <c r="AFY23" s="21"/>
      <c r="AFZ23" s="21"/>
      <c r="AGA23" s="21"/>
      <c r="AGB23" s="21"/>
      <c r="AGC23" s="21"/>
      <c r="AGD23" s="21"/>
      <c r="AGE23" s="21"/>
      <c r="AGF23" s="21"/>
      <c r="AGG23" s="21"/>
      <c r="AGH23" s="21"/>
      <c r="AGI23" s="21"/>
      <c r="AGJ23" s="21"/>
      <c r="AGK23" s="21"/>
      <c r="AGL23" s="21"/>
      <c r="AGM23" s="21"/>
      <c r="AGN23" s="21"/>
      <c r="AGO23" s="21"/>
      <c r="AGP23" s="21"/>
      <c r="AGQ23" s="21"/>
      <c r="AGR23" s="21"/>
      <c r="AGS23" s="21"/>
    </row>
    <row r="24" spans="1:877" ht="13">
      <c r="A24" s="25"/>
      <c r="B24" s="48"/>
      <c r="C24" s="49" t="s">
        <v>26</v>
      </c>
      <c r="D24" s="36"/>
      <c r="E24" s="36"/>
      <c r="F24" s="27"/>
      <c r="G24" s="27">
        <f t="shared" ref="G24:CL24" si="8">G22*$B$13</f>
        <v>0</v>
      </c>
      <c r="H24" s="27">
        <f t="shared" si="8"/>
        <v>0</v>
      </c>
      <c r="I24" s="27">
        <f t="shared" si="8"/>
        <v>0</v>
      </c>
      <c r="J24" s="27">
        <f t="shared" si="8"/>
        <v>0</v>
      </c>
      <c r="K24" s="27">
        <f t="shared" si="8"/>
        <v>0</v>
      </c>
      <c r="L24" s="27">
        <f t="shared" si="8"/>
        <v>0</v>
      </c>
      <c r="M24" s="27">
        <f t="shared" si="8"/>
        <v>0</v>
      </c>
      <c r="N24" s="27">
        <f t="shared" si="8"/>
        <v>0</v>
      </c>
      <c r="O24" s="27">
        <f t="shared" si="8"/>
        <v>0</v>
      </c>
      <c r="P24" s="27">
        <f t="shared" si="8"/>
        <v>0</v>
      </c>
      <c r="Q24" s="27">
        <f t="shared" si="8"/>
        <v>0</v>
      </c>
      <c r="R24" s="27">
        <f t="shared" si="8"/>
        <v>0</v>
      </c>
      <c r="S24" s="27">
        <f t="shared" si="8"/>
        <v>0</v>
      </c>
      <c r="T24" s="27">
        <f t="shared" si="8"/>
        <v>0</v>
      </c>
      <c r="U24" s="27">
        <f t="shared" si="8"/>
        <v>0</v>
      </c>
      <c r="V24" s="27">
        <f t="shared" si="8"/>
        <v>0</v>
      </c>
      <c r="W24" s="27">
        <f t="shared" si="8"/>
        <v>0</v>
      </c>
      <c r="X24" s="27">
        <f t="shared" si="8"/>
        <v>0</v>
      </c>
      <c r="Y24" s="27">
        <f t="shared" si="8"/>
        <v>0</v>
      </c>
      <c r="Z24" s="27">
        <f t="shared" si="8"/>
        <v>0</v>
      </c>
      <c r="AA24" s="27">
        <f t="shared" si="8"/>
        <v>0</v>
      </c>
      <c r="AB24" s="27">
        <f t="shared" si="8"/>
        <v>0</v>
      </c>
      <c r="AC24" s="27">
        <f t="shared" si="8"/>
        <v>0</v>
      </c>
      <c r="AD24" s="27">
        <f t="shared" si="8"/>
        <v>0</v>
      </c>
      <c r="AE24" s="27">
        <f t="shared" si="8"/>
        <v>98245.065789473694</v>
      </c>
      <c r="AF24" s="27">
        <f t="shared" si="8"/>
        <v>98245.065789473694</v>
      </c>
      <c r="AG24" s="27">
        <f t="shared" si="8"/>
        <v>98245.065789473694</v>
      </c>
      <c r="AH24" s="27">
        <f t="shared" si="8"/>
        <v>98245.065789473694</v>
      </c>
      <c r="AI24" s="27">
        <f t="shared" si="8"/>
        <v>98245.065789473694</v>
      </c>
      <c r="AJ24" s="27">
        <f t="shared" si="8"/>
        <v>98245.065789473694</v>
      </c>
      <c r="AK24" s="27">
        <f t="shared" si="8"/>
        <v>98245.065789473694</v>
      </c>
      <c r="AL24" s="27">
        <f t="shared" si="8"/>
        <v>98245.065789473694</v>
      </c>
      <c r="AM24" s="27">
        <f t="shared" si="8"/>
        <v>98245.065789473694</v>
      </c>
      <c r="AN24" s="27">
        <f t="shared" si="8"/>
        <v>98245.065789473694</v>
      </c>
      <c r="AO24" s="27">
        <f t="shared" si="8"/>
        <v>98245.065789473694</v>
      </c>
      <c r="AP24" s="27">
        <f t="shared" si="8"/>
        <v>98245.065789473694</v>
      </c>
      <c r="AQ24" s="27">
        <f t="shared" si="8"/>
        <v>196490.13157894739</v>
      </c>
      <c r="AR24" s="27">
        <f t="shared" si="8"/>
        <v>196490.13157894739</v>
      </c>
      <c r="AS24" s="27">
        <f t="shared" si="8"/>
        <v>196490.13157894739</v>
      </c>
      <c r="AT24" s="27">
        <f t="shared" si="8"/>
        <v>196490.13157894739</v>
      </c>
      <c r="AU24" s="27">
        <f t="shared" si="8"/>
        <v>196490.13157894739</v>
      </c>
      <c r="AV24" s="27">
        <f t="shared" si="8"/>
        <v>196490.13157894739</v>
      </c>
      <c r="AW24" s="27">
        <f t="shared" si="8"/>
        <v>196490.13157894739</v>
      </c>
      <c r="AX24" s="27">
        <f t="shared" si="8"/>
        <v>196490.13157894739</v>
      </c>
      <c r="AY24" s="27">
        <f t="shared" si="8"/>
        <v>196490.13157894739</v>
      </c>
      <c r="AZ24" s="27">
        <f t="shared" si="8"/>
        <v>196490.13157894739</v>
      </c>
      <c r="BA24" s="27">
        <f t="shared" si="8"/>
        <v>196490.13157894739</v>
      </c>
      <c r="BB24" s="27">
        <f t="shared" si="8"/>
        <v>196490.13157894739</v>
      </c>
      <c r="BC24" s="27">
        <f t="shared" si="8"/>
        <v>196490.13157894739</v>
      </c>
      <c r="BD24" s="27">
        <f t="shared" si="8"/>
        <v>196490.13157894739</v>
      </c>
      <c r="BE24" s="27">
        <f t="shared" si="8"/>
        <v>196490.13157894739</v>
      </c>
      <c r="BF24" s="27">
        <f t="shared" si="8"/>
        <v>196490.13157894739</v>
      </c>
      <c r="BG24" s="27">
        <f t="shared" si="8"/>
        <v>196490.13157894739</v>
      </c>
      <c r="BH24" s="27">
        <f t="shared" si="8"/>
        <v>196490.13157894739</v>
      </c>
      <c r="BI24" s="27">
        <f t="shared" si="8"/>
        <v>196490.13157894739</v>
      </c>
      <c r="BJ24" s="27">
        <f t="shared" si="8"/>
        <v>196490.13157894739</v>
      </c>
      <c r="BK24" s="27">
        <f t="shared" si="8"/>
        <v>196490.13157894739</v>
      </c>
      <c r="BL24" s="27">
        <f t="shared" si="8"/>
        <v>196490.13157894739</v>
      </c>
      <c r="BM24" s="27">
        <f t="shared" si="8"/>
        <v>196490.13157894739</v>
      </c>
      <c r="BN24" s="27">
        <f t="shared" si="8"/>
        <v>196490.13157894739</v>
      </c>
      <c r="BO24" s="27">
        <f t="shared" si="8"/>
        <v>196490.13157894739</v>
      </c>
      <c r="BP24" s="27">
        <f t="shared" si="8"/>
        <v>196490.13157894739</v>
      </c>
      <c r="BQ24" s="27">
        <f t="shared" si="8"/>
        <v>196490.13157894739</v>
      </c>
      <c r="BR24" s="27">
        <f t="shared" si="8"/>
        <v>196490.13157894739</v>
      </c>
      <c r="BS24" s="27">
        <f t="shared" si="8"/>
        <v>196490.13157894739</v>
      </c>
      <c r="BT24" s="27">
        <f t="shared" si="8"/>
        <v>196490.13157894739</v>
      </c>
      <c r="BU24" s="27">
        <f t="shared" si="8"/>
        <v>196490.13157894739</v>
      </c>
      <c r="BV24" s="27">
        <f t="shared" si="8"/>
        <v>196490.13157894739</v>
      </c>
      <c r="BW24" s="27">
        <f t="shared" si="8"/>
        <v>196490.13157894739</v>
      </c>
      <c r="BX24" s="27">
        <f t="shared" si="8"/>
        <v>196490.13157894739</v>
      </c>
      <c r="BY24" s="27">
        <f t="shared" si="8"/>
        <v>196490.13157894739</v>
      </c>
      <c r="BZ24" s="27">
        <f t="shared" si="8"/>
        <v>196490.13157894739</v>
      </c>
      <c r="CA24" s="27">
        <f t="shared" si="8"/>
        <v>196490.13157894739</v>
      </c>
      <c r="CB24" s="27">
        <f t="shared" si="8"/>
        <v>196490.13157894739</v>
      </c>
      <c r="CC24" s="27">
        <f t="shared" si="8"/>
        <v>196490.13157894739</v>
      </c>
      <c r="CD24" s="27">
        <f t="shared" si="8"/>
        <v>196490.13157894739</v>
      </c>
      <c r="CE24" s="27">
        <f t="shared" si="8"/>
        <v>196490.13157894739</v>
      </c>
      <c r="CF24" s="27">
        <f t="shared" si="8"/>
        <v>196490.13157894739</v>
      </c>
      <c r="CG24" s="27">
        <f t="shared" si="8"/>
        <v>196490.13157894739</v>
      </c>
      <c r="CH24" s="27">
        <f t="shared" si="8"/>
        <v>196490.13157894739</v>
      </c>
      <c r="CI24" s="27">
        <f t="shared" si="8"/>
        <v>196490.13157894739</v>
      </c>
      <c r="CJ24" s="27">
        <f t="shared" si="8"/>
        <v>196490.13157894739</v>
      </c>
      <c r="CK24" s="27">
        <f t="shared" si="8"/>
        <v>196490.13157894739</v>
      </c>
      <c r="CL24" s="27">
        <f t="shared" si="8"/>
        <v>196490.13157894739</v>
      </c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  <c r="KH24" s="21"/>
      <c r="KI24" s="21"/>
      <c r="KJ24" s="21"/>
      <c r="KK24" s="21"/>
      <c r="KL24" s="21"/>
      <c r="KM24" s="21"/>
      <c r="KN24" s="21"/>
      <c r="KO24" s="21"/>
      <c r="KP24" s="21"/>
      <c r="KQ24" s="21"/>
      <c r="KR24" s="21"/>
      <c r="KS24" s="21"/>
      <c r="KT24" s="21"/>
      <c r="KU24" s="21"/>
      <c r="KV24" s="21"/>
      <c r="KW24" s="21"/>
      <c r="KX24" s="21"/>
      <c r="KY24" s="21"/>
      <c r="KZ24" s="21"/>
      <c r="LA24" s="21"/>
      <c r="LB24" s="21"/>
      <c r="LC24" s="21"/>
      <c r="LD24" s="21"/>
      <c r="LE24" s="21"/>
      <c r="LF24" s="21"/>
      <c r="LG24" s="21"/>
      <c r="LH24" s="21"/>
      <c r="LI24" s="21"/>
      <c r="LJ24" s="21"/>
      <c r="LK24" s="21"/>
      <c r="LL24" s="21"/>
      <c r="LM24" s="21"/>
      <c r="LN24" s="21"/>
      <c r="LO24" s="21"/>
      <c r="LP24" s="21"/>
      <c r="LQ24" s="21"/>
      <c r="LR24" s="21"/>
      <c r="LS24" s="21"/>
      <c r="LT24" s="21"/>
      <c r="LU24" s="21"/>
      <c r="LV24" s="21"/>
      <c r="LW24" s="21"/>
      <c r="LX24" s="21"/>
      <c r="LY24" s="21"/>
      <c r="LZ24" s="21"/>
      <c r="MA24" s="21"/>
      <c r="MB24" s="21"/>
      <c r="MC24" s="21"/>
      <c r="MD24" s="21"/>
      <c r="ME24" s="21"/>
      <c r="MF24" s="21"/>
      <c r="MG24" s="21"/>
      <c r="MH24" s="21"/>
      <c r="MI24" s="21"/>
      <c r="MJ24" s="21"/>
      <c r="MK24" s="21"/>
      <c r="ML24" s="21"/>
      <c r="MM24" s="21"/>
      <c r="MN24" s="21"/>
      <c r="MO24" s="21"/>
      <c r="MP24" s="21"/>
      <c r="MQ24" s="21"/>
      <c r="MR24" s="21"/>
      <c r="MS24" s="21"/>
      <c r="MT24" s="21"/>
      <c r="MU24" s="21"/>
      <c r="MV24" s="21"/>
      <c r="MW24" s="21"/>
      <c r="MX24" s="21"/>
      <c r="MY24" s="21"/>
      <c r="MZ24" s="21"/>
      <c r="NA24" s="21"/>
      <c r="NB24" s="21"/>
      <c r="NC24" s="21"/>
      <c r="ND24" s="21"/>
      <c r="NE24" s="21"/>
      <c r="NF24" s="21"/>
      <c r="NG24" s="21"/>
      <c r="NH24" s="21"/>
      <c r="NI24" s="21"/>
      <c r="NJ24" s="21"/>
      <c r="NK24" s="21"/>
      <c r="NL24" s="21"/>
      <c r="NM24" s="21"/>
      <c r="NN24" s="21"/>
      <c r="NO24" s="21"/>
      <c r="NP24" s="21"/>
      <c r="NQ24" s="21"/>
      <c r="NR24" s="21"/>
      <c r="NS24" s="21"/>
      <c r="NT24" s="21"/>
      <c r="NU24" s="21"/>
      <c r="NV24" s="21"/>
      <c r="NW24" s="21"/>
      <c r="NX24" s="21"/>
      <c r="NY24" s="21"/>
      <c r="NZ24" s="21"/>
      <c r="OA24" s="21"/>
      <c r="OB24" s="21"/>
      <c r="OC24" s="21"/>
      <c r="OD24" s="21"/>
      <c r="OE24" s="21"/>
      <c r="OF24" s="21"/>
      <c r="OG24" s="21"/>
      <c r="OH24" s="21"/>
      <c r="OI24" s="21"/>
      <c r="OJ24" s="21"/>
      <c r="OK24" s="21"/>
      <c r="OL24" s="21"/>
      <c r="OM24" s="21"/>
      <c r="ON24" s="21"/>
      <c r="OO24" s="21"/>
      <c r="OP24" s="21"/>
      <c r="OQ24" s="21"/>
      <c r="OR24" s="21"/>
      <c r="OS24" s="21"/>
      <c r="OT24" s="21"/>
      <c r="OU24" s="21"/>
      <c r="OV24" s="21"/>
      <c r="OW24" s="21"/>
      <c r="OX24" s="21"/>
      <c r="OY24" s="21"/>
      <c r="OZ24" s="21"/>
      <c r="PA24" s="21"/>
      <c r="PB24" s="21"/>
      <c r="PC24" s="21"/>
      <c r="PD24" s="21"/>
      <c r="PE24" s="21"/>
      <c r="PF24" s="21"/>
      <c r="PG24" s="21"/>
      <c r="PH24" s="21"/>
      <c r="PI24" s="21"/>
      <c r="PJ24" s="21"/>
      <c r="PK24" s="21"/>
      <c r="PL24" s="21"/>
      <c r="PM24" s="21"/>
      <c r="PN24" s="21"/>
      <c r="PO24" s="21"/>
      <c r="PP24" s="21"/>
      <c r="PQ24" s="21"/>
      <c r="PR24" s="21"/>
      <c r="PS24" s="21"/>
      <c r="PT24" s="21"/>
      <c r="PU24" s="21"/>
      <c r="PV24" s="21"/>
      <c r="PW24" s="21"/>
      <c r="PX24" s="21"/>
      <c r="PY24" s="21"/>
      <c r="PZ24" s="21"/>
      <c r="QA24" s="21"/>
      <c r="QB24" s="21"/>
      <c r="QC24" s="21"/>
      <c r="QD24" s="21"/>
      <c r="QE24" s="21"/>
      <c r="QF24" s="21"/>
      <c r="QG24" s="21"/>
      <c r="QH24" s="21"/>
      <c r="QI24" s="21"/>
      <c r="QJ24" s="21"/>
      <c r="QK24" s="21"/>
      <c r="QL24" s="21"/>
      <c r="QM24" s="21"/>
      <c r="QN24" s="21"/>
      <c r="QO24" s="21"/>
      <c r="QP24" s="21"/>
      <c r="QQ24" s="21"/>
      <c r="QR24" s="21"/>
      <c r="QS24" s="21"/>
      <c r="QT24" s="21"/>
      <c r="QU24" s="21"/>
      <c r="QV24" s="21"/>
      <c r="QW24" s="21"/>
      <c r="QX24" s="21"/>
      <c r="QY24" s="21"/>
      <c r="QZ24" s="21"/>
      <c r="RA24" s="21"/>
      <c r="RB24" s="21"/>
      <c r="RC24" s="21"/>
      <c r="RD24" s="21"/>
      <c r="RE24" s="21"/>
      <c r="RF24" s="21"/>
      <c r="RG24" s="21"/>
      <c r="RH24" s="21"/>
      <c r="RI24" s="21"/>
      <c r="RJ24" s="21"/>
      <c r="RK24" s="21"/>
      <c r="RL24" s="21"/>
      <c r="RM24" s="21"/>
      <c r="RN24" s="21"/>
      <c r="RO24" s="21"/>
      <c r="RP24" s="21"/>
      <c r="RQ24" s="21"/>
      <c r="RR24" s="21"/>
      <c r="RS24" s="21"/>
      <c r="RT24" s="21"/>
      <c r="RU24" s="21"/>
      <c r="RV24" s="21"/>
      <c r="RW24" s="21"/>
      <c r="RX24" s="21"/>
      <c r="RY24" s="21"/>
      <c r="RZ24" s="21"/>
      <c r="SA24" s="21"/>
      <c r="SB24" s="21"/>
      <c r="SC24" s="21"/>
      <c r="SD24" s="21"/>
      <c r="SE24" s="21"/>
      <c r="SF24" s="21"/>
      <c r="SG24" s="21"/>
      <c r="SH24" s="21"/>
      <c r="SI24" s="21"/>
      <c r="SJ24" s="21"/>
      <c r="SK24" s="21"/>
      <c r="SL24" s="21"/>
      <c r="SM24" s="21"/>
      <c r="SN24" s="21"/>
      <c r="SO24" s="21"/>
      <c r="SP24" s="21"/>
      <c r="SQ24" s="21"/>
      <c r="SR24" s="21"/>
      <c r="SS24" s="21"/>
      <c r="ST24" s="21"/>
      <c r="SU24" s="21"/>
      <c r="SV24" s="21"/>
      <c r="SW24" s="21"/>
      <c r="SX24" s="21"/>
      <c r="SY24" s="21"/>
      <c r="SZ24" s="21"/>
      <c r="TA24" s="21"/>
      <c r="TB24" s="21"/>
      <c r="TC24" s="21"/>
      <c r="TD24" s="21"/>
      <c r="TE24" s="21"/>
      <c r="TF24" s="21"/>
      <c r="TG24" s="21"/>
      <c r="TH24" s="21"/>
      <c r="TI24" s="21"/>
      <c r="TJ24" s="21"/>
      <c r="TK24" s="21"/>
      <c r="TL24" s="21"/>
      <c r="TM24" s="21"/>
      <c r="TN24" s="21"/>
      <c r="TO24" s="21"/>
      <c r="TP24" s="21"/>
      <c r="TQ24" s="21"/>
      <c r="TR24" s="21"/>
      <c r="TS24" s="21"/>
      <c r="TT24" s="21"/>
      <c r="TU24" s="21"/>
      <c r="TV24" s="21"/>
      <c r="TW24" s="21"/>
      <c r="TX24" s="21"/>
      <c r="TY24" s="21"/>
      <c r="TZ24" s="21"/>
      <c r="UA24" s="21"/>
      <c r="UB24" s="21"/>
      <c r="UC24" s="21"/>
      <c r="UD24" s="21"/>
      <c r="UE24" s="21"/>
      <c r="UF24" s="21"/>
      <c r="UG24" s="21"/>
      <c r="UH24" s="21"/>
      <c r="UI24" s="21"/>
      <c r="UJ24" s="21"/>
      <c r="UK24" s="21"/>
      <c r="UL24" s="21"/>
      <c r="UM24" s="21"/>
      <c r="UN24" s="21"/>
      <c r="UO24" s="21"/>
      <c r="UP24" s="21"/>
      <c r="UQ24" s="21"/>
      <c r="UR24" s="21"/>
      <c r="US24" s="21"/>
      <c r="UT24" s="21"/>
      <c r="UU24" s="21"/>
      <c r="UV24" s="21"/>
      <c r="UW24" s="21"/>
      <c r="UX24" s="21"/>
      <c r="UY24" s="21"/>
      <c r="UZ24" s="21"/>
      <c r="VA24" s="21"/>
      <c r="VB24" s="21"/>
      <c r="VC24" s="21"/>
      <c r="VD24" s="21"/>
      <c r="VE24" s="21"/>
      <c r="VF24" s="21"/>
      <c r="VG24" s="21"/>
      <c r="VH24" s="21"/>
      <c r="VI24" s="21"/>
      <c r="VJ24" s="21"/>
      <c r="VK24" s="21"/>
      <c r="VL24" s="21"/>
      <c r="VM24" s="21"/>
      <c r="VN24" s="21"/>
      <c r="VO24" s="21"/>
      <c r="VP24" s="21"/>
      <c r="VQ24" s="21"/>
      <c r="VR24" s="21"/>
      <c r="VS24" s="21"/>
      <c r="VT24" s="21"/>
      <c r="VU24" s="21"/>
      <c r="VV24" s="21"/>
      <c r="VW24" s="21"/>
      <c r="VX24" s="21"/>
      <c r="VY24" s="21"/>
      <c r="VZ24" s="21"/>
      <c r="WA24" s="21"/>
      <c r="WB24" s="21"/>
      <c r="WC24" s="21"/>
      <c r="WD24" s="21"/>
      <c r="WE24" s="21"/>
      <c r="WF24" s="21"/>
      <c r="WG24" s="21"/>
      <c r="WH24" s="21"/>
      <c r="WI24" s="21"/>
      <c r="WJ24" s="21"/>
      <c r="WK24" s="21"/>
      <c r="WL24" s="21"/>
      <c r="WM24" s="21"/>
      <c r="WN24" s="21"/>
      <c r="WO24" s="21"/>
      <c r="WP24" s="21"/>
      <c r="WQ24" s="21"/>
      <c r="WR24" s="21"/>
      <c r="WS24" s="21"/>
      <c r="WT24" s="21"/>
      <c r="WU24" s="21"/>
      <c r="WV24" s="21"/>
      <c r="WW24" s="21"/>
      <c r="WX24" s="21"/>
      <c r="WY24" s="21"/>
      <c r="WZ24" s="21"/>
      <c r="XA24" s="21"/>
      <c r="XB24" s="21"/>
      <c r="XC24" s="21"/>
      <c r="XD24" s="21"/>
      <c r="XE24" s="21"/>
      <c r="XF24" s="21"/>
      <c r="XG24" s="21"/>
      <c r="XH24" s="21"/>
      <c r="XI24" s="21"/>
      <c r="XJ24" s="21"/>
      <c r="XK24" s="21"/>
      <c r="XL24" s="21"/>
      <c r="XM24" s="21"/>
      <c r="XN24" s="21"/>
      <c r="XO24" s="21"/>
      <c r="XP24" s="21"/>
      <c r="XQ24" s="21"/>
      <c r="XR24" s="21"/>
      <c r="XS24" s="21"/>
      <c r="XT24" s="21"/>
      <c r="XU24" s="21"/>
      <c r="XV24" s="21"/>
      <c r="XW24" s="21"/>
      <c r="XX24" s="21"/>
      <c r="XY24" s="21"/>
      <c r="XZ24" s="21"/>
      <c r="YA24" s="21"/>
      <c r="YB24" s="21"/>
      <c r="YC24" s="21"/>
      <c r="YD24" s="21"/>
      <c r="YE24" s="21"/>
      <c r="YF24" s="21"/>
      <c r="YG24" s="21"/>
      <c r="YH24" s="21"/>
      <c r="YI24" s="21"/>
      <c r="YJ24" s="21"/>
      <c r="YK24" s="21"/>
      <c r="YL24" s="21"/>
      <c r="YM24" s="21"/>
      <c r="YN24" s="21"/>
      <c r="YO24" s="21"/>
      <c r="YP24" s="21"/>
      <c r="YQ24" s="21"/>
      <c r="YR24" s="21"/>
      <c r="YS24" s="21"/>
      <c r="YT24" s="21"/>
      <c r="YU24" s="21"/>
      <c r="YV24" s="21"/>
      <c r="YW24" s="21"/>
      <c r="YX24" s="21"/>
      <c r="YY24" s="21"/>
      <c r="YZ24" s="21"/>
      <c r="ZA24" s="21"/>
      <c r="ZB24" s="21"/>
      <c r="ZC24" s="21"/>
      <c r="ZD24" s="21"/>
      <c r="ZE24" s="21"/>
      <c r="ZF24" s="21"/>
      <c r="ZG24" s="21"/>
      <c r="ZH24" s="21"/>
      <c r="ZI24" s="21"/>
      <c r="ZJ24" s="21"/>
      <c r="ZK24" s="21"/>
      <c r="ZL24" s="21"/>
      <c r="ZM24" s="21"/>
      <c r="ZN24" s="21"/>
      <c r="ZO24" s="21"/>
      <c r="ZP24" s="21"/>
      <c r="ZQ24" s="21"/>
      <c r="ZR24" s="21"/>
      <c r="ZS24" s="21"/>
      <c r="ZT24" s="21"/>
      <c r="ZU24" s="21"/>
      <c r="ZV24" s="21"/>
      <c r="ZW24" s="21"/>
      <c r="ZX24" s="21"/>
      <c r="ZY24" s="21"/>
      <c r="ZZ24" s="21"/>
      <c r="AAA24" s="21"/>
      <c r="AAB24" s="21"/>
      <c r="AAC24" s="21"/>
      <c r="AAD24" s="21"/>
      <c r="AAE24" s="21"/>
      <c r="AAF24" s="21"/>
      <c r="AAG24" s="21"/>
      <c r="AAH24" s="21"/>
      <c r="AAI24" s="21"/>
      <c r="AAJ24" s="21"/>
      <c r="AAK24" s="21"/>
      <c r="AAL24" s="21"/>
      <c r="AAM24" s="21"/>
      <c r="AAN24" s="21"/>
      <c r="AAO24" s="21"/>
      <c r="AAP24" s="21"/>
      <c r="AAQ24" s="21"/>
      <c r="AAR24" s="21"/>
      <c r="AAS24" s="21"/>
      <c r="AAT24" s="21"/>
      <c r="AAU24" s="21"/>
      <c r="AAV24" s="21"/>
      <c r="AAW24" s="21"/>
      <c r="AAX24" s="21"/>
      <c r="AAY24" s="21"/>
      <c r="AAZ24" s="21"/>
      <c r="ABA24" s="21"/>
      <c r="ABB24" s="21"/>
      <c r="ABC24" s="21"/>
      <c r="ABD24" s="21"/>
      <c r="ABE24" s="21"/>
      <c r="ABF24" s="21"/>
      <c r="ABG24" s="21"/>
      <c r="ABH24" s="21"/>
      <c r="ABI24" s="21"/>
      <c r="ABJ24" s="21"/>
      <c r="ABK24" s="21"/>
      <c r="ABL24" s="21"/>
      <c r="ABM24" s="21"/>
      <c r="ABN24" s="21"/>
      <c r="ABO24" s="21"/>
      <c r="ABP24" s="21"/>
      <c r="ABQ24" s="21"/>
      <c r="ABR24" s="21"/>
      <c r="ABS24" s="21"/>
      <c r="ABT24" s="21"/>
      <c r="ABU24" s="21"/>
      <c r="ABV24" s="21"/>
      <c r="ABW24" s="21"/>
      <c r="ABX24" s="21"/>
      <c r="ABY24" s="21"/>
      <c r="ABZ24" s="21"/>
      <c r="ACA24" s="21"/>
      <c r="ACB24" s="21"/>
      <c r="ACC24" s="21"/>
      <c r="ACD24" s="21"/>
      <c r="ACE24" s="21"/>
      <c r="ACF24" s="21"/>
      <c r="ACG24" s="21"/>
      <c r="ACH24" s="21"/>
      <c r="ACI24" s="21"/>
      <c r="ACJ24" s="21"/>
      <c r="ACK24" s="21"/>
      <c r="ACL24" s="21"/>
      <c r="ACM24" s="21"/>
      <c r="ACN24" s="21"/>
      <c r="ACO24" s="21"/>
      <c r="ACP24" s="21"/>
      <c r="ACQ24" s="21"/>
      <c r="ACR24" s="21"/>
      <c r="ACS24" s="21"/>
      <c r="ACT24" s="21"/>
      <c r="ACU24" s="21"/>
      <c r="ACV24" s="21"/>
      <c r="ACW24" s="21"/>
      <c r="ACX24" s="21"/>
      <c r="ACY24" s="21"/>
      <c r="ACZ24" s="21"/>
      <c r="ADA24" s="21"/>
      <c r="ADB24" s="21"/>
      <c r="ADC24" s="21"/>
      <c r="ADD24" s="21"/>
      <c r="ADE24" s="21"/>
      <c r="ADF24" s="21"/>
      <c r="ADG24" s="21"/>
      <c r="ADH24" s="21"/>
      <c r="ADI24" s="21"/>
      <c r="ADJ24" s="21"/>
      <c r="ADK24" s="21"/>
      <c r="ADL24" s="21"/>
      <c r="ADM24" s="21"/>
      <c r="ADN24" s="21"/>
      <c r="ADO24" s="21"/>
      <c r="ADP24" s="21"/>
      <c r="ADQ24" s="21"/>
      <c r="ADR24" s="21"/>
      <c r="ADS24" s="21"/>
      <c r="ADT24" s="21"/>
      <c r="ADU24" s="21"/>
      <c r="ADV24" s="21"/>
      <c r="ADW24" s="21"/>
      <c r="ADX24" s="21"/>
      <c r="ADY24" s="21"/>
      <c r="ADZ24" s="21"/>
      <c r="AEA24" s="21"/>
      <c r="AEB24" s="21"/>
      <c r="AEC24" s="21"/>
      <c r="AED24" s="21"/>
      <c r="AEE24" s="21"/>
      <c r="AEF24" s="21"/>
      <c r="AEG24" s="21"/>
      <c r="AEH24" s="21"/>
      <c r="AEI24" s="21"/>
      <c r="AEJ24" s="21"/>
      <c r="AEK24" s="21"/>
      <c r="AEL24" s="21"/>
      <c r="AEM24" s="21"/>
      <c r="AEN24" s="21"/>
      <c r="AEO24" s="21"/>
      <c r="AEP24" s="21"/>
      <c r="AEQ24" s="21"/>
      <c r="AER24" s="21"/>
      <c r="AES24" s="21"/>
      <c r="AET24" s="21"/>
      <c r="AEU24" s="21"/>
      <c r="AEV24" s="21"/>
      <c r="AEW24" s="21"/>
      <c r="AEX24" s="21"/>
      <c r="AEY24" s="21"/>
      <c r="AEZ24" s="21"/>
      <c r="AFA24" s="21"/>
      <c r="AFB24" s="21"/>
      <c r="AFC24" s="21"/>
      <c r="AFD24" s="21"/>
      <c r="AFE24" s="21"/>
      <c r="AFF24" s="21"/>
      <c r="AFG24" s="21"/>
      <c r="AFH24" s="21"/>
      <c r="AFI24" s="21"/>
      <c r="AFJ24" s="21"/>
      <c r="AFK24" s="21"/>
      <c r="AFL24" s="21"/>
      <c r="AFM24" s="21"/>
      <c r="AFN24" s="21"/>
      <c r="AFO24" s="21"/>
      <c r="AFP24" s="21"/>
      <c r="AFQ24" s="21"/>
      <c r="AFR24" s="21"/>
      <c r="AFS24" s="21"/>
      <c r="AFT24" s="21"/>
      <c r="AFU24" s="21"/>
      <c r="AFV24" s="21"/>
      <c r="AFW24" s="21"/>
      <c r="AFX24" s="21"/>
      <c r="AFY24" s="21"/>
      <c r="AFZ24" s="21"/>
      <c r="AGA24" s="21"/>
      <c r="AGB24" s="21"/>
      <c r="AGC24" s="21"/>
      <c r="AGD24" s="21"/>
      <c r="AGE24" s="21"/>
      <c r="AGF24" s="21"/>
      <c r="AGG24" s="21"/>
      <c r="AGH24" s="21"/>
      <c r="AGI24" s="21"/>
      <c r="AGJ24" s="21"/>
      <c r="AGK24" s="21"/>
      <c r="AGL24" s="21"/>
      <c r="AGM24" s="21"/>
      <c r="AGN24" s="21"/>
      <c r="AGO24" s="21"/>
      <c r="AGP24" s="21"/>
      <c r="AGQ24" s="21"/>
      <c r="AGR24" s="21"/>
      <c r="AGS24" s="21"/>
    </row>
    <row r="25" spans="1:877" ht="13">
      <c r="A25" s="25"/>
      <c r="B25" s="50"/>
      <c r="C25" s="33" t="s">
        <v>27</v>
      </c>
      <c r="D25" s="34"/>
      <c r="E25" s="34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>
        <f t="shared" ref="S25:CL25" si="9">S22*($B$23-$B$21)</f>
        <v>0</v>
      </c>
      <c r="T25" s="35">
        <f t="shared" si="9"/>
        <v>0</v>
      </c>
      <c r="U25" s="35">
        <f t="shared" si="9"/>
        <v>0</v>
      </c>
      <c r="V25" s="35">
        <f t="shared" si="9"/>
        <v>0</v>
      </c>
      <c r="W25" s="35">
        <f t="shared" si="9"/>
        <v>0</v>
      </c>
      <c r="X25" s="35">
        <f t="shared" si="9"/>
        <v>0</v>
      </c>
      <c r="Y25" s="35">
        <f t="shared" si="9"/>
        <v>0</v>
      </c>
      <c r="Z25" s="35">
        <f t="shared" si="9"/>
        <v>0</v>
      </c>
      <c r="AA25" s="35">
        <f t="shared" si="9"/>
        <v>0</v>
      </c>
      <c r="AB25" s="35">
        <f t="shared" si="9"/>
        <v>0</v>
      </c>
      <c r="AC25" s="35">
        <f t="shared" si="9"/>
        <v>0</v>
      </c>
      <c r="AD25" s="35">
        <f t="shared" si="9"/>
        <v>0</v>
      </c>
      <c r="AE25" s="35">
        <f t="shared" si="9"/>
        <v>839254.93421052629</v>
      </c>
      <c r="AF25" s="35">
        <f t="shared" si="9"/>
        <v>839254.93421052629</v>
      </c>
      <c r="AG25" s="35">
        <f t="shared" si="9"/>
        <v>839254.93421052629</v>
      </c>
      <c r="AH25" s="35">
        <f t="shared" si="9"/>
        <v>839254.93421052629</v>
      </c>
      <c r="AI25" s="35">
        <f t="shared" si="9"/>
        <v>839254.93421052629</v>
      </c>
      <c r="AJ25" s="35">
        <f t="shared" si="9"/>
        <v>839254.93421052629</v>
      </c>
      <c r="AK25" s="35">
        <f t="shared" si="9"/>
        <v>839254.93421052629</v>
      </c>
      <c r="AL25" s="35">
        <f t="shared" si="9"/>
        <v>839254.93421052629</v>
      </c>
      <c r="AM25" s="35">
        <f t="shared" si="9"/>
        <v>839254.93421052629</v>
      </c>
      <c r="AN25" s="35">
        <f t="shared" si="9"/>
        <v>839254.93421052629</v>
      </c>
      <c r="AO25" s="35">
        <f t="shared" si="9"/>
        <v>839254.93421052629</v>
      </c>
      <c r="AP25" s="35">
        <f t="shared" si="9"/>
        <v>839254.93421052629</v>
      </c>
      <c r="AQ25" s="35">
        <f t="shared" si="9"/>
        <v>1678509.8684210526</v>
      </c>
      <c r="AR25" s="35">
        <f t="shared" si="9"/>
        <v>1678509.8684210526</v>
      </c>
      <c r="AS25" s="35">
        <f t="shared" si="9"/>
        <v>1678509.8684210526</v>
      </c>
      <c r="AT25" s="35">
        <f t="shared" si="9"/>
        <v>1678509.8684210526</v>
      </c>
      <c r="AU25" s="35">
        <f t="shared" si="9"/>
        <v>1678509.8684210526</v>
      </c>
      <c r="AV25" s="35">
        <f t="shared" si="9"/>
        <v>1678509.8684210526</v>
      </c>
      <c r="AW25" s="35">
        <f t="shared" si="9"/>
        <v>1678509.8684210526</v>
      </c>
      <c r="AX25" s="35">
        <f t="shared" si="9"/>
        <v>1678509.8684210526</v>
      </c>
      <c r="AY25" s="35">
        <f t="shared" si="9"/>
        <v>1678509.8684210526</v>
      </c>
      <c r="AZ25" s="35">
        <f t="shared" si="9"/>
        <v>1678509.8684210526</v>
      </c>
      <c r="BA25" s="35">
        <f t="shared" si="9"/>
        <v>1678509.8684210526</v>
      </c>
      <c r="BB25" s="35">
        <f t="shared" si="9"/>
        <v>1678509.8684210526</v>
      </c>
      <c r="BC25" s="35">
        <f t="shared" si="9"/>
        <v>1678509.8684210526</v>
      </c>
      <c r="BD25" s="35">
        <f t="shared" si="9"/>
        <v>1678509.8684210526</v>
      </c>
      <c r="BE25" s="35">
        <f t="shared" si="9"/>
        <v>1678509.8684210526</v>
      </c>
      <c r="BF25" s="35">
        <f t="shared" si="9"/>
        <v>1678509.8684210526</v>
      </c>
      <c r="BG25" s="35">
        <f t="shared" si="9"/>
        <v>1678509.8684210526</v>
      </c>
      <c r="BH25" s="35">
        <f t="shared" si="9"/>
        <v>1678509.8684210526</v>
      </c>
      <c r="BI25" s="35">
        <f t="shared" si="9"/>
        <v>1678509.8684210526</v>
      </c>
      <c r="BJ25" s="35">
        <f t="shared" si="9"/>
        <v>1678509.8684210526</v>
      </c>
      <c r="BK25" s="35">
        <f t="shared" si="9"/>
        <v>1678509.8684210526</v>
      </c>
      <c r="BL25" s="35">
        <f t="shared" si="9"/>
        <v>1678509.8684210526</v>
      </c>
      <c r="BM25" s="35">
        <f t="shared" si="9"/>
        <v>1678509.8684210526</v>
      </c>
      <c r="BN25" s="35">
        <f t="shared" si="9"/>
        <v>1678509.8684210526</v>
      </c>
      <c r="BO25" s="35">
        <f t="shared" si="9"/>
        <v>1678509.8684210526</v>
      </c>
      <c r="BP25" s="35">
        <f t="shared" si="9"/>
        <v>1678509.8684210526</v>
      </c>
      <c r="BQ25" s="35">
        <f t="shared" si="9"/>
        <v>1678509.8684210526</v>
      </c>
      <c r="BR25" s="35">
        <f t="shared" si="9"/>
        <v>1678509.8684210526</v>
      </c>
      <c r="BS25" s="35">
        <f t="shared" si="9"/>
        <v>1678509.8684210526</v>
      </c>
      <c r="BT25" s="35">
        <f t="shared" si="9"/>
        <v>1678509.8684210526</v>
      </c>
      <c r="BU25" s="35">
        <f t="shared" si="9"/>
        <v>1678509.8684210526</v>
      </c>
      <c r="BV25" s="35">
        <f t="shared" si="9"/>
        <v>1678509.8684210526</v>
      </c>
      <c r="BW25" s="35">
        <f t="shared" si="9"/>
        <v>1678509.8684210526</v>
      </c>
      <c r="BX25" s="35">
        <f t="shared" si="9"/>
        <v>1678509.8684210526</v>
      </c>
      <c r="BY25" s="35">
        <f t="shared" si="9"/>
        <v>1678509.8684210526</v>
      </c>
      <c r="BZ25" s="35">
        <f t="shared" si="9"/>
        <v>1678509.8684210526</v>
      </c>
      <c r="CA25" s="35">
        <f t="shared" si="9"/>
        <v>1678509.8684210526</v>
      </c>
      <c r="CB25" s="35">
        <f t="shared" si="9"/>
        <v>1678509.8684210526</v>
      </c>
      <c r="CC25" s="35">
        <f t="shared" si="9"/>
        <v>1678509.8684210526</v>
      </c>
      <c r="CD25" s="35">
        <f t="shared" si="9"/>
        <v>1678509.8684210526</v>
      </c>
      <c r="CE25" s="35">
        <f t="shared" si="9"/>
        <v>1678509.8684210526</v>
      </c>
      <c r="CF25" s="35">
        <f t="shared" si="9"/>
        <v>1678509.8684210526</v>
      </c>
      <c r="CG25" s="35">
        <f t="shared" si="9"/>
        <v>1678509.8684210526</v>
      </c>
      <c r="CH25" s="35">
        <f t="shared" si="9"/>
        <v>1678509.8684210526</v>
      </c>
      <c r="CI25" s="35">
        <f t="shared" si="9"/>
        <v>1678509.8684210526</v>
      </c>
      <c r="CJ25" s="35">
        <f t="shared" si="9"/>
        <v>1678509.8684210526</v>
      </c>
      <c r="CK25" s="35">
        <f t="shared" si="9"/>
        <v>1678509.8684210526</v>
      </c>
      <c r="CL25" s="35">
        <f t="shared" si="9"/>
        <v>1678509.8684210526</v>
      </c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1"/>
      <c r="KO25" s="21"/>
      <c r="KP25" s="21"/>
      <c r="KQ25" s="21"/>
      <c r="KR25" s="21"/>
      <c r="KS25" s="21"/>
      <c r="KT25" s="21"/>
      <c r="KU25" s="21"/>
      <c r="KV25" s="21"/>
      <c r="KW25" s="21"/>
      <c r="KX25" s="21"/>
      <c r="KY25" s="21"/>
      <c r="KZ25" s="21"/>
      <c r="LA25" s="21"/>
      <c r="LB25" s="21"/>
      <c r="LC25" s="21"/>
      <c r="LD25" s="21"/>
      <c r="LE25" s="21"/>
      <c r="LF25" s="21"/>
      <c r="LG25" s="21"/>
      <c r="LH25" s="21"/>
      <c r="LI25" s="21"/>
      <c r="LJ25" s="21"/>
      <c r="LK25" s="21"/>
      <c r="LL25" s="21"/>
      <c r="LM25" s="21"/>
      <c r="LN25" s="21"/>
      <c r="LO25" s="21"/>
      <c r="LP25" s="21"/>
      <c r="LQ25" s="21"/>
      <c r="LR25" s="21"/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21"/>
      <c r="MG25" s="21"/>
      <c r="MH25" s="21"/>
      <c r="MI25" s="21"/>
      <c r="MJ25" s="21"/>
      <c r="MK25" s="21"/>
      <c r="ML25" s="21"/>
      <c r="MM25" s="21"/>
      <c r="MN25" s="21"/>
      <c r="MO25" s="21"/>
      <c r="MP25" s="21"/>
      <c r="MQ25" s="21"/>
      <c r="MR25" s="21"/>
      <c r="MS25" s="21"/>
      <c r="MT25" s="21"/>
      <c r="MU25" s="21"/>
      <c r="MV25" s="21"/>
      <c r="MW25" s="21"/>
      <c r="MX25" s="21"/>
      <c r="MY25" s="21"/>
      <c r="MZ25" s="21"/>
      <c r="NA25" s="21"/>
      <c r="NB25" s="21"/>
      <c r="NC25" s="21"/>
      <c r="ND25" s="21"/>
      <c r="NE25" s="21"/>
      <c r="NF25" s="21"/>
      <c r="NG25" s="21"/>
      <c r="NH25" s="21"/>
      <c r="NI25" s="21"/>
      <c r="NJ25" s="21"/>
      <c r="NK25" s="21"/>
      <c r="NL25" s="21"/>
      <c r="NM25" s="21"/>
      <c r="NN25" s="21"/>
      <c r="NO25" s="21"/>
      <c r="NP25" s="21"/>
      <c r="NQ25" s="21"/>
      <c r="NR25" s="21"/>
      <c r="NS25" s="21"/>
      <c r="NT25" s="21"/>
      <c r="NU25" s="21"/>
      <c r="NV25" s="21"/>
      <c r="NW25" s="21"/>
      <c r="NX25" s="21"/>
      <c r="NY25" s="21"/>
      <c r="NZ25" s="21"/>
      <c r="OA25" s="21"/>
      <c r="OB25" s="21"/>
      <c r="OC25" s="21"/>
      <c r="OD25" s="21"/>
      <c r="OE25" s="21"/>
      <c r="OF25" s="21"/>
      <c r="OG25" s="21"/>
      <c r="OH25" s="21"/>
      <c r="OI25" s="21"/>
      <c r="OJ25" s="21"/>
      <c r="OK25" s="21"/>
      <c r="OL25" s="21"/>
      <c r="OM25" s="21"/>
      <c r="ON25" s="21"/>
      <c r="OO25" s="21"/>
      <c r="OP25" s="21"/>
      <c r="OQ25" s="21"/>
      <c r="OR25" s="21"/>
      <c r="OS25" s="21"/>
      <c r="OT25" s="21"/>
      <c r="OU25" s="21"/>
      <c r="OV25" s="21"/>
      <c r="OW25" s="21"/>
      <c r="OX25" s="21"/>
      <c r="OY25" s="21"/>
      <c r="OZ25" s="21"/>
      <c r="PA25" s="21"/>
      <c r="PB25" s="21"/>
      <c r="PC25" s="21"/>
      <c r="PD25" s="21"/>
      <c r="PE25" s="21"/>
      <c r="PF25" s="21"/>
      <c r="PG25" s="21"/>
      <c r="PH25" s="21"/>
      <c r="PI25" s="21"/>
      <c r="PJ25" s="21"/>
      <c r="PK25" s="21"/>
      <c r="PL25" s="21"/>
      <c r="PM25" s="21"/>
      <c r="PN25" s="21"/>
      <c r="PO25" s="21"/>
      <c r="PP25" s="21"/>
      <c r="PQ25" s="21"/>
      <c r="PR25" s="21"/>
      <c r="PS25" s="21"/>
      <c r="PT25" s="21"/>
      <c r="PU25" s="21"/>
      <c r="PV25" s="21"/>
      <c r="PW25" s="21"/>
      <c r="PX25" s="21"/>
      <c r="PY25" s="21"/>
      <c r="PZ25" s="21"/>
      <c r="QA25" s="21"/>
      <c r="QB25" s="21"/>
      <c r="QC25" s="21"/>
      <c r="QD25" s="21"/>
      <c r="QE25" s="21"/>
      <c r="QF25" s="21"/>
      <c r="QG25" s="21"/>
      <c r="QH25" s="21"/>
      <c r="QI25" s="21"/>
      <c r="QJ25" s="21"/>
      <c r="QK25" s="21"/>
      <c r="QL25" s="21"/>
      <c r="QM25" s="21"/>
      <c r="QN25" s="21"/>
      <c r="QO25" s="21"/>
      <c r="QP25" s="21"/>
      <c r="QQ25" s="21"/>
      <c r="QR25" s="21"/>
      <c r="QS25" s="21"/>
      <c r="QT25" s="21"/>
      <c r="QU25" s="21"/>
      <c r="QV25" s="21"/>
      <c r="QW25" s="21"/>
      <c r="QX25" s="21"/>
      <c r="QY25" s="21"/>
      <c r="QZ25" s="21"/>
      <c r="RA25" s="21"/>
      <c r="RB25" s="21"/>
      <c r="RC25" s="21"/>
      <c r="RD25" s="21"/>
      <c r="RE25" s="21"/>
      <c r="RF25" s="21"/>
      <c r="RG25" s="21"/>
      <c r="RH25" s="21"/>
      <c r="RI25" s="21"/>
      <c r="RJ25" s="21"/>
      <c r="RK25" s="21"/>
      <c r="RL25" s="21"/>
      <c r="RM25" s="21"/>
      <c r="RN25" s="21"/>
      <c r="RO25" s="21"/>
      <c r="RP25" s="21"/>
      <c r="RQ25" s="21"/>
      <c r="RR25" s="21"/>
      <c r="RS25" s="21"/>
      <c r="RT25" s="21"/>
      <c r="RU25" s="21"/>
      <c r="RV25" s="21"/>
      <c r="RW25" s="21"/>
      <c r="RX25" s="21"/>
      <c r="RY25" s="21"/>
      <c r="RZ25" s="21"/>
      <c r="SA25" s="21"/>
      <c r="SB25" s="21"/>
      <c r="SC25" s="21"/>
      <c r="SD25" s="21"/>
      <c r="SE25" s="21"/>
      <c r="SF25" s="21"/>
      <c r="SG25" s="21"/>
      <c r="SH25" s="21"/>
      <c r="SI25" s="21"/>
      <c r="SJ25" s="21"/>
      <c r="SK25" s="21"/>
      <c r="SL25" s="21"/>
      <c r="SM25" s="21"/>
      <c r="SN25" s="21"/>
      <c r="SO25" s="21"/>
      <c r="SP25" s="21"/>
      <c r="SQ25" s="21"/>
      <c r="SR25" s="21"/>
      <c r="SS25" s="21"/>
      <c r="ST25" s="21"/>
      <c r="SU25" s="21"/>
      <c r="SV25" s="21"/>
      <c r="SW25" s="21"/>
      <c r="SX25" s="21"/>
      <c r="SY25" s="21"/>
      <c r="SZ25" s="21"/>
      <c r="TA25" s="21"/>
      <c r="TB25" s="21"/>
      <c r="TC25" s="21"/>
      <c r="TD25" s="21"/>
      <c r="TE25" s="21"/>
      <c r="TF25" s="21"/>
      <c r="TG25" s="21"/>
      <c r="TH25" s="21"/>
      <c r="TI25" s="21"/>
      <c r="TJ25" s="21"/>
      <c r="TK25" s="21"/>
      <c r="TL25" s="21"/>
      <c r="TM25" s="21"/>
      <c r="TN25" s="21"/>
      <c r="TO25" s="21"/>
      <c r="TP25" s="21"/>
      <c r="TQ25" s="21"/>
      <c r="TR25" s="21"/>
      <c r="TS25" s="21"/>
      <c r="TT25" s="21"/>
      <c r="TU25" s="21"/>
      <c r="TV25" s="21"/>
      <c r="TW25" s="21"/>
      <c r="TX25" s="21"/>
      <c r="TY25" s="21"/>
      <c r="TZ25" s="21"/>
      <c r="UA25" s="21"/>
      <c r="UB25" s="21"/>
      <c r="UC25" s="21"/>
      <c r="UD25" s="21"/>
      <c r="UE25" s="21"/>
      <c r="UF25" s="21"/>
      <c r="UG25" s="21"/>
      <c r="UH25" s="21"/>
      <c r="UI25" s="21"/>
      <c r="UJ25" s="21"/>
      <c r="UK25" s="21"/>
      <c r="UL25" s="21"/>
      <c r="UM25" s="21"/>
      <c r="UN25" s="21"/>
      <c r="UO25" s="21"/>
      <c r="UP25" s="21"/>
      <c r="UQ25" s="21"/>
      <c r="UR25" s="21"/>
      <c r="US25" s="21"/>
      <c r="UT25" s="21"/>
      <c r="UU25" s="21"/>
      <c r="UV25" s="21"/>
      <c r="UW25" s="21"/>
      <c r="UX25" s="21"/>
      <c r="UY25" s="21"/>
      <c r="UZ25" s="21"/>
      <c r="VA25" s="21"/>
      <c r="VB25" s="21"/>
      <c r="VC25" s="21"/>
      <c r="VD25" s="21"/>
      <c r="VE25" s="21"/>
      <c r="VF25" s="21"/>
      <c r="VG25" s="21"/>
      <c r="VH25" s="21"/>
      <c r="VI25" s="21"/>
      <c r="VJ25" s="21"/>
      <c r="VK25" s="21"/>
      <c r="VL25" s="21"/>
      <c r="VM25" s="21"/>
      <c r="VN25" s="21"/>
      <c r="VO25" s="21"/>
      <c r="VP25" s="21"/>
      <c r="VQ25" s="21"/>
      <c r="VR25" s="21"/>
      <c r="VS25" s="21"/>
      <c r="VT25" s="21"/>
      <c r="VU25" s="21"/>
      <c r="VV25" s="21"/>
      <c r="VW25" s="21"/>
      <c r="VX25" s="21"/>
      <c r="VY25" s="21"/>
      <c r="VZ25" s="21"/>
      <c r="WA25" s="21"/>
      <c r="WB25" s="21"/>
      <c r="WC25" s="21"/>
      <c r="WD25" s="21"/>
      <c r="WE25" s="21"/>
      <c r="WF25" s="21"/>
      <c r="WG25" s="21"/>
      <c r="WH25" s="21"/>
      <c r="WI25" s="21"/>
      <c r="WJ25" s="21"/>
      <c r="WK25" s="21"/>
      <c r="WL25" s="21"/>
      <c r="WM25" s="21"/>
      <c r="WN25" s="21"/>
      <c r="WO25" s="21"/>
      <c r="WP25" s="21"/>
      <c r="WQ25" s="21"/>
      <c r="WR25" s="21"/>
      <c r="WS25" s="21"/>
      <c r="WT25" s="21"/>
      <c r="WU25" s="21"/>
      <c r="WV25" s="21"/>
      <c r="WW25" s="21"/>
      <c r="WX25" s="21"/>
      <c r="WY25" s="21"/>
      <c r="WZ25" s="21"/>
      <c r="XA25" s="21"/>
      <c r="XB25" s="21"/>
      <c r="XC25" s="21"/>
      <c r="XD25" s="21"/>
      <c r="XE25" s="21"/>
      <c r="XF25" s="21"/>
      <c r="XG25" s="21"/>
      <c r="XH25" s="21"/>
      <c r="XI25" s="21"/>
      <c r="XJ25" s="21"/>
      <c r="XK25" s="21"/>
      <c r="XL25" s="21"/>
      <c r="XM25" s="21"/>
      <c r="XN25" s="21"/>
      <c r="XO25" s="21"/>
      <c r="XP25" s="21"/>
      <c r="XQ25" s="21"/>
      <c r="XR25" s="21"/>
      <c r="XS25" s="21"/>
      <c r="XT25" s="21"/>
      <c r="XU25" s="21"/>
      <c r="XV25" s="21"/>
      <c r="XW25" s="21"/>
      <c r="XX25" s="21"/>
      <c r="XY25" s="21"/>
      <c r="XZ25" s="21"/>
      <c r="YA25" s="21"/>
      <c r="YB25" s="21"/>
      <c r="YC25" s="21"/>
      <c r="YD25" s="21"/>
      <c r="YE25" s="21"/>
      <c r="YF25" s="21"/>
      <c r="YG25" s="21"/>
      <c r="YH25" s="21"/>
      <c r="YI25" s="21"/>
      <c r="YJ25" s="21"/>
      <c r="YK25" s="21"/>
      <c r="YL25" s="21"/>
      <c r="YM25" s="21"/>
      <c r="YN25" s="21"/>
      <c r="YO25" s="21"/>
      <c r="YP25" s="21"/>
      <c r="YQ25" s="21"/>
      <c r="YR25" s="21"/>
      <c r="YS25" s="21"/>
      <c r="YT25" s="21"/>
      <c r="YU25" s="21"/>
      <c r="YV25" s="21"/>
      <c r="YW25" s="21"/>
      <c r="YX25" s="21"/>
      <c r="YY25" s="21"/>
      <c r="YZ25" s="21"/>
      <c r="ZA25" s="21"/>
      <c r="ZB25" s="21"/>
      <c r="ZC25" s="21"/>
      <c r="ZD25" s="21"/>
      <c r="ZE25" s="21"/>
      <c r="ZF25" s="21"/>
      <c r="ZG25" s="21"/>
      <c r="ZH25" s="21"/>
      <c r="ZI25" s="21"/>
      <c r="ZJ25" s="21"/>
      <c r="ZK25" s="21"/>
      <c r="ZL25" s="21"/>
      <c r="ZM25" s="21"/>
      <c r="ZN25" s="21"/>
      <c r="ZO25" s="21"/>
      <c r="ZP25" s="21"/>
      <c r="ZQ25" s="21"/>
      <c r="ZR25" s="21"/>
      <c r="ZS25" s="21"/>
      <c r="ZT25" s="21"/>
      <c r="ZU25" s="21"/>
      <c r="ZV25" s="21"/>
      <c r="ZW25" s="21"/>
      <c r="ZX25" s="21"/>
      <c r="ZY25" s="21"/>
      <c r="ZZ25" s="21"/>
      <c r="AAA25" s="21"/>
      <c r="AAB25" s="21"/>
      <c r="AAC25" s="21"/>
      <c r="AAD25" s="21"/>
      <c r="AAE25" s="21"/>
      <c r="AAF25" s="21"/>
      <c r="AAG25" s="21"/>
      <c r="AAH25" s="21"/>
      <c r="AAI25" s="21"/>
      <c r="AAJ25" s="21"/>
      <c r="AAK25" s="21"/>
      <c r="AAL25" s="21"/>
      <c r="AAM25" s="21"/>
      <c r="AAN25" s="21"/>
      <c r="AAO25" s="21"/>
      <c r="AAP25" s="21"/>
      <c r="AAQ25" s="21"/>
      <c r="AAR25" s="21"/>
      <c r="AAS25" s="21"/>
      <c r="AAT25" s="21"/>
      <c r="AAU25" s="21"/>
      <c r="AAV25" s="21"/>
      <c r="AAW25" s="21"/>
      <c r="AAX25" s="21"/>
      <c r="AAY25" s="21"/>
      <c r="AAZ25" s="21"/>
      <c r="ABA25" s="21"/>
      <c r="ABB25" s="21"/>
      <c r="ABC25" s="21"/>
      <c r="ABD25" s="21"/>
      <c r="ABE25" s="21"/>
      <c r="ABF25" s="21"/>
      <c r="ABG25" s="21"/>
      <c r="ABH25" s="21"/>
      <c r="ABI25" s="21"/>
      <c r="ABJ25" s="21"/>
      <c r="ABK25" s="21"/>
      <c r="ABL25" s="21"/>
      <c r="ABM25" s="21"/>
      <c r="ABN25" s="21"/>
      <c r="ABO25" s="21"/>
      <c r="ABP25" s="21"/>
      <c r="ABQ25" s="21"/>
      <c r="ABR25" s="21"/>
      <c r="ABS25" s="21"/>
      <c r="ABT25" s="21"/>
      <c r="ABU25" s="21"/>
      <c r="ABV25" s="21"/>
      <c r="ABW25" s="21"/>
      <c r="ABX25" s="21"/>
      <c r="ABY25" s="21"/>
      <c r="ABZ25" s="21"/>
      <c r="ACA25" s="21"/>
      <c r="ACB25" s="21"/>
      <c r="ACC25" s="21"/>
      <c r="ACD25" s="21"/>
      <c r="ACE25" s="21"/>
      <c r="ACF25" s="21"/>
      <c r="ACG25" s="21"/>
      <c r="ACH25" s="21"/>
      <c r="ACI25" s="21"/>
      <c r="ACJ25" s="21"/>
      <c r="ACK25" s="21"/>
      <c r="ACL25" s="21"/>
      <c r="ACM25" s="21"/>
      <c r="ACN25" s="21"/>
      <c r="ACO25" s="21"/>
      <c r="ACP25" s="21"/>
      <c r="ACQ25" s="21"/>
      <c r="ACR25" s="21"/>
      <c r="ACS25" s="21"/>
      <c r="ACT25" s="21"/>
      <c r="ACU25" s="21"/>
      <c r="ACV25" s="21"/>
      <c r="ACW25" s="21"/>
      <c r="ACX25" s="21"/>
      <c r="ACY25" s="21"/>
      <c r="ACZ25" s="21"/>
      <c r="ADA25" s="21"/>
      <c r="ADB25" s="21"/>
      <c r="ADC25" s="21"/>
      <c r="ADD25" s="21"/>
      <c r="ADE25" s="21"/>
      <c r="ADF25" s="21"/>
      <c r="ADG25" s="21"/>
      <c r="ADH25" s="21"/>
      <c r="ADI25" s="21"/>
      <c r="ADJ25" s="21"/>
      <c r="ADK25" s="21"/>
      <c r="ADL25" s="21"/>
      <c r="ADM25" s="21"/>
      <c r="ADN25" s="21"/>
      <c r="ADO25" s="21"/>
      <c r="ADP25" s="21"/>
      <c r="ADQ25" s="21"/>
      <c r="ADR25" s="21"/>
      <c r="ADS25" s="21"/>
      <c r="ADT25" s="21"/>
      <c r="ADU25" s="21"/>
      <c r="ADV25" s="21"/>
      <c r="ADW25" s="21"/>
      <c r="ADX25" s="21"/>
      <c r="ADY25" s="21"/>
      <c r="ADZ25" s="21"/>
      <c r="AEA25" s="21"/>
      <c r="AEB25" s="21"/>
      <c r="AEC25" s="21"/>
      <c r="AED25" s="21"/>
      <c r="AEE25" s="21"/>
      <c r="AEF25" s="21"/>
      <c r="AEG25" s="21"/>
      <c r="AEH25" s="21"/>
      <c r="AEI25" s="21"/>
      <c r="AEJ25" s="21"/>
      <c r="AEK25" s="21"/>
      <c r="AEL25" s="21"/>
      <c r="AEM25" s="21"/>
      <c r="AEN25" s="21"/>
      <c r="AEO25" s="21"/>
      <c r="AEP25" s="21"/>
      <c r="AEQ25" s="21"/>
      <c r="AER25" s="21"/>
      <c r="AES25" s="21"/>
      <c r="AET25" s="21"/>
      <c r="AEU25" s="21"/>
      <c r="AEV25" s="21"/>
      <c r="AEW25" s="21"/>
      <c r="AEX25" s="21"/>
      <c r="AEY25" s="21"/>
      <c r="AEZ25" s="21"/>
      <c r="AFA25" s="21"/>
      <c r="AFB25" s="21"/>
      <c r="AFC25" s="21"/>
      <c r="AFD25" s="21"/>
      <c r="AFE25" s="21"/>
      <c r="AFF25" s="21"/>
      <c r="AFG25" s="21"/>
      <c r="AFH25" s="21"/>
      <c r="AFI25" s="21"/>
      <c r="AFJ25" s="21"/>
      <c r="AFK25" s="21"/>
      <c r="AFL25" s="21"/>
      <c r="AFM25" s="21"/>
      <c r="AFN25" s="21"/>
      <c r="AFO25" s="21"/>
      <c r="AFP25" s="21"/>
      <c r="AFQ25" s="21"/>
      <c r="AFR25" s="21"/>
      <c r="AFS25" s="21"/>
      <c r="AFT25" s="21"/>
      <c r="AFU25" s="21"/>
      <c r="AFV25" s="21"/>
      <c r="AFW25" s="21"/>
      <c r="AFX25" s="21"/>
      <c r="AFY25" s="21"/>
      <c r="AFZ25" s="21"/>
      <c r="AGA25" s="21"/>
      <c r="AGB25" s="21"/>
      <c r="AGC25" s="21"/>
      <c r="AGD25" s="21"/>
      <c r="AGE25" s="21"/>
      <c r="AGF25" s="21"/>
      <c r="AGG25" s="21"/>
      <c r="AGH25" s="21"/>
      <c r="AGI25" s="21"/>
      <c r="AGJ25" s="21"/>
      <c r="AGK25" s="21"/>
      <c r="AGL25" s="21"/>
      <c r="AGM25" s="21"/>
      <c r="AGN25" s="21"/>
      <c r="AGO25" s="21"/>
      <c r="AGP25" s="21"/>
      <c r="AGQ25" s="21"/>
      <c r="AGR25" s="21"/>
      <c r="AGS25" s="21"/>
    </row>
    <row r="26" spans="1:877" ht="13">
      <c r="A26" s="41"/>
      <c r="B26" s="41"/>
      <c r="C26" s="26"/>
      <c r="D26" s="21"/>
      <c r="E26" s="21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8"/>
      <c r="S26" s="28">
        <f>S20*12</f>
        <v>3240000</v>
      </c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>
        <f>AE20*12</f>
        <v>1500000</v>
      </c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  <c r="KH26" s="21"/>
      <c r="KI26" s="21"/>
      <c r="KJ26" s="21"/>
      <c r="KK26" s="21"/>
      <c r="KL26" s="21"/>
      <c r="KM26" s="21"/>
      <c r="KN26" s="21"/>
      <c r="KO26" s="21"/>
      <c r="KP26" s="21"/>
      <c r="KQ26" s="21"/>
      <c r="KR26" s="21"/>
      <c r="KS26" s="21"/>
      <c r="KT26" s="21"/>
      <c r="KU26" s="21"/>
      <c r="KV26" s="21"/>
      <c r="KW26" s="21"/>
      <c r="KX26" s="21"/>
      <c r="KY26" s="21"/>
      <c r="KZ26" s="21"/>
      <c r="LA26" s="21"/>
      <c r="LB26" s="21"/>
      <c r="LC26" s="21"/>
      <c r="LD26" s="21"/>
      <c r="LE26" s="21"/>
      <c r="LF26" s="21"/>
      <c r="LG26" s="21"/>
      <c r="LH26" s="21"/>
      <c r="LI26" s="21"/>
      <c r="LJ26" s="21"/>
      <c r="LK26" s="21"/>
      <c r="LL26" s="21"/>
      <c r="LM26" s="21"/>
      <c r="LN26" s="21"/>
      <c r="LO26" s="21"/>
      <c r="LP26" s="21"/>
      <c r="LQ26" s="21"/>
      <c r="LR26" s="21"/>
      <c r="LS26" s="21"/>
      <c r="LT26" s="21"/>
      <c r="LU26" s="21"/>
      <c r="LV26" s="21"/>
      <c r="LW26" s="21"/>
      <c r="LX26" s="21"/>
      <c r="LY26" s="21"/>
      <c r="LZ26" s="21"/>
      <c r="MA26" s="21"/>
      <c r="MB26" s="21"/>
      <c r="MC26" s="21"/>
      <c r="MD26" s="21"/>
      <c r="ME26" s="21"/>
      <c r="MF26" s="21"/>
      <c r="MG26" s="21"/>
      <c r="MH26" s="21"/>
      <c r="MI26" s="21"/>
      <c r="MJ26" s="21"/>
      <c r="MK26" s="21"/>
      <c r="ML26" s="21"/>
      <c r="MM26" s="21"/>
      <c r="MN26" s="21"/>
      <c r="MO26" s="21"/>
      <c r="MP26" s="21"/>
      <c r="MQ26" s="21"/>
      <c r="MR26" s="21"/>
      <c r="MS26" s="21"/>
      <c r="MT26" s="21"/>
      <c r="MU26" s="21"/>
      <c r="MV26" s="21"/>
      <c r="MW26" s="21"/>
      <c r="MX26" s="21"/>
      <c r="MY26" s="21"/>
      <c r="MZ26" s="21"/>
      <c r="NA26" s="21"/>
      <c r="NB26" s="21"/>
      <c r="NC26" s="21"/>
      <c r="ND26" s="21"/>
      <c r="NE26" s="21"/>
      <c r="NF26" s="21"/>
      <c r="NG26" s="21"/>
      <c r="NH26" s="21"/>
      <c r="NI26" s="21"/>
      <c r="NJ26" s="21"/>
      <c r="NK26" s="21"/>
      <c r="NL26" s="21"/>
      <c r="NM26" s="21"/>
      <c r="NN26" s="21"/>
      <c r="NO26" s="21"/>
      <c r="NP26" s="21"/>
      <c r="NQ26" s="21"/>
      <c r="NR26" s="21"/>
      <c r="NS26" s="21"/>
      <c r="NT26" s="21"/>
      <c r="NU26" s="21"/>
      <c r="NV26" s="21"/>
      <c r="NW26" s="21"/>
      <c r="NX26" s="21"/>
      <c r="NY26" s="21"/>
      <c r="NZ26" s="21"/>
      <c r="OA26" s="21"/>
      <c r="OB26" s="21"/>
      <c r="OC26" s="21"/>
      <c r="OD26" s="21"/>
      <c r="OE26" s="21"/>
      <c r="OF26" s="21"/>
      <c r="OG26" s="21"/>
      <c r="OH26" s="21"/>
      <c r="OI26" s="21"/>
      <c r="OJ26" s="21"/>
      <c r="OK26" s="21"/>
      <c r="OL26" s="21"/>
      <c r="OM26" s="21"/>
      <c r="ON26" s="21"/>
      <c r="OO26" s="21"/>
      <c r="OP26" s="21"/>
      <c r="OQ26" s="21"/>
      <c r="OR26" s="21"/>
      <c r="OS26" s="21"/>
      <c r="OT26" s="21"/>
      <c r="OU26" s="21"/>
      <c r="OV26" s="21"/>
      <c r="OW26" s="21"/>
      <c r="OX26" s="21"/>
      <c r="OY26" s="21"/>
      <c r="OZ26" s="21"/>
      <c r="PA26" s="21"/>
      <c r="PB26" s="21"/>
      <c r="PC26" s="21"/>
      <c r="PD26" s="21"/>
      <c r="PE26" s="21"/>
      <c r="PF26" s="21"/>
      <c r="PG26" s="21"/>
      <c r="PH26" s="21"/>
      <c r="PI26" s="21"/>
      <c r="PJ26" s="21"/>
      <c r="PK26" s="21"/>
      <c r="PL26" s="21"/>
      <c r="PM26" s="21"/>
      <c r="PN26" s="21"/>
      <c r="PO26" s="21"/>
      <c r="PP26" s="21"/>
      <c r="PQ26" s="21"/>
      <c r="PR26" s="21"/>
      <c r="PS26" s="21"/>
      <c r="PT26" s="21"/>
      <c r="PU26" s="21"/>
      <c r="PV26" s="21"/>
      <c r="PW26" s="21"/>
      <c r="PX26" s="21"/>
      <c r="PY26" s="21"/>
      <c r="PZ26" s="21"/>
      <c r="QA26" s="21"/>
      <c r="QB26" s="21"/>
      <c r="QC26" s="21"/>
      <c r="QD26" s="21"/>
      <c r="QE26" s="21"/>
      <c r="QF26" s="21"/>
      <c r="QG26" s="21"/>
      <c r="QH26" s="21"/>
      <c r="QI26" s="21"/>
      <c r="QJ26" s="21"/>
      <c r="QK26" s="21"/>
      <c r="QL26" s="21"/>
      <c r="QM26" s="21"/>
      <c r="QN26" s="21"/>
      <c r="QO26" s="21"/>
      <c r="QP26" s="21"/>
      <c r="QQ26" s="21"/>
      <c r="QR26" s="21"/>
      <c r="QS26" s="21"/>
      <c r="QT26" s="21"/>
      <c r="QU26" s="21"/>
      <c r="QV26" s="21"/>
      <c r="QW26" s="21"/>
      <c r="QX26" s="21"/>
      <c r="QY26" s="21"/>
      <c r="QZ26" s="21"/>
      <c r="RA26" s="21"/>
      <c r="RB26" s="21"/>
      <c r="RC26" s="21"/>
      <c r="RD26" s="21"/>
      <c r="RE26" s="21"/>
      <c r="RF26" s="21"/>
      <c r="RG26" s="21"/>
      <c r="RH26" s="21"/>
      <c r="RI26" s="21"/>
      <c r="RJ26" s="21"/>
      <c r="RK26" s="21"/>
      <c r="RL26" s="21"/>
      <c r="RM26" s="21"/>
      <c r="RN26" s="21"/>
      <c r="RO26" s="21"/>
      <c r="RP26" s="21"/>
      <c r="RQ26" s="21"/>
      <c r="RR26" s="21"/>
      <c r="RS26" s="21"/>
      <c r="RT26" s="21"/>
      <c r="RU26" s="21"/>
      <c r="RV26" s="21"/>
      <c r="RW26" s="21"/>
      <c r="RX26" s="21"/>
      <c r="RY26" s="21"/>
      <c r="RZ26" s="21"/>
      <c r="SA26" s="21"/>
      <c r="SB26" s="21"/>
      <c r="SC26" s="21"/>
      <c r="SD26" s="21"/>
      <c r="SE26" s="21"/>
      <c r="SF26" s="21"/>
      <c r="SG26" s="21"/>
      <c r="SH26" s="21"/>
      <c r="SI26" s="21"/>
      <c r="SJ26" s="21"/>
      <c r="SK26" s="21"/>
      <c r="SL26" s="21"/>
      <c r="SM26" s="21"/>
      <c r="SN26" s="21"/>
      <c r="SO26" s="21"/>
      <c r="SP26" s="21"/>
      <c r="SQ26" s="21"/>
      <c r="SR26" s="21"/>
      <c r="SS26" s="21"/>
      <c r="ST26" s="21"/>
      <c r="SU26" s="21"/>
      <c r="SV26" s="21"/>
      <c r="SW26" s="21"/>
      <c r="SX26" s="21"/>
      <c r="SY26" s="21"/>
      <c r="SZ26" s="21"/>
      <c r="TA26" s="21"/>
      <c r="TB26" s="21"/>
      <c r="TC26" s="21"/>
      <c r="TD26" s="21"/>
      <c r="TE26" s="21"/>
      <c r="TF26" s="21"/>
      <c r="TG26" s="21"/>
      <c r="TH26" s="21"/>
      <c r="TI26" s="21"/>
      <c r="TJ26" s="21"/>
      <c r="TK26" s="21"/>
      <c r="TL26" s="21"/>
      <c r="TM26" s="21"/>
      <c r="TN26" s="21"/>
      <c r="TO26" s="21"/>
      <c r="TP26" s="21"/>
      <c r="TQ26" s="21"/>
      <c r="TR26" s="21"/>
      <c r="TS26" s="21"/>
      <c r="TT26" s="21"/>
      <c r="TU26" s="21"/>
      <c r="TV26" s="21"/>
      <c r="TW26" s="21"/>
      <c r="TX26" s="21"/>
      <c r="TY26" s="21"/>
      <c r="TZ26" s="21"/>
      <c r="UA26" s="21"/>
      <c r="UB26" s="21"/>
      <c r="UC26" s="21"/>
      <c r="UD26" s="21"/>
      <c r="UE26" s="21"/>
      <c r="UF26" s="21"/>
      <c r="UG26" s="21"/>
      <c r="UH26" s="21"/>
      <c r="UI26" s="21"/>
      <c r="UJ26" s="21"/>
      <c r="UK26" s="21"/>
      <c r="UL26" s="21"/>
      <c r="UM26" s="21"/>
      <c r="UN26" s="21"/>
      <c r="UO26" s="21"/>
      <c r="UP26" s="21"/>
      <c r="UQ26" s="21"/>
      <c r="UR26" s="21"/>
      <c r="US26" s="21"/>
      <c r="UT26" s="21"/>
      <c r="UU26" s="21"/>
      <c r="UV26" s="21"/>
      <c r="UW26" s="21"/>
      <c r="UX26" s="21"/>
      <c r="UY26" s="21"/>
      <c r="UZ26" s="21"/>
      <c r="VA26" s="21"/>
      <c r="VB26" s="21"/>
      <c r="VC26" s="21"/>
      <c r="VD26" s="21"/>
      <c r="VE26" s="21"/>
      <c r="VF26" s="21"/>
      <c r="VG26" s="21"/>
      <c r="VH26" s="21"/>
      <c r="VI26" s="21"/>
      <c r="VJ26" s="21"/>
      <c r="VK26" s="21"/>
      <c r="VL26" s="21"/>
      <c r="VM26" s="21"/>
      <c r="VN26" s="21"/>
      <c r="VO26" s="21"/>
      <c r="VP26" s="21"/>
      <c r="VQ26" s="21"/>
      <c r="VR26" s="21"/>
      <c r="VS26" s="21"/>
      <c r="VT26" s="21"/>
      <c r="VU26" s="21"/>
      <c r="VV26" s="21"/>
      <c r="VW26" s="21"/>
      <c r="VX26" s="21"/>
      <c r="VY26" s="21"/>
      <c r="VZ26" s="21"/>
      <c r="WA26" s="21"/>
      <c r="WB26" s="21"/>
      <c r="WC26" s="21"/>
      <c r="WD26" s="21"/>
      <c r="WE26" s="21"/>
      <c r="WF26" s="21"/>
      <c r="WG26" s="21"/>
      <c r="WH26" s="21"/>
      <c r="WI26" s="21"/>
      <c r="WJ26" s="21"/>
      <c r="WK26" s="21"/>
      <c r="WL26" s="21"/>
      <c r="WM26" s="21"/>
      <c r="WN26" s="21"/>
      <c r="WO26" s="21"/>
      <c r="WP26" s="21"/>
      <c r="WQ26" s="21"/>
      <c r="WR26" s="21"/>
      <c r="WS26" s="21"/>
      <c r="WT26" s="21"/>
      <c r="WU26" s="21"/>
      <c r="WV26" s="21"/>
      <c r="WW26" s="21"/>
      <c r="WX26" s="21"/>
      <c r="WY26" s="21"/>
      <c r="WZ26" s="21"/>
      <c r="XA26" s="21"/>
      <c r="XB26" s="21"/>
      <c r="XC26" s="21"/>
      <c r="XD26" s="21"/>
      <c r="XE26" s="21"/>
      <c r="XF26" s="21"/>
      <c r="XG26" s="21"/>
      <c r="XH26" s="21"/>
      <c r="XI26" s="21"/>
      <c r="XJ26" s="21"/>
      <c r="XK26" s="21"/>
      <c r="XL26" s="21"/>
      <c r="XM26" s="21"/>
      <c r="XN26" s="21"/>
      <c r="XO26" s="21"/>
      <c r="XP26" s="21"/>
      <c r="XQ26" s="21"/>
      <c r="XR26" s="21"/>
      <c r="XS26" s="21"/>
      <c r="XT26" s="21"/>
      <c r="XU26" s="21"/>
      <c r="XV26" s="21"/>
      <c r="XW26" s="21"/>
      <c r="XX26" s="21"/>
      <c r="XY26" s="21"/>
      <c r="XZ26" s="21"/>
      <c r="YA26" s="21"/>
      <c r="YB26" s="21"/>
      <c r="YC26" s="21"/>
      <c r="YD26" s="21"/>
      <c r="YE26" s="21"/>
      <c r="YF26" s="21"/>
      <c r="YG26" s="21"/>
      <c r="YH26" s="21"/>
      <c r="YI26" s="21"/>
      <c r="YJ26" s="21"/>
      <c r="YK26" s="21"/>
      <c r="YL26" s="21"/>
      <c r="YM26" s="21"/>
      <c r="YN26" s="21"/>
      <c r="YO26" s="21"/>
      <c r="YP26" s="21"/>
      <c r="YQ26" s="21"/>
      <c r="YR26" s="21"/>
      <c r="YS26" s="21"/>
      <c r="YT26" s="21"/>
      <c r="YU26" s="21"/>
      <c r="YV26" s="21"/>
      <c r="YW26" s="21"/>
      <c r="YX26" s="21"/>
      <c r="YY26" s="21"/>
      <c r="YZ26" s="21"/>
      <c r="ZA26" s="21"/>
      <c r="ZB26" s="21"/>
      <c r="ZC26" s="21"/>
      <c r="ZD26" s="21"/>
      <c r="ZE26" s="21"/>
      <c r="ZF26" s="21"/>
      <c r="ZG26" s="21"/>
      <c r="ZH26" s="21"/>
      <c r="ZI26" s="21"/>
      <c r="ZJ26" s="21"/>
      <c r="ZK26" s="21"/>
      <c r="ZL26" s="21"/>
      <c r="ZM26" s="21"/>
      <c r="ZN26" s="21"/>
      <c r="ZO26" s="21"/>
      <c r="ZP26" s="21"/>
      <c r="ZQ26" s="21"/>
      <c r="ZR26" s="21"/>
      <c r="ZS26" s="21"/>
      <c r="ZT26" s="21"/>
      <c r="ZU26" s="21"/>
      <c r="ZV26" s="21"/>
      <c r="ZW26" s="21"/>
      <c r="ZX26" s="21"/>
      <c r="ZY26" s="21"/>
      <c r="ZZ26" s="21"/>
      <c r="AAA26" s="21"/>
      <c r="AAB26" s="21"/>
      <c r="AAC26" s="21"/>
      <c r="AAD26" s="21"/>
      <c r="AAE26" s="21"/>
      <c r="AAF26" s="21"/>
      <c r="AAG26" s="21"/>
      <c r="AAH26" s="21"/>
      <c r="AAI26" s="21"/>
      <c r="AAJ26" s="21"/>
      <c r="AAK26" s="21"/>
      <c r="AAL26" s="21"/>
      <c r="AAM26" s="21"/>
      <c r="AAN26" s="21"/>
      <c r="AAO26" s="21"/>
      <c r="AAP26" s="21"/>
      <c r="AAQ26" s="21"/>
      <c r="AAR26" s="21"/>
      <c r="AAS26" s="21"/>
      <c r="AAT26" s="21"/>
      <c r="AAU26" s="21"/>
      <c r="AAV26" s="21"/>
      <c r="AAW26" s="21"/>
      <c r="AAX26" s="21"/>
      <c r="AAY26" s="21"/>
      <c r="AAZ26" s="21"/>
      <c r="ABA26" s="21"/>
      <c r="ABB26" s="21"/>
      <c r="ABC26" s="21"/>
      <c r="ABD26" s="21"/>
      <c r="ABE26" s="21"/>
      <c r="ABF26" s="21"/>
      <c r="ABG26" s="21"/>
      <c r="ABH26" s="21"/>
      <c r="ABI26" s="21"/>
      <c r="ABJ26" s="21"/>
      <c r="ABK26" s="21"/>
      <c r="ABL26" s="21"/>
      <c r="ABM26" s="21"/>
      <c r="ABN26" s="21"/>
      <c r="ABO26" s="21"/>
      <c r="ABP26" s="21"/>
      <c r="ABQ26" s="21"/>
      <c r="ABR26" s="21"/>
      <c r="ABS26" s="21"/>
      <c r="ABT26" s="21"/>
      <c r="ABU26" s="21"/>
      <c r="ABV26" s="21"/>
      <c r="ABW26" s="21"/>
      <c r="ABX26" s="21"/>
      <c r="ABY26" s="21"/>
      <c r="ABZ26" s="21"/>
      <c r="ACA26" s="21"/>
      <c r="ACB26" s="21"/>
      <c r="ACC26" s="21"/>
      <c r="ACD26" s="21"/>
      <c r="ACE26" s="21"/>
      <c r="ACF26" s="21"/>
      <c r="ACG26" s="21"/>
      <c r="ACH26" s="21"/>
      <c r="ACI26" s="21"/>
      <c r="ACJ26" s="21"/>
      <c r="ACK26" s="21"/>
      <c r="ACL26" s="21"/>
      <c r="ACM26" s="21"/>
      <c r="ACN26" s="21"/>
      <c r="ACO26" s="21"/>
      <c r="ACP26" s="21"/>
      <c r="ACQ26" s="21"/>
      <c r="ACR26" s="21"/>
      <c r="ACS26" s="21"/>
      <c r="ACT26" s="21"/>
      <c r="ACU26" s="21"/>
      <c r="ACV26" s="21"/>
      <c r="ACW26" s="21"/>
      <c r="ACX26" s="21"/>
      <c r="ACY26" s="21"/>
      <c r="ACZ26" s="21"/>
      <c r="ADA26" s="21"/>
      <c r="ADB26" s="21"/>
      <c r="ADC26" s="21"/>
      <c r="ADD26" s="21"/>
      <c r="ADE26" s="21"/>
      <c r="ADF26" s="21"/>
      <c r="ADG26" s="21"/>
      <c r="ADH26" s="21"/>
      <c r="ADI26" s="21"/>
      <c r="ADJ26" s="21"/>
      <c r="ADK26" s="21"/>
      <c r="ADL26" s="21"/>
      <c r="ADM26" s="21"/>
      <c r="ADN26" s="21"/>
      <c r="ADO26" s="21"/>
      <c r="ADP26" s="21"/>
      <c r="ADQ26" s="21"/>
      <c r="ADR26" s="21"/>
      <c r="ADS26" s="21"/>
      <c r="ADT26" s="21"/>
      <c r="ADU26" s="21"/>
      <c r="ADV26" s="21"/>
      <c r="ADW26" s="21"/>
      <c r="ADX26" s="21"/>
      <c r="ADY26" s="21"/>
      <c r="ADZ26" s="21"/>
      <c r="AEA26" s="21"/>
      <c r="AEB26" s="21"/>
      <c r="AEC26" s="21"/>
      <c r="AED26" s="21"/>
      <c r="AEE26" s="21"/>
      <c r="AEF26" s="21"/>
      <c r="AEG26" s="21"/>
      <c r="AEH26" s="21"/>
      <c r="AEI26" s="21"/>
      <c r="AEJ26" s="21"/>
      <c r="AEK26" s="21"/>
      <c r="AEL26" s="21"/>
      <c r="AEM26" s="21"/>
      <c r="AEN26" s="21"/>
      <c r="AEO26" s="21"/>
      <c r="AEP26" s="21"/>
      <c r="AEQ26" s="21"/>
      <c r="AER26" s="21"/>
      <c r="AES26" s="21"/>
      <c r="AET26" s="21"/>
      <c r="AEU26" s="21"/>
      <c r="AEV26" s="21"/>
      <c r="AEW26" s="21"/>
      <c r="AEX26" s="21"/>
      <c r="AEY26" s="21"/>
      <c r="AEZ26" s="21"/>
      <c r="AFA26" s="21"/>
      <c r="AFB26" s="21"/>
      <c r="AFC26" s="21"/>
      <c r="AFD26" s="21"/>
      <c r="AFE26" s="21"/>
      <c r="AFF26" s="21"/>
      <c r="AFG26" s="21"/>
      <c r="AFH26" s="21"/>
      <c r="AFI26" s="21"/>
      <c r="AFJ26" s="21"/>
      <c r="AFK26" s="21"/>
      <c r="AFL26" s="21"/>
      <c r="AFM26" s="21"/>
      <c r="AFN26" s="21"/>
      <c r="AFO26" s="21"/>
      <c r="AFP26" s="21"/>
      <c r="AFQ26" s="21"/>
      <c r="AFR26" s="21"/>
      <c r="AFS26" s="21"/>
      <c r="AFT26" s="21"/>
      <c r="AFU26" s="21"/>
      <c r="AFV26" s="21"/>
      <c r="AFW26" s="21"/>
      <c r="AFX26" s="21"/>
      <c r="AFY26" s="21"/>
      <c r="AFZ26" s="21"/>
      <c r="AGA26" s="21"/>
      <c r="AGB26" s="21"/>
      <c r="AGC26" s="21"/>
      <c r="AGD26" s="21"/>
      <c r="AGE26" s="21"/>
      <c r="AGF26" s="21"/>
      <c r="AGG26" s="21"/>
      <c r="AGH26" s="21"/>
      <c r="AGI26" s="21"/>
      <c r="AGJ26" s="21"/>
      <c r="AGK26" s="21"/>
      <c r="AGL26" s="21"/>
      <c r="AGM26" s="21"/>
      <c r="AGN26" s="21"/>
      <c r="AGO26" s="21"/>
      <c r="AGP26" s="21"/>
      <c r="AGQ26" s="21"/>
      <c r="AGR26" s="21"/>
      <c r="AGS26" s="21"/>
    </row>
    <row r="27" spans="1:877" ht="15.75" customHeight="1">
      <c r="A27" s="36"/>
      <c r="B27" s="37" t="s">
        <v>29</v>
      </c>
      <c r="C27" s="38"/>
      <c r="D27" s="39"/>
      <c r="E27" s="39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>
        <f>S20*12+S12*12</f>
        <v>4240000</v>
      </c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  <c r="IU27" s="40"/>
      <c r="IV27" s="40"/>
      <c r="IW27" s="40"/>
      <c r="IX27" s="40"/>
      <c r="IY27" s="40"/>
      <c r="IZ27" s="40"/>
      <c r="JA27" s="40"/>
      <c r="JB27" s="40"/>
      <c r="JC27" s="40"/>
      <c r="JD27" s="40"/>
      <c r="JE27" s="40"/>
      <c r="JF27" s="40"/>
      <c r="JG27" s="40"/>
      <c r="JH27" s="40"/>
      <c r="JI27" s="40"/>
      <c r="JJ27" s="40"/>
      <c r="JK27" s="40"/>
      <c r="JL27" s="40"/>
      <c r="JM27" s="40"/>
      <c r="JN27" s="40"/>
      <c r="JO27" s="40"/>
      <c r="JP27" s="40"/>
      <c r="JQ27" s="40"/>
      <c r="JR27" s="40"/>
      <c r="JS27" s="40"/>
      <c r="JT27" s="40"/>
      <c r="JU27" s="40"/>
      <c r="JV27" s="40"/>
      <c r="JW27" s="40"/>
      <c r="JX27" s="40"/>
      <c r="JY27" s="40"/>
      <c r="JZ27" s="40"/>
      <c r="KA27" s="40"/>
      <c r="KB27" s="40"/>
      <c r="KC27" s="40"/>
      <c r="KD27" s="40"/>
      <c r="KE27" s="40"/>
      <c r="KF27" s="40"/>
      <c r="KG27" s="40"/>
      <c r="KH27" s="40"/>
      <c r="KI27" s="40"/>
      <c r="KJ27" s="40"/>
      <c r="KK27" s="40"/>
      <c r="KL27" s="40"/>
      <c r="KM27" s="40"/>
      <c r="KN27" s="40"/>
      <c r="KO27" s="40"/>
      <c r="KP27" s="40"/>
      <c r="KQ27" s="40"/>
      <c r="KR27" s="40"/>
      <c r="KS27" s="40"/>
      <c r="KT27" s="40"/>
      <c r="KU27" s="40"/>
      <c r="KV27" s="40"/>
      <c r="KW27" s="40"/>
      <c r="KX27" s="40"/>
      <c r="KY27" s="40"/>
      <c r="KZ27" s="40"/>
      <c r="LA27" s="40"/>
      <c r="LB27" s="40"/>
      <c r="LC27" s="40"/>
      <c r="LD27" s="40"/>
      <c r="LE27" s="40"/>
      <c r="LF27" s="40"/>
      <c r="LG27" s="40"/>
      <c r="LH27" s="40"/>
      <c r="LI27" s="40"/>
      <c r="LJ27" s="40"/>
      <c r="LK27" s="40"/>
      <c r="LL27" s="40"/>
      <c r="LM27" s="40"/>
      <c r="LN27" s="40"/>
      <c r="LO27" s="40"/>
      <c r="LP27" s="40"/>
      <c r="LQ27" s="40"/>
      <c r="LR27" s="40"/>
      <c r="LS27" s="40"/>
      <c r="LT27" s="40"/>
      <c r="LU27" s="40"/>
      <c r="LV27" s="40"/>
      <c r="LW27" s="40"/>
      <c r="LX27" s="40"/>
      <c r="LY27" s="40"/>
      <c r="LZ27" s="40"/>
      <c r="MA27" s="40"/>
      <c r="MB27" s="40"/>
      <c r="MC27" s="40"/>
      <c r="MD27" s="40"/>
      <c r="ME27" s="40"/>
      <c r="MF27" s="40"/>
      <c r="MG27" s="40"/>
      <c r="MH27" s="40"/>
      <c r="MI27" s="40"/>
      <c r="MJ27" s="40"/>
      <c r="MK27" s="40"/>
      <c r="ML27" s="40"/>
      <c r="MM27" s="40"/>
      <c r="MN27" s="40"/>
      <c r="MO27" s="40"/>
      <c r="MP27" s="40"/>
      <c r="MQ27" s="40"/>
      <c r="MR27" s="40"/>
      <c r="MS27" s="40"/>
      <c r="MT27" s="40"/>
      <c r="MU27" s="40"/>
      <c r="MV27" s="40"/>
      <c r="MW27" s="40"/>
      <c r="MX27" s="40"/>
      <c r="MY27" s="40"/>
      <c r="MZ27" s="40"/>
      <c r="NA27" s="40"/>
      <c r="NB27" s="40"/>
      <c r="NC27" s="40"/>
      <c r="ND27" s="40"/>
      <c r="NE27" s="40"/>
      <c r="NF27" s="40"/>
      <c r="NG27" s="40"/>
      <c r="NH27" s="40"/>
      <c r="NI27" s="40"/>
      <c r="NJ27" s="40"/>
      <c r="NK27" s="40"/>
      <c r="NL27" s="40"/>
      <c r="NM27" s="40"/>
      <c r="NN27" s="40"/>
      <c r="NO27" s="40"/>
      <c r="NP27" s="40"/>
      <c r="NQ27" s="40"/>
      <c r="NR27" s="40"/>
      <c r="NS27" s="40"/>
      <c r="NT27" s="40"/>
      <c r="NU27" s="40"/>
      <c r="NV27" s="40"/>
      <c r="NW27" s="40"/>
      <c r="NX27" s="40"/>
      <c r="NY27" s="40"/>
      <c r="NZ27" s="40"/>
      <c r="OA27" s="40"/>
      <c r="OB27" s="40"/>
      <c r="OC27" s="40"/>
      <c r="OD27" s="40"/>
      <c r="OE27" s="40"/>
      <c r="OF27" s="40"/>
      <c r="OG27" s="40"/>
      <c r="OH27" s="40"/>
      <c r="OI27" s="40"/>
      <c r="OJ27" s="40"/>
      <c r="OK27" s="40"/>
      <c r="OL27" s="40"/>
      <c r="OM27" s="40"/>
      <c r="ON27" s="40"/>
      <c r="OO27" s="40"/>
      <c r="OP27" s="40"/>
      <c r="OQ27" s="40"/>
      <c r="OR27" s="40"/>
      <c r="OS27" s="40"/>
      <c r="OT27" s="40"/>
      <c r="OU27" s="40"/>
      <c r="OV27" s="40"/>
      <c r="OW27" s="40"/>
      <c r="OX27" s="40"/>
      <c r="OY27" s="40"/>
      <c r="OZ27" s="40"/>
      <c r="PA27" s="40"/>
      <c r="PB27" s="40"/>
      <c r="PC27" s="40"/>
      <c r="PD27" s="40"/>
      <c r="PE27" s="40"/>
      <c r="PF27" s="40"/>
      <c r="PG27" s="40"/>
      <c r="PH27" s="40"/>
      <c r="PI27" s="40"/>
      <c r="PJ27" s="40"/>
      <c r="PK27" s="40"/>
      <c r="PL27" s="40"/>
      <c r="PM27" s="40"/>
      <c r="PN27" s="40"/>
      <c r="PO27" s="40"/>
      <c r="PP27" s="40"/>
      <c r="PQ27" s="40"/>
      <c r="PR27" s="40"/>
      <c r="PS27" s="40"/>
      <c r="PT27" s="40"/>
      <c r="PU27" s="40"/>
      <c r="PV27" s="40"/>
      <c r="PW27" s="40"/>
      <c r="PX27" s="40"/>
      <c r="PY27" s="40"/>
      <c r="PZ27" s="40"/>
      <c r="QA27" s="40"/>
      <c r="QB27" s="40"/>
      <c r="QC27" s="40"/>
      <c r="QD27" s="40"/>
      <c r="QE27" s="40"/>
      <c r="QF27" s="40"/>
      <c r="QG27" s="40"/>
      <c r="QH27" s="40"/>
      <c r="QI27" s="40"/>
      <c r="QJ27" s="40"/>
      <c r="QK27" s="40"/>
      <c r="QL27" s="40"/>
      <c r="QM27" s="40"/>
      <c r="QN27" s="40"/>
      <c r="QO27" s="40"/>
      <c r="QP27" s="40"/>
      <c r="QQ27" s="40"/>
      <c r="QR27" s="40"/>
      <c r="QS27" s="40"/>
      <c r="QT27" s="40"/>
      <c r="QU27" s="40"/>
      <c r="QV27" s="40"/>
      <c r="QW27" s="40"/>
      <c r="QX27" s="40"/>
      <c r="QY27" s="40"/>
      <c r="QZ27" s="40"/>
      <c r="RA27" s="40"/>
      <c r="RB27" s="40"/>
      <c r="RC27" s="40"/>
      <c r="RD27" s="40"/>
      <c r="RE27" s="40"/>
      <c r="RF27" s="40"/>
      <c r="RG27" s="40"/>
      <c r="RH27" s="40"/>
      <c r="RI27" s="40"/>
      <c r="RJ27" s="40"/>
      <c r="RK27" s="40"/>
      <c r="RL27" s="40"/>
      <c r="RM27" s="40"/>
      <c r="RN27" s="40"/>
      <c r="RO27" s="40"/>
      <c r="RP27" s="40"/>
      <c r="RQ27" s="40"/>
      <c r="RR27" s="40"/>
      <c r="RS27" s="40"/>
      <c r="RT27" s="40"/>
      <c r="RU27" s="40"/>
      <c r="RV27" s="40"/>
      <c r="RW27" s="40"/>
      <c r="RX27" s="40"/>
      <c r="RY27" s="40"/>
      <c r="RZ27" s="40"/>
      <c r="SA27" s="40"/>
      <c r="SB27" s="40"/>
      <c r="SC27" s="40"/>
      <c r="SD27" s="40"/>
      <c r="SE27" s="40"/>
      <c r="SF27" s="40"/>
      <c r="SG27" s="40"/>
      <c r="SH27" s="40"/>
      <c r="SI27" s="40"/>
      <c r="SJ27" s="40"/>
      <c r="SK27" s="40"/>
      <c r="SL27" s="40"/>
      <c r="SM27" s="40"/>
      <c r="SN27" s="40"/>
      <c r="SO27" s="40"/>
      <c r="SP27" s="40"/>
      <c r="SQ27" s="40"/>
      <c r="SR27" s="40"/>
      <c r="SS27" s="40"/>
      <c r="ST27" s="40"/>
      <c r="SU27" s="40"/>
      <c r="SV27" s="40"/>
      <c r="SW27" s="40"/>
      <c r="SX27" s="40"/>
      <c r="SY27" s="40"/>
      <c r="SZ27" s="40"/>
      <c r="TA27" s="40"/>
      <c r="TB27" s="40"/>
      <c r="TC27" s="40"/>
      <c r="TD27" s="40"/>
      <c r="TE27" s="40"/>
      <c r="TF27" s="40"/>
      <c r="TG27" s="40"/>
      <c r="TH27" s="40"/>
      <c r="TI27" s="40"/>
      <c r="TJ27" s="40"/>
      <c r="TK27" s="40"/>
      <c r="TL27" s="40"/>
      <c r="TM27" s="40"/>
      <c r="TN27" s="40"/>
      <c r="TO27" s="40"/>
      <c r="TP27" s="40"/>
      <c r="TQ27" s="40"/>
      <c r="TR27" s="40"/>
      <c r="TS27" s="40"/>
      <c r="TT27" s="40"/>
      <c r="TU27" s="40"/>
      <c r="TV27" s="40"/>
      <c r="TW27" s="40"/>
      <c r="TX27" s="40"/>
      <c r="TY27" s="40"/>
      <c r="TZ27" s="40"/>
      <c r="UA27" s="40"/>
      <c r="UB27" s="40"/>
      <c r="UC27" s="40"/>
      <c r="UD27" s="40"/>
      <c r="UE27" s="40"/>
      <c r="UF27" s="40"/>
      <c r="UG27" s="40"/>
      <c r="UH27" s="40"/>
      <c r="UI27" s="40"/>
      <c r="UJ27" s="40"/>
      <c r="UK27" s="40"/>
      <c r="UL27" s="40"/>
      <c r="UM27" s="40"/>
      <c r="UN27" s="40"/>
      <c r="UO27" s="40"/>
      <c r="UP27" s="40"/>
      <c r="UQ27" s="40"/>
      <c r="UR27" s="40"/>
      <c r="US27" s="40"/>
      <c r="UT27" s="40"/>
      <c r="UU27" s="40"/>
      <c r="UV27" s="40"/>
      <c r="UW27" s="40"/>
      <c r="UX27" s="40"/>
      <c r="UY27" s="40"/>
      <c r="UZ27" s="40"/>
      <c r="VA27" s="40"/>
      <c r="VB27" s="40"/>
      <c r="VC27" s="40"/>
      <c r="VD27" s="40"/>
      <c r="VE27" s="40"/>
      <c r="VF27" s="40"/>
      <c r="VG27" s="40"/>
      <c r="VH27" s="40"/>
      <c r="VI27" s="40"/>
      <c r="VJ27" s="40"/>
      <c r="VK27" s="40"/>
      <c r="VL27" s="40"/>
      <c r="VM27" s="40"/>
      <c r="VN27" s="40"/>
      <c r="VO27" s="40"/>
      <c r="VP27" s="40"/>
      <c r="VQ27" s="40"/>
      <c r="VR27" s="40"/>
      <c r="VS27" s="40"/>
      <c r="VT27" s="40"/>
      <c r="VU27" s="40"/>
      <c r="VV27" s="40"/>
      <c r="VW27" s="40"/>
      <c r="VX27" s="40"/>
      <c r="VY27" s="40"/>
      <c r="VZ27" s="40"/>
      <c r="WA27" s="40"/>
      <c r="WB27" s="40"/>
      <c r="WC27" s="40"/>
      <c r="WD27" s="40"/>
      <c r="WE27" s="40"/>
      <c r="WF27" s="40"/>
      <c r="WG27" s="40"/>
      <c r="WH27" s="40"/>
      <c r="WI27" s="40"/>
      <c r="WJ27" s="40"/>
      <c r="WK27" s="40"/>
      <c r="WL27" s="40"/>
      <c r="WM27" s="40"/>
      <c r="WN27" s="40"/>
      <c r="WO27" s="40"/>
      <c r="WP27" s="40"/>
      <c r="WQ27" s="40"/>
      <c r="WR27" s="40"/>
      <c r="WS27" s="40"/>
      <c r="WT27" s="40"/>
      <c r="WU27" s="40"/>
      <c r="WV27" s="40"/>
      <c r="WW27" s="40"/>
      <c r="WX27" s="40"/>
      <c r="WY27" s="40"/>
      <c r="WZ27" s="40"/>
      <c r="XA27" s="40"/>
      <c r="XB27" s="40"/>
      <c r="XC27" s="40"/>
      <c r="XD27" s="40"/>
      <c r="XE27" s="40"/>
      <c r="XF27" s="40"/>
      <c r="XG27" s="40"/>
      <c r="XH27" s="40"/>
      <c r="XI27" s="40"/>
      <c r="XJ27" s="40"/>
      <c r="XK27" s="40"/>
      <c r="XL27" s="40"/>
      <c r="XM27" s="40"/>
      <c r="XN27" s="40"/>
      <c r="XO27" s="40"/>
      <c r="XP27" s="40"/>
      <c r="XQ27" s="40"/>
      <c r="XR27" s="40"/>
      <c r="XS27" s="40"/>
      <c r="XT27" s="40"/>
      <c r="XU27" s="40"/>
      <c r="XV27" s="40"/>
      <c r="XW27" s="40"/>
      <c r="XX27" s="40"/>
      <c r="XY27" s="40"/>
      <c r="XZ27" s="40"/>
      <c r="YA27" s="40"/>
      <c r="YB27" s="40"/>
      <c r="YC27" s="40"/>
      <c r="YD27" s="40"/>
      <c r="YE27" s="40"/>
      <c r="YF27" s="40"/>
      <c r="YG27" s="40"/>
      <c r="YH27" s="40"/>
      <c r="YI27" s="40"/>
      <c r="YJ27" s="40"/>
      <c r="YK27" s="40"/>
      <c r="YL27" s="40"/>
      <c r="YM27" s="40"/>
      <c r="YN27" s="40"/>
      <c r="YO27" s="40"/>
      <c r="YP27" s="40"/>
      <c r="YQ27" s="40"/>
      <c r="YR27" s="40"/>
      <c r="YS27" s="40"/>
      <c r="YT27" s="40"/>
      <c r="YU27" s="40"/>
      <c r="YV27" s="40"/>
      <c r="YW27" s="40"/>
      <c r="YX27" s="40"/>
      <c r="YY27" s="40"/>
      <c r="YZ27" s="40"/>
      <c r="ZA27" s="40"/>
      <c r="ZB27" s="40"/>
      <c r="ZC27" s="40"/>
      <c r="ZD27" s="40"/>
      <c r="ZE27" s="40"/>
      <c r="ZF27" s="40"/>
      <c r="ZG27" s="40"/>
      <c r="ZH27" s="40"/>
      <c r="ZI27" s="40"/>
      <c r="ZJ27" s="40"/>
      <c r="ZK27" s="40"/>
      <c r="ZL27" s="40"/>
      <c r="ZM27" s="40"/>
      <c r="ZN27" s="40"/>
      <c r="ZO27" s="40"/>
      <c r="ZP27" s="40"/>
      <c r="ZQ27" s="40"/>
      <c r="ZR27" s="40"/>
      <c r="ZS27" s="40"/>
      <c r="ZT27" s="40"/>
      <c r="ZU27" s="40"/>
      <c r="ZV27" s="40"/>
      <c r="ZW27" s="40"/>
      <c r="ZX27" s="40"/>
      <c r="ZY27" s="40"/>
      <c r="ZZ27" s="40"/>
      <c r="AAA27" s="40"/>
      <c r="AAB27" s="40"/>
      <c r="AAC27" s="40"/>
      <c r="AAD27" s="40"/>
      <c r="AAE27" s="40"/>
      <c r="AAF27" s="40"/>
      <c r="AAG27" s="40"/>
      <c r="AAH27" s="40"/>
      <c r="AAI27" s="40"/>
      <c r="AAJ27" s="40"/>
      <c r="AAK27" s="40"/>
      <c r="AAL27" s="40"/>
      <c r="AAM27" s="40"/>
      <c r="AAN27" s="40"/>
      <c r="AAO27" s="40"/>
      <c r="AAP27" s="40"/>
      <c r="AAQ27" s="40"/>
      <c r="AAR27" s="40"/>
      <c r="AAS27" s="40"/>
      <c r="AAT27" s="40"/>
      <c r="AAU27" s="40"/>
      <c r="AAV27" s="40"/>
      <c r="AAW27" s="40"/>
      <c r="AAX27" s="40"/>
      <c r="AAY27" s="40"/>
      <c r="AAZ27" s="40"/>
      <c r="ABA27" s="40"/>
      <c r="ABB27" s="40"/>
      <c r="ABC27" s="40"/>
      <c r="ABD27" s="40"/>
      <c r="ABE27" s="40"/>
      <c r="ABF27" s="40"/>
      <c r="ABG27" s="40"/>
      <c r="ABH27" s="40"/>
      <c r="ABI27" s="40"/>
      <c r="ABJ27" s="40"/>
      <c r="ABK27" s="40"/>
      <c r="ABL27" s="40"/>
      <c r="ABM27" s="40"/>
      <c r="ABN27" s="40"/>
      <c r="ABO27" s="40"/>
      <c r="ABP27" s="40"/>
      <c r="ABQ27" s="40"/>
      <c r="ABR27" s="40"/>
      <c r="ABS27" s="40"/>
      <c r="ABT27" s="40"/>
      <c r="ABU27" s="40"/>
      <c r="ABV27" s="40"/>
      <c r="ABW27" s="40"/>
      <c r="ABX27" s="40"/>
      <c r="ABY27" s="40"/>
      <c r="ABZ27" s="40"/>
      <c r="ACA27" s="40"/>
      <c r="ACB27" s="40"/>
      <c r="ACC27" s="40"/>
      <c r="ACD27" s="40"/>
      <c r="ACE27" s="40"/>
      <c r="ACF27" s="40"/>
      <c r="ACG27" s="40"/>
      <c r="ACH27" s="40"/>
      <c r="ACI27" s="40"/>
      <c r="ACJ27" s="40"/>
      <c r="ACK27" s="40"/>
      <c r="ACL27" s="40"/>
      <c r="ACM27" s="40"/>
      <c r="ACN27" s="40"/>
      <c r="ACO27" s="40"/>
      <c r="ACP27" s="40"/>
      <c r="ACQ27" s="40"/>
      <c r="ACR27" s="40"/>
      <c r="ACS27" s="40"/>
      <c r="ACT27" s="40"/>
      <c r="ACU27" s="40"/>
      <c r="ACV27" s="40"/>
      <c r="ACW27" s="40"/>
      <c r="ACX27" s="40"/>
      <c r="ACY27" s="40"/>
      <c r="ACZ27" s="40"/>
      <c r="ADA27" s="40"/>
      <c r="ADB27" s="40"/>
      <c r="ADC27" s="40"/>
      <c r="ADD27" s="40"/>
      <c r="ADE27" s="40"/>
      <c r="ADF27" s="40"/>
      <c r="ADG27" s="40"/>
      <c r="ADH27" s="40"/>
      <c r="ADI27" s="40"/>
      <c r="ADJ27" s="40"/>
      <c r="ADK27" s="40"/>
      <c r="ADL27" s="40"/>
      <c r="ADM27" s="40"/>
      <c r="ADN27" s="40"/>
      <c r="ADO27" s="40"/>
      <c r="ADP27" s="40"/>
      <c r="ADQ27" s="40"/>
      <c r="ADR27" s="40"/>
      <c r="ADS27" s="40"/>
      <c r="ADT27" s="40"/>
      <c r="ADU27" s="40"/>
      <c r="ADV27" s="40"/>
      <c r="ADW27" s="40"/>
      <c r="ADX27" s="40"/>
      <c r="ADY27" s="40"/>
      <c r="ADZ27" s="40"/>
      <c r="AEA27" s="40"/>
      <c r="AEB27" s="40"/>
      <c r="AEC27" s="40"/>
      <c r="AED27" s="40"/>
      <c r="AEE27" s="40"/>
      <c r="AEF27" s="40"/>
      <c r="AEG27" s="40"/>
      <c r="AEH27" s="40"/>
      <c r="AEI27" s="40"/>
      <c r="AEJ27" s="40"/>
      <c r="AEK27" s="40"/>
      <c r="AEL27" s="40"/>
      <c r="AEM27" s="40"/>
      <c r="AEN27" s="40"/>
      <c r="AEO27" s="40"/>
      <c r="AEP27" s="40"/>
      <c r="AEQ27" s="40"/>
      <c r="AER27" s="40"/>
      <c r="AES27" s="40"/>
      <c r="AET27" s="40"/>
      <c r="AEU27" s="40"/>
      <c r="AEV27" s="40"/>
      <c r="AEW27" s="40"/>
      <c r="AEX27" s="40"/>
      <c r="AEY27" s="40"/>
      <c r="AEZ27" s="40"/>
      <c r="AFA27" s="40"/>
      <c r="AFB27" s="40"/>
      <c r="AFC27" s="40"/>
      <c r="AFD27" s="40"/>
      <c r="AFE27" s="40"/>
      <c r="AFF27" s="40"/>
      <c r="AFG27" s="40"/>
      <c r="AFH27" s="40"/>
      <c r="AFI27" s="40"/>
      <c r="AFJ27" s="40"/>
      <c r="AFK27" s="40"/>
      <c r="AFL27" s="40"/>
      <c r="AFM27" s="40"/>
      <c r="AFN27" s="40"/>
      <c r="AFO27" s="40"/>
      <c r="AFP27" s="40"/>
      <c r="AFQ27" s="40"/>
      <c r="AFR27" s="40"/>
      <c r="AFS27" s="40"/>
      <c r="AFT27" s="40"/>
      <c r="AFU27" s="40"/>
      <c r="AFV27" s="40"/>
      <c r="AFW27" s="40"/>
      <c r="AFX27" s="40"/>
      <c r="AFY27" s="40"/>
      <c r="AFZ27" s="40"/>
      <c r="AGA27" s="40"/>
      <c r="AGB27" s="40"/>
      <c r="AGC27" s="40"/>
      <c r="AGD27" s="40"/>
      <c r="AGE27" s="40"/>
      <c r="AGF27" s="40"/>
      <c r="AGG27" s="40"/>
      <c r="AGH27" s="40"/>
      <c r="AGI27" s="40"/>
      <c r="AGJ27" s="40"/>
      <c r="AGK27" s="40"/>
      <c r="AGL27" s="40"/>
      <c r="AGM27" s="40"/>
      <c r="AGN27" s="40"/>
      <c r="AGO27" s="40"/>
      <c r="AGP27" s="40"/>
      <c r="AGQ27" s="40"/>
      <c r="AGR27" s="40"/>
      <c r="AGS27" s="40"/>
    </row>
    <row r="28" spans="1:877" ht="13">
      <c r="A28" s="41"/>
      <c r="B28" s="42" t="s">
        <v>21</v>
      </c>
      <c r="C28" s="43" t="s">
        <v>22</v>
      </c>
      <c r="D28" s="40"/>
      <c r="E28" s="40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>
        <f>'Project Overview'!$C$12/12</f>
        <v>270000</v>
      </c>
      <c r="AF28" s="28">
        <f>'Project Overview'!$C$12/12</f>
        <v>270000</v>
      </c>
      <c r="AG28" s="28">
        <f>'Project Overview'!$C$12/12</f>
        <v>270000</v>
      </c>
      <c r="AH28" s="28">
        <f>'Project Overview'!$C$12/12</f>
        <v>270000</v>
      </c>
      <c r="AI28" s="28">
        <f>'Project Overview'!$C$12/12</f>
        <v>270000</v>
      </c>
      <c r="AJ28" s="28">
        <f>'Project Overview'!$C$12/12</f>
        <v>270000</v>
      </c>
      <c r="AK28" s="28">
        <f>'Project Overview'!$C$12/12</f>
        <v>270000</v>
      </c>
      <c r="AL28" s="28">
        <f>'Project Overview'!$C$12/12</f>
        <v>270000</v>
      </c>
      <c r="AM28" s="28">
        <f>'Project Overview'!$C$12/12</f>
        <v>270000</v>
      </c>
      <c r="AN28" s="28">
        <f>'Project Overview'!$C$12/12</f>
        <v>270000</v>
      </c>
      <c r="AO28" s="28">
        <f>'Project Overview'!$C$12/12</f>
        <v>270000</v>
      </c>
      <c r="AP28" s="28">
        <f>'Project Overview'!$C$12/12</f>
        <v>270000</v>
      </c>
      <c r="AQ28" s="28">
        <f>'Project Overview'!$D$12/12</f>
        <v>125000</v>
      </c>
      <c r="AR28" s="28">
        <f>'Project Overview'!$D$12/12</f>
        <v>125000</v>
      </c>
      <c r="AS28" s="28">
        <f>'Project Overview'!$D$12/12</f>
        <v>125000</v>
      </c>
      <c r="AT28" s="28">
        <f>'Project Overview'!$D$12/12</f>
        <v>125000</v>
      </c>
      <c r="AU28" s="28">
        <f>'Project Overview'!$D$12/12</f>
        <v>125000</v>
      </c>
      <c r="AV28" s="28">
        <f>'Project Overview'!$D$12/12</f>
        <v>125000</v>
      </c>
      <c r="AW28" s="28">
        <f>'Project Overview'!$D$12/12</f>
        <v>125000</v>
      </c>
      <c r="AX28" s="28">
        <f>'Project Overview'!$D$12/12</f>
        <v>125000</v>
      </c>
      <c r="AY28" s="28">
        <f>'Project Overview'!$D$12/12</f>
        <v>125000</v>
      </c>
      <c r="AZ28" s="28">
        <f>'Project Overview'!$D$12/12</f>
        <v>125000</v>
      </c>
      <c r="BA28" s="28">
        <f>'Project Overview'!$D$12/12</f>
        <v>125000</v>
      </c>
      <c r="BB28" s="28">
        <f>'Project Overview'!$D$12/12</f>
        <v>125000</v>
      </c>
      <c r="BC28" s="28">
        <f>'Project Overview'!$E$12/12</f>
        <v>0</v>
      </c>
      <c r="BD28" s="28">
        <f>'Project Overview'!$E$12/12</f>
        <v>0</v>
      </c>
      <c r="BE28" s="28">
        <f>'Project Overview'!$E$12/12</f>
        <v>0</v>
      </c>
      <c r="BF28" s="28">
        <f>'Project Overview'!$E$12/12</f>
        <v>0</v>
      </c>
      <c r="BG28" s="28">
        <f>'Project Overview'!$E$12/12</f>
        <v>0</v>
      </c>
      <c r="BH28" s="28">
        <f>'Project Overview'!$E$12/12</f>
        <v>0</v>
      </c>
      <c r="BI28" s="28">
        <f>'Project Overview'!$E$12/12</f>
        <v>0</v>
      </c>
      <c r="BJ28" s="28">
        <f>'Project Overview'!$E$12/12</f>
        <v>0</v>
      </c>
      <c r="BK28" s="28">
        <f>'Project Overview'!$E$12/12</f>
        <v>0</v>
      </c>
      <c r="BL28" s="28">
        <f>'Project Overview'!$E$12/12</f>
        <v>0</v>
      </c>
      <c r="BM28" s="28">
        <f>'Project Overview'!$E$12/12</f>
        <v>0</v>
      </c>
      <c r="BN28" s="28">
        <f>'Project Overview'!$E$12/12</f>
        <v>0</v>
      </c>
      <c r="BO28" s="28">
        <f>'Project Overview'!$F$12/12</f>
        <v>0</v>
      </c>
      <c r="BP28" s="28">
        <f>'Project Overview'!$F$12/12</f>
        <v>0</v>
      </c>
      <c r="BQ28" s="28">
        <f>'Project Overview'!$F$12/12</f>
        <v>0</v>
      </c>
      <c r="BR28" s="28">
        <f>'Project Overview'!$F$12/12</f>
        <v>0</v>
      </c>
      <c r="BS28" s="28">
        <f>'Project Overview'!$F$12/12</f>
        <v>0</v>
      </c>
      <c r="BT28" s="28">
        <f>'Project Overview'!$F$12/12</f>
        <v>0</v>
      </c>
      <c r="BU28" s="28">
        <f>'Project Overview'!$F$12/12</f>
        <v>0</v>
      </c>
      <c r="BV28" s="28">
        <f>'Project Overview'!$F$12/12</f>
        <v>0</v>
      </c>
      <c r="BW28" s="28">
        <f>'Project Overview'!$F$12/12</f>
        <v>0</v>
      </c>
      <c r="BX28" s="28">
        <f>'Project Overview'!$F$12/12</f>
        <v>0</v>
      </c>
      <c r="BY28" s="28">
        <f>'Project Overview'!$F$12/12</f>
        <v>0</v>
      </c>
      <c r="BZ28" s="28">
        <f>'Project Overview'!$F$12/12</f>
        <v>0</v>
      </c>
      <c r="CA28" s="28">
        <f>'Project Overview'!$G$12/12</f>
        <v>0</v>
      </c>
      <c r="CB28" s="28">
        <f>'Project Overview'!$G$12/12</f>
        <v>0</v>
      </c>
      <c r="CC28" s="28">
        <f>'Project Overview'!$G$12/12</f>
        <v>0</v>
      </c>
      <c r="CD28" s="28">
        <f>'Project Overview'!$G$12/12</f>
        <v>0</v>
      </c>
      <c r="CE28" s="28">
        <f>'Project Overview'!$G$12/12</f>
        <v>0</v>
      </c>
      <c r="CF28" s="28">
        <f>'Project Overview'!$G$12/12</f>
        <v>0</v>
      </c>
      <c r="CG28" s="28">
        <f>'Project Overview'!$G$12/12</f>
        <v>0</v>
      </c>
      <c r="CH28" s="28">
        <f>'Project Overview'!$G$12/12</f>
        <v>0</v>
      </c>
      <c r="CI28" s="28">
        <f>'Project Overview'!$G$12/12</f>
        <v>0</v>
      </c>
      <c r="CJ28" s="28">
        <f>'Project Overview'!$G$12/12</f>
        <v>0</v>
      </c>
      <c r="CK28" s="28">
        <f>'Project Overview'!$G$12/12</f>
        <v>0</v>
      </c>
      <c r="CL28" s="28">
        <f>'Project Overview'!$G$12/12</f>
        <v>0</v>
      </c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  <c r="IU28" s="40"/>
      <c r="IV28" s="40"/>
      <c r="IW28" s="40"/>
      <c r="IX28" s="40"/>
      <c r="IY28" s="40"/>
      <c r="IZ28" s="40"/>
      <c r="JA28" s="40"/>
      <c r="JB28" s="40"/>
      <c r="JC28" s="40"/>
      <c r="JD28" s="40"/>
      <c r="JE28" s="40"/>
      <c r="JF28" s="40"/>
      <c r="JG28" s="40"/>
      <c r="JH28" s="40"/>
      <c r="JI28" s="40"/>
      <c r="JJ28" s="40"/>
      <c r="JK28" s="40"/>
      <c r="JL28" s="40"/>
      <c r="JM28" s="40"/>
      <c r="JN28" s="40"/>
      <c r="JO28" s="40"/>
      <c r="JP28" s="40"/>
      <c r="JQ28" s="40"/>
      <c r="JR28" s="40"/>
      <c r="JS28" s="40"/>
      <c r="JT28" s="40"/>
      <c r="JU28" s="40"/>
      <c r="JV28" s="40"/>
      <c r="JW28" s="40"/>
      <c r="JX28" s="40"/>
      <c r="JY28" s="40"/>
      <c r="JZ28" s="40"/>
      <c r="KA28" s="40"/>
      <c r="KB28" s="40"/>
      <c r="KC28" s="40"/>
      <c r="KD28" s="40"/>
      <c r="KE28" s="40"/>
      <c r="KF28" s="40"/>
      <c r="KG28" s="40"/>
      <c r="KH28" s="40"/>
      <c r="KI28" s="40"/>
      <c r="KJ28" s="40"/>
      <c r="KK28" s="40"/>
      <c r="KL28" s="40"/>
      <c r="KM28" s="40"/>
      <c r="KN28" s="40"/>
      <c r="KO28" s="40"/>
      <c r="KP28" s="40"/>
      <c r="KQ28" s="40"/>
      <c r="KR28" s="40"/>
      <c r="KS28" s="40"/>
      <c r="KT28" s="40"/>
      <c r="KU28" s="40"/>
      <c r="KV28" s="40"/>
      <c r="KW28" s="40"/>
      <c r="KX28" s="40"/>
      <c r="KY28" s="40"/>
      <c r="KZ28" s="40"/>
      <c r="LA28" s="40"/>
      <c r="LB28" s="40"/>
      <c r="LC28" s="40"/>
      <c r="LD28" s="40"/>
      <c r="LE28" s="40"/>
      <c r="LF28" s="40"/>
      <c r="LG28" s="40"/>
      <c r="LH28" s="40"/>
      <c r="LI28" s="40"/>
      <c r="LJ28" s="40"/>
      <c r="LK28" s="40"/>
      <c r="LL28" s="40"/>
      <c r="LM28" s="40"/>
      <c r="LN28" s="40"/>
      <c r="LO28" s="40"/>
      <c r="LP28" s="40"/>
      <c r="LQ28" s="40"/>
      <c r="LR28" s="40"/>
      <c r="LS28" s="40"/>
      <c r="LT28" s="40"/>
      <c r="LU28" s="40"/>
      <c r="LV28" s="40"/>
      <c r="LW28" s="40"/>
      <c r="LX28" s="40"/>
      <c r="LY28" s="40"/>
      <c r="LZ28" s="40"/>
      <c r="MA28" s="40"/>
      <c r="MB28" s="40"/>
      <c r="MC28" s="40"/>
      <c r="MD28" s="40"/>
      <c r="ME28" s="40"/>
      <c r="MF28" s="40"/>
      <c r="MG28" s="40"/>
      <c r="MH28" s="40"/>
      <c r="MI28" s="40"/>
      <c r="MJ28" s="40"/>
      <c r="MK28" s="40"/>
      <c r="ML28" s="40"/>
      <c r="MM28" s="40"/>
      <c r="MN28" s="40"/>
      <c r="MO28" s="40"/>
      <c r="MP28" s="40"/>
      <c r="MQ28" s="40"/>
      <c r="MR28" s="40"/>
      <c r="MS28" s="40"/>
      <c r="MT28" s="40"/>
      <c r="MU28" s="40"/>
      <c r="MV28" s="40"/>
      <c r="MW28" s="40"/>
      <c r="MX28" s="40"/>
      <c r="MY28" s="40"/>
      <c r="MZ28" s="40"/>
      <c r="NA28" s="40"/>
      <c r="NB28" s="40"/>
      <c r="NC28" s="40"/>
      <c r="ND28" s="40"/>
      <c r="NE28" s="40"/>
      <c r="NF28" s="40"/>
      <c r="NG28" s="40"/>
      <c r="NH28" s="40"/>
      <c r="NI28" s="40"/>
      <c r="NJ28" s="40"/>
      <c r="NK28" s="40"/>
      <c r="NL28" s="40"/>
      <c r="NM28" s="40"/>
      <c r="NN28" s="40"/>
      <c r="NO28" s="40"/>
      <c r="NP28" s="40"/>
      <c r="NQ28" s="40"/>
      <c r="NR28" s="40"/>
      <c r="NS28" s="40"/>
      <c r="NT28" s="40"/>
      <c r="NU28" s="40"/>
      <c r="NV28" s="40"/>
      <c r="NW28" s="40"/>
      <c r="NX28" s="40"/>
      <c r="NY28" s="40"/>
      <c r="NZ28" s="40"/>
      <c r="OA28" s="40"/>
      <c r="OB28" s="40"/>
      <c r="OC28" s="40"/>
      <c r="OD28" s="40"/>
      <c r="OE28" s="40"/>
      <c r="OF28" s="40"/>
      <c r="OG28" s="40"/>
      <c r="OH28" s="40"/>
      <c r="OI28" s="40"/>
      <c r="OJ28" s="40"/>
      <c r="OK28" s="40"/>
      <c r="OL28" s="40"/>
      <c r="OM28" s="40"/>
      <c r="ON28" s="40"/>
      <c r="OO28" s="40"/>
      <c r="OP28" s="40"/>
      <c r="OQ28" s="40"/>
      <c r="OR28" s="40"/>
      <c r="OS28" s="40"/>
      <c r="OT28" s="40"/>
      <c r="OU28" s="40"/>
      <c r="OV28" s="40"/>
      <c r="OW28" s="40"/>
      <c r="OX28" s="40"/>
      <c r="OY28" s="40"/>
      <c r="OZ28" s="40"/>
      <c r="PA28" s="40"/>
      <c r="PB28" s="40"/>
      <c r="PC28" s="40"/>
      <c r="PD28" s="40"/>
      <c r="PE28" s="40"/>
      <c r="PF28" s="40"/>
      <c r="PG28" s="40"/>
      <c r="PH28" s="40"/>
      <c r="PI28" s="40"/>
      <c r="PJ28" s="40"/>
      <c r="PK28" s="40"/>
      <c r="PL28" s="40"/>
      <c r="PM28" s="40"/>
      <c r="PN28" s="40"/>
      <c r="PO28" s="40"/>
      <c r="PP28" s="40"/>
      <c r="PQ28" s="40"/>
      <c r="PR28" s="40"/>
      <c r="PS28" s="40"/>
      <c r="PT28" s="40"/>
      <c r="PU28" s="40"/>
      <c r="PV28" s="40"/>
      <c r="PW28" s="40"/>
      <c r="PX28" s="40"/>
      <c r="PY28" s="40"/>
      <c r="PZ28" s="40"/>
      <c r="QA28" s="40"/>
      <c r="QB28" s="40"/>
      <c r="QC28" s="40"/>
      <c r="QD28" s="40"/>
      <c r="QE28" s="40"/>
      <c r="QF28" s="40"/>
      <c r="QG28" s="40"/>
      <c r="QH28" s="40"/>
      <c r="QI28" s="40"/>
      <c r="QJ28" s="40"/>
      <c r="QK28" s="40"/>
      <c r="QL28" s="40"/>
      <c r="QM28" s="40"/>
      <c r="QN28" s="40"/>
      <c r="QO28" s="40"/>
      <c r="QP28" s="40"/>
      <c r="QQ28" s="40"/>
      <c r="QR28" s="40"/>
      <c r="QS28" s="40"/>
      <c r="QT28" s="40"/>
      <c r="QU28" s="40"/>
      <c r="QV28" s="40"/>
      <c r="QW28" s="40"/>
      <c r="QX28" s="40"/>
      <c r="QY28" s="40"/>
      <c r="QZ28" s="40"/>
      <c r="RA28" s="40"/>
      <c r="RB28" s="40"/>
      <c r="RC28" s="40"/>
      <c r="RD28" s="40"/>
      <c r="RE28" s="40"/>
      <c r="RF28" s="40"/>
      <c r="RG28" s="40"/>
      <c r="RH28" s="40"/>
      <c r="RI28" s="40"/>
      <c r="RJ28" s="40"/>
      <c r="RK28" s="40"/>
      <c r="RL28" s="40"/>
      <c r="RM28" s="40"/>
      <c r="RN28" s="40"/>
      <c r="RO28" s="40"/>
      <c r="RP28" s="40"/>
      <c r="RQ28" s="40"/>
      <c r="RR28" s="40"/>
      <c r="RS28" s="40"/>
      <c r="RT28" s="40"/>
      <c r="RU28" s="40"/>
      <c r="RV28" s="40"/>
      <c r="RW28" s="40"/>
      <c r="RX28" s="40"/>
      <c r="RY28" s="40"/>
      <c r="RZ28" s="40"/>
      <c r="SA28" s="40"/>
      <c r="SB28" s="40"/>
      <c r="SC28" s="40"/>
      <c r="SD28" s="40"/>
      <c r="SE28" s="40"/>
      <c r="SF28" s="40"/>
      <c r="SG28" s="40"/>
      <c r="SH28" s="40"/>
      <c r="SI28" s="40"/>
      <c r="SJ28" s="40"/>
      <c r="SK28" s="40"/>
      <c r="SL28" s="40"/>
      <c r="SM28" s="40"/>
      <c r="SN28" s="40"/>
      <c r="SO28" s="40"/>
      <c r="SP28" s="40"/>
      <c r="SQ28" s="40"/>
      <c r="SR28" s="40"/>
      <c r="SS28" s="40"/>
      <c r="ST28" s="40"/>
      <c r="SU28" s="40"/>
      <c r="SV28" s="40"/>
      <c r="SW28" s="40"/>
      <c r="SX28" s="40"/>
      <c r="SY28" s="40"/>
      <c r="SZ28" s="40"/>
      <c r="TA28" s="40"/>
      <c r="TB28" s="40"/>
      <c r="TC28" s="40"/>
      <c r="TD28" s="40"/>
      <c r="TE28" s="40"/>
      <c r="TF28" s="40"/>
      <c r="TG28" s="40"/>
      <c r="TH28" s="40"/>
      <c r="TI28" s="40"/>
      <c r="TJ28" s="40"/>
      <c r="TK28" s="40"/>
      <c r="TL28" s="40"/>
      <c r="TM28" s="40"/>
      <c r="TN28" s="40"/>
      <c r="TO28" s="40"/>
      <c r="TP28" s="40"/>
      <c r="TQ28" s="40"/>
      <c r="TR28" s="40"/>
      <c r="TS28" s="40"/>
      <c r="TT28" s="40"/>
      <c r="TU28" s="40"/>
      <c r="TV28" s="40"/>
      <c r="TW28" s="40"/>
      <c r="TX28" s="40"/>
      <c r="TY28" s="40"/>
      <c r="TZ28" s="40"/>
      <c r="UA28" s="40"/>
      <c r="UB28" s="40"/>
      <c r="UC28" s="40"/>
      <c r="UD28" s="40"/>
      <c r="UE28" s="40"/>
      <c r="UF28" s="40"/>
      <c r="UG28" s="40"/>
      <c r="UH28" s="40"/>
      <c r="UI28" s="40"/>
      <c r="UJ28" s="40"/>
      <c r="UK28" s="40"/>
      <c r="UL28" s="40"/>
      <c r="UM28" s="40"/>
      <c r="UN28" s="40"/>
      <c r="UO28" s="40"/>
      <c r="UP28" s="40"/>
      <c r="UQ28" s="40"/>
      <c r="UR28" s="40"/>
      <c r="US28" s="40"/>
      <c r="UT28" s="40"/>
      <c r="UU28" s="40"/>
      <c r="UV28" s="40"/>
      <c r="UW28" s="40"/>
      <c r="UX28" s="40"/>
      <c r="UY28" s="40"/>
      <c r="UZ28" s="40"/>
      <c r="VA28" s="40"/>
      <c r="VB28" s="40"/>
      <c r="VC28" s="40"/>
      <c r="VD28" s="40"/>
      <c r="VE28" s="40"/>
      <c r="VF28" s="40"/>
      <c r="VG28" s="40"/>
      <c r="VH28" s="40"/>
      <c r="VI28" s="40"/>
      <c r="VJ28" s="40"/>
      <c r="VK28" s="40"/>
      <c r="VL28" s="40"/>
      <c r="VM28" s="40"/>
      <c r="VN28" s="40"/>
      <c r="VO28" s="40"/>
      <c r="VP28" s="40"/>
      <c r="VQ28" s="40"/>
      <c r="VR28" s="40"/>
      <c r="VS28" s="40"/>
      <c r="VT28" s="40"/>
      <c r="VU28" s="40"/>
      <c r="VV28" s="40"/>
      <c r="VW28" s="40"/>
      <c r="VX28" s="40"/>
      <c r="VY28" s="40"/>
      <c r="VZ28" s="40"/>
      <c r="WA28" s="40"/>
      <c r="WB28" s="40"/>
      <c r="WC28" s="40"/>
      <c r="WD28" s="40"/>
      <c r="WE28" s="40"/>
      <c r="WF28" s="40"/>
      <c r="WG28" s="40"/>
      <c r="WH28" s="40"/>
      <c r="WI28" s="40"/>
      <c r="WJ28" s="40"/>
      <c r="WK28" s="40"/>
      <c r="WL28" s="40"/>
      <c r="WM28" s="40"/>
      <c r="WN28" s="40"/>
      <c r="WO28" s="40"/>
      <c r="WP28" s="40"/>
      <c r="WQ28" s="40"/>
      <c r="WR28" s="40"/>
      <c r="WS28" s="40"/>
      <c r="WT28" s="40"/>
      <c r="WU28" s="40"/>
      <c r="WV28" s="40"/>
      <c r="WW28" s="40"/>
      <c r="WX28" s="40"/>
      <c r="WY28" s="40"/>
      <c r="WZ28" s="40"/>
      <c r="XA28" s="40"/>
      <c r="XB28" s="40"/>
      <c r="XC28" s="40"/>
      <c r="XD28" s="40"/>
      <c r="XE28" s="40"/>
      <c r="XF28" s="40"/>
      <c r="XG28" s="40"/>
      <c r="XH28" s="40"/>
      <c r="XI28" s="40"/>
      <c r="XJ28" s="40"/>
      <c r="XK28" s="40"/>
      <c r="XL28" s="40"/>
      <c r="XM28" s="40"/>
      <c r="XN28" s="40"/>
      <c r="XO28" s="40"/>
      <c r="XP28" s="40"/>
      <c r="XQ28" s="40"/>
      <c r="XR28" s="40"/>
      <c r="XS28" s="40"/>
      <c r="XT28" s="40"/>
      <c r="XU28" s="40"/>
      <c r="XV28" s="40"/>
      <c r="XW28" s="40"/>
      <c r="XX28" s="40"/>
      <c r="XY28" s="40"/>
      <c r="XZ28" s="40"/>
      <c r="YA28" s="40"/>
      <c r="YB28" s="40"/>
      <c r="YC28" s="40"/>
      <c r="YD28" s="40"/>
      <c r="YE28" s="40"/>
      <c r="YF28" s="40"/>
      <c r="YG28" s="40"/>
      <c r="YH28" s="40"/>
      <c r="YI28" s="40"/>
      <c r="YJ28" s="40"/>
      <c r="YK28" s="40"/>
      <c r="YL28" s="40"/>
      <c r="YM28" s="40"/>
      <c r="YN28" s="40"/>
      <c r="YO28" s="40"/>
      <c r="YP28" s="40"/>
      <c r="YQ28" s="40"/>
      <c r="YR28" s="40"/>
      <c r="YS28" s="40"/>
      <c r="YT28" s="40"/>
      <c r="YU28" s="40"/>
      <c r="YV28" s="40"/>
      <c r="YW28" s="40"/>
      <c r="YX28" s="40"/>
      <c r="YY28" s="40"/>
      <c r="YZ28" s="40"/>
      <c r="ZA28" s="40"/>
      <c r="ZB28" s="40"/>
      <c r="ZC28" s="40"/>
      <c r="ZD28" s="40"/>
      <c r="ZE28" s="40"/>
      <c r="ZF28" s="40"/>
      <c r="ZG28" s="40"/>
      <c r="ZH28" s="40"/>
      <c r="ZI28" s="40"/>
      <c r="ZJ28" s="40"/>
      <c r="ZK28" s="40"/>
      <c r="ZL28" s="40"/>
      <c r="ZM28" s="40"/>
      <c r="ZN28" s="40"/>
      <c r="ZO28" s="40"/>
      <c r="ZP28" s="40"/>
      <c r="ZQ28" s="40"/>
      <c r="ZR28" s="40"/>
      <c r="ZS28" s="40"/>
      <c r="ZT28" s="40"/>
      <c r="ZU28" s="40"/>
      <c r="ZV28" s="40"/>
      <c r="ZW28" s="40"/>
      <c r="ZX28" s="40"/>
      <c r="ZY28" s="40"/>
      <c r="ZZ28" s="40"/>
      <c r="AAA28" s="40"/>
      <c r="AAB28" s="40"/>
      <c r="AAC28" s="40"/>
      <c r="AAD28" s="40"/>
      <c r="AAE28" s="40"/>
      <c r="AAF28" s="40"/>
      <c r="AAG28" s="40"/>
      <c r="AAH28" s="40"/>
      <c r="AAI28" s="40"/>
      <c r="AAJ28" s="40"/>
      <c r="AAK28" s="40"/>
      <c r="AAL28" s="40"/>
      <c r="AAM28" s="40"/>
      <c r="AAN28" s="40"/>
      <c r="AAO28" s="40"/>
      <c r="AAP28" s="40"/>
      <c r="AAQ28" s="40"/>
      <c r="AAR28" s="40"/>
      <c r="AAS28" s="40"/>
      <c r="AAT28" s="40"/>
      <c r="AAU28" s="40"/>
      <c r="AAV28" s="40"/>
      <c r="AAW28" s="40"/>
      <c r="AAX28" s="40"/>
      <c r="AAY28" s="40"/>
      <c r="AAZ28" s="40"/>
      <c r="ABA28" s="40"/>
      <c r="ABB28" s="40"/>
      <c r="ABC28" s="40"/>
      <c r="ABD28" s="40"/>
      <c r="ABE28" s="40"/>
      <c r="ABF28" s="40"/>
      <c r="ABG28" s="40"/>
      <c r="ABH28" s="40"/>
      <c r="ABI28" s="40"/>
      <c r="ABJ28" s="40"/>
      <c r="ABK28" s="40"/>
      <c r="ABL28" s="40"/>
      <c r="ABM28" s="40"/>
      <c r="ABN28" s="40"/>
      <c r="ABO28" s="40"/>
      <c r="ABP28" s="40"/>
      <c r="ABQ28" s="40"/>
      <c r="ABR28" s="40"/>
      <c r="ABS28" s="40"/>
      <c r="ABT28" s="40"/>
      <c r="ABU28" s="40"/>
      <c r="ABV28" s="40"/>
      <c r="ABW28" s="40"/>
      <c r="ABX28" s="40"/>
      <c r="ABY28" s="40"/>
      <c r="ABZ28" s="40"/>
      <c r="ACA28" s="40"/>
      <c r="ACB28" s="40"/>
      <c r="ACC28" s="40"/>
      <c r="ACD28" s="40"/>
      <c r="ACE28" s="40"/>
      <c r="ACF28" s="40"/>
      <c r="ACG28" s="40"/>
      <c r="ACH28" s="40"/>
      <c r="ACI28" s="40"/>
      <c r="ACJ28" s="40"/>
      <c r="ACK28" s="40"/>
      <c r="ACL28" s="40"/>
      <c r="ACM28" s="40"/>
      <c r="ACN28" s="40"/>
      <c r="ACO28" s="40"/>
      <c r="ACP28" s="40"/>
      <c r="ACQ28" s="40"/>
      <c r="ACR28" s="40"/>
      <c r="ACS28" s="40"/>
      <c r="ACT28" s="40"/>
      <c r="ACU28" s="40"/>
      <c r="ACV28" s="40"/>
      <c r="ACW28" s="40"/>
      <c r="ACX28" s="40"/>
      <c r="ACY28" s="40"/>
      <c r="ACZ28" s="40"/>
      <c r="ADA28" s="40"/>
      <c r="ADB28" s="40"/>
      <c r="ADC28" s="40"/>
      <c r="ADD28" s="40"/>
      <c r="ADE28" s="40"/>
      <c r="ADF28" s="40"/>
      <c r="ADG28" s="40"/>
      <c r="ADH28" s="40"/>
      <c r="ADI28" s="40"/>
      <c r="ADJ28" s="40"/>
      <c r="ADK28" s="40"/>
      <c r="ADL28" s="40"/>
      <c r="ADM28" s="40"/>
      <c r="ADN28" s="40"/>
      <c r="ADO28" s="40"/>
      <c r="ADP28" s="40"/>
      <c r="ADQ28" s="40"/>
      <c r="ADR28" s="40"/>
      <c r="ADS28" s="40"/>
      <c r="ADT28" s="40"/>
      <c r="ADU28" s="40"/>
      <c r="ADV28" s="40"/>
      <c r="ADW28" s="40"/>
      <c r="ADX28" s="40"/>
      <c r="ADY28" s="40"/>
      <c r="ADZ28" s="40"/>
      <c r="AEA28" s="40"/>
      <c r="AEB28" s="40"/>
      <c r="AEC28" s="40"/>
      <c r="AED28" s="40"/>
      <c r="AEE28" s="40"/>
      <c r="AEF28" s="40"/>
      <c r="AEG28" s="40"/>
      <c r="AEH28" s="40"/>
      <c r="AEI28" s="40"/>
      <c r="AEJ28" s="40"/>
      <c r="AEK28" s="40"/>
      <c r="AEL28" s="40"/>
      <c r="AEM28" s="40"/>
      <c r="AEN28" s="40"/>
      <c r="AEO28" s="40"/>
      <c r="AEP28" s="40"/>
      <c r="AEQ28" s="40"/>
      <c r="AER28" s="40"/>
      <c r="AES28" s="40"/>
      <c r="AET28" s="40"/>
      <c r="AEU28" s="40"/>
      <c r="AEV28" s="40"/>
      <c r="AEW28" s="40"/>
      <c r="AEX28" s="40"/>
      <c r="AEY28" s="40"/>
      <c r="AEZ28" s="40"/>
      <c r="AFA28" s="40"/>
      <c r="AFB28" s="40"/>
      <c r="AFC28" s="40"/>
      <c r="AFD28" s="40"/>
      <c r="AFE28" s="40"/>
      <c r="AFF28" s="40"/>
      <c r="AFG28" s="40"/>
      <c r="AFH28" s="40"/>
      <c r="AFI28" s="40"/>
      <c r="AFJ28" s="40"/>
      <c r="AFK28" s="40"/>
      <c r="AFL28" s="40"/>
      <c r="AFM28" s="40"/>
      <c r="AFN28" s="40"/>
      <c r="AFO28" s="40"/>
      <c r="AFP28" s="40"/>
      <c r="AFQ28" s="40"/>
      <c r="AFR28" s="40"/>
      <c r="AFS28" s="40"/>
      <c r="AFT28" s="40"/>
      <c r="AFU28" s="40"/>
      <c r="AFV28" s="40"/>
      <c r="AFW28" s="40"/>
      <c r="AFX28" s="40"/>
      <c r="AFY28" s="40"/>
      <c r="AFZ28" s="40"/>
      <c r="AGA28" s="40"/>
      <c r="AGB28" s="40"/>
      <c r="AGC28" s="40"/>
      <c r="AGD28" s="40"/>
      <c r="AGE28" s="40"/>
      <c r="AGF28" s="40"/>
      <c r="AGG28" s="40"/>
      <c r="AGH28" s="40"/>
      <c r="AGI28" s="40"/>
      <c r="AGJ28" s="40"/>
      <c r="AGK28" s="40"/>
      <c r="AGL28" s="40"/>
      <c r="AGM28" s="40"/>
      <c r="AGN28" s="40"/>
      <c r="AGO28" s="40"/>
      <c r="AGP28" s="40"/>
      <c r="AGQ28" s="40"/>
      <c r="AGR28" s="40"/>
      <c r="AGS28" s="40"/>
    </row>
    <row r="29" spans="1:877" ht="13">
      <c r="A29" s="41"/>
      <c r="B29" s="44">
        <f>'H2 Production Costs'!$D$9</f>
        <v>2.6198684210526317</v>
      </c>
      <c r="C29" s="43" t="s">
        <v>8</v>
      </c>
      <c r="D29" s="40"/>
      <c r="E29" s="40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>
        <f>'Project Overview'!$C$13/12</f>
        <v>68107.666666666672</v>
      </c>
      <c r="AF29" s="28">
        <f>'Project Overview'!$C$13/12</f>
        <v>68107.666666666672</v>
      </c>
      <c r="AG29" s="28">
        <f>'Project Overview'!$C$13/12</f>
        <v>68107.666666666672</v>
      </c>
      <c r="AH29" s="28">
        <f>'Project Overview'!$C$13/12</f>
        <v>68107.666666666672</v>
      </c>
      <c r="AI29" s="28">
        <f>'Project Overview'!$C$13/12</f>
        <v>68107.666666666672</v>
      </c>
      <c r="AJ29" s="28">
        <f>'Project Overview'!$C$13/12</f>
        <v>68107.666666666672</v>
      </c>
      <c r="AK29" s="28">
        <f>'Project Overview'!$C$13/12</f>
        <v>68107.666666666672</v>
      </c>
      <c r="AL29" s="28">
        <f>'Project Overview'!$C$13/12</f>
        <v>68107.666666666672</v>
      </c>
      <c r="AM29" s="28">
        <f>'Project Overview'!$C$13/12</f>
        <v>68107.666666666672</v>
      </c>
      <c r="AN29" s="28">
        <f>'Project Overview'!$C$13/12</f>
        <v>68107.666666666672</v>
      </c>
      <c r="AO29" s="28">
        <f>'Project Overview'!$C$13/12</f>
        <v>68107.666666666672</v>
      </c>
      <c r="AP29" s="28">
        <f>'Project Overview'!$C$13/12</f>
        <v>68107.666666666672</v>
      </c>
      <c r="AQ29" s="28">
        <f>'Project Overview'!$D$13/12</f>
        <v>90171.116666666654</v>
      </c>
      <c r="AR29" s="28">
        <f>'Project Overview'!$D$13/12</f>
        <v>90171.116666666654</v>
      </c>
      <c r="AS29" s="28">
        <f>'Project Overview'!$D$13/12</f>
        <v>90171.116666666654</v>
      </c>
      <c r="AT29" s="28">
        <f>'Project Overview'!$D$13/12</f>
        <v>90171.116666666654</v>
      </c>
      <c r="AU29" s="28">
        <f>'Project Overview'!$D$13/12</f>
        <v>90171.116666666654</v>
      </c>
      <c r="AV29" s="28">
        <f>'Project Overview'!$D$13/12</f>
        <v>90171.116666666654</v>
      </c>
      <c r="AW29" s="28">
        <f>'Project Overview'!$D$13/12</f>
        <v>90171.116666666654</v>
      </c>
      <c r="AX29" s="28">
        <f>'Project Overview'!$D$13/12</f>
        <v>90171.116666666654</v>
      </c>
      <c r="AY29" s="28">
        <f>'Project Overview'!$D$13/12</f>
        <v>90171.116666666654</v>
      </c>
      <c r="AZ29" s="28">
        <f>'Project Overview'!$D$13/12</f>
        <v>90171.116666666654</v>
      </c>
      <c r="BA29" s="28">
        <f>'Project Overview'!$D$13/12</f>
        <v>90171.116666666654</v>
      </c>
      <c r="BB29" s="28">
        <f>'Project Overview'!$D$13/12</f>
        <v>90171.116666666654</v>
      </c>
      <c r="BC29" s="28">
        <f>'Project Overview'!$E$13/12</f>
        <v>103696.78416666666</v>
      </c>
      <c r="BD29" s="28">
        <f>'Project Overview'!$E$13/12</f>
        <v>103696.78416666666</v>
      </c>
      <c r="BE29" s="28">
        <f>'Project Overview'!$E$13/12</f>
        <v>103696.78416666666</v>
      </c>
      <c r="BF29" s="28">
        <f>'Project Overview'!$E$13/12</f>
        <v>103696.78416666666</v>
      </c>
      <c r="BG29" s="28">
        <f>'Project Overview'!$E$13/12</f>
        <v>103696.78416666666</v>
      </c>
      <c r="BH29" s="28">
        <f>'Project Overview'!$E$13/12</f>
        <v>103696.78416666666</v>
      </c>
      <c r="BI29" s="28">
        <f>'Project Overview'!$E$13/12</f>
        <v>103696.78416666666</v>
      </c>
      <c r="BJ29" s="28">
        <f>'Project Overview'!$E$13/12</f>
        <v>103696.78416666666</v>
      </c>
      <c r="BK29" s="28">
        <f>'Project Overview'!$E$13/12</f>
        <v>103696.78416666666</v>
      </c>
      <c r="BL29" s="28">
        <f>'Project Overview'!$E$13/12</f>
        <v>103696.78416666666</v>
      </c>
      <c r="BM29" s="28">
        <f>'Project Overview'!$E$13/12</f>
        <v>103696.78416666666</v>
      </c>
      <c r="BN29" s="28">
        <f>'Project Overview'!$E$13/12</f>
        <v>103696.78416666666</v>
      </c>
      <c r="BO29" s="28">
        <f>'Project Overview'!$F$13/12</f>
        <v>119251.30179166666</v>
      </c>
      <c r="BP29" s="28">
        <f>'Project Overview'!$F$13/12</f>
        <v>119251.30179166666</v>
      </c>
      <c r="BQ29" s="28">
        <f>'Project Overview'!$F$13/12</f>
        <v>119251.30179166666</v>
      </c>
      <c r="BR29" s="28">
        <f>'Project Overview'!$F$13/12</f>
        <v>119251.30179166666</v>
      </c>
      <c r="BS29" s="28">
        <f>'Project Overview'!$F$13/12</f>
        <v>119251.30179166666</v>
      </c>
      <c r="BT29" s="28">
        <f>'Project Overview'!$F$13/12</f>
        <v>119251.30179166666</v>
      </c>
      <c r="BU29" s="28">
        <f>'Project Overview'!$F$13/12</f>
        <v>119251.30179166666</v>
      </c>
      <c r="BV29" s="28">
        <f>'Project Overview'!$F$13/12</f>
        <v>119251.30179166666</v>
      </c>
      <c r="BW29" s="28">
        <f>'Project Overview'!$F$13/12</f>
        <v>119251.30179166666</v>
      </c>
      <c r="BX29" s="28">
        <f>'Project Overview'!$F$13/12</f>
        <v>119251.30179166666</v>
      </c>
      <c r="BY29" s="28">
        <f>'Project Overview'!$F$13/12</f>
        <v>119251.30179166666</v>
      </c>
      <c r="BZ29" s="28">
        <f>'Project Overview'!$F$13/12</f>
        <v>119251.30179166666</v>
      </c>
      <c r="CA29" s="28">
        <f>'Project Overview'!$G$13/12</f>
        <v>119251.30179166666</v>
      </c>
      <c r="CB29" s="28">
        <f>'Project Overview'!$G$13/12</f>
        <v>119251.30179166666</v>
      </c>
      <c r="CC29" s="28">
        <f>'Project Overview'!$G$13/12</f>
        <v>119251.30179166666</v>
      </c>
      <c r="CD29" s="28">
        <f>'Project Overview'!$G$13/12</f>
        <v>119251.30179166666</v>
      </c>
      <c r="CE29" s="28">
        <f>'Project Overview'!$G$13/12</f>
        <v>119251.30179166666</v>
      </c>
      <c r="CF29" s="28">
        <f>'Project Overview'!$G$13/12</f>
        <v>119251.30179166666</v>
      </c>
      <c r="CG29" s="28">
        <f>'Project Overview'!$G$13/12</f>
        <v>119251.30179166666</v>
      </c>
      <c r="CH29" s="28">
        <f>'Project Overview'!$G$13/12</f>
        <v>119251.30179166666</v>
      </c>
      <c r="CI29" s="28">
        <f>'Project Overview'!$G$13/12</f>
        <v>119251.30179166666</v>
      </c>
      <c r="CJ29" s="28">
        <f>'Project Overview'!$G$13/12</f>
        <v>119251.30179166666</v>
      </c>
      <c r="CK29" s="28">
        <f>'Project Overview'!$G$13/12</f>
        <v>119251.30179166666</v>
      </c>
      <c r="CL29" s="28">
        <f>'Project Overview'!$G$13/12</f>
        <v>119251.30179166666</v>
      </c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  <c r="IU29" s="40"/>
      <c r="IV29" s="40"/>
      <c r="IW29" s="40"/>
      <c r="IX29" s="40"/>
      <c r="IY29" s="40"/>
      <c r="IZ29" s="40"/>
      <c r="JA29" s="40"/>
      <c r="JB29" s="40"/>
      <c r="JC29" s="40"/>
      <c r="JD29" s="40"/>
      <c r="JE29" s="40"/>
      <c r="JF29" s="40"/>
      <c r="JG29" s="40"/>
      <c r="JH29" s="40"/>
      <c r="JI29" s="40"/>
      <c r="JJ29" s="40"/>
      <c r="JK29" s="40"/>
      <c r="JL29" s="40"/>
      <c r="JM29" s="40"/>
      <c r="JN29" s="40"/>
      <c r="JO29" s="40"/>
      <c r="JP29" s="40"/>
      <c r="JQ29" s="40"/>
      <c r="JR29" s="40"/>
      <c r="JS29" s="40"/>
      <c r="JT29" s="40"/>
      <c r="JU29" s="40"/>
      <c r="JV29" s="40"/>
      <c r="JW29" s="40"/>
      <c r="JX29" s="40"/>
      <c r="JY29" s="40"/>
      <c r="JZ29" s="40"/>
      <c r="KA29" s="40"/>
      <c r="KB29" s="40"/>
      <c r="KC29" s="40"/>
      <c r="KD29" s="40"/>
      <c r="KE29" s="40"/>
      <c r="KF29" s="40"/>
      <c r="KG29" s="40"/>
      <c r="KH29" s="40"/>
      <c r="KI29" s="40"/>
      <c r="KJ29" s="40"/>
      <c r="KK29" s="40"/>
      <c r="KL29" s="40"/>
      <c r="KM29" s="40"/>
      <c r="KN29" s="40"/>
      <c r="KO29" s="40"/>
      <c r="KP29" s="40"/>
      <c r="KQ29" s="40"/>
      <c r="KR29" s="40"/>
      <c r="KS29" s="40"/>
      <c r="KT29" s="40"/>
      <c r="KU29" s="40"/>
      <c r="KV29" s="40"/>
      <c r="KW29" s="40"/>
      <c r="KX29" s="40"/>
      <c r="KY29" s="40"/>
      <c r="KZ29" s="40"/>
      <c r="LA29" s="40"/>
      <c r="LB29" s="40"/>
      <c r="LC29" s="40"/>
      <c r="LD29" s="40"/>
      <c r="LE29" s="40"/>
      <c r="LF29" s="40"/>
      <c r="LG29" s="40"/>
      <c r="LH29" s="40"/>
      <c r="LI29" s="40"/>
      <c r="LJ29" s="40"/>
      <c r="LK29" s="40"/>
      <c r="LL29" s="40"/>
      <c r="LM29" s="40"/>
      <c r="LN29" s="40"/>
      <c r="LO29" s="40"/>
      <c r="LP29" s="40"/>
      <c r="LQ29" s="40"/>
      <c r="LR29" s="40"/>
      <c r="LS29" s="40"/>
      <c r="LT29" s="40"/>
      <c r="LU29" s="40"/>
      <c r="LV29" s="40"/>
      <c r="LW29" s="40"/>
      <c r="LX29" s="40"/>
      <c r="LY29" s="40"/>
      <c r="LZ29" s="40"/>
      <c r="MA29" s="40"/>
      <c r="MB29" s="40"/>
      <c r="MC29" s="40"/>
      <c r="MD29" s="40"/>
      <c r="ME29" s="40"/>
      <c r="MF29" s="40"/>
      <c r="MG29" s="40"/>
      <c r="MH29" s="40"/>
      <c r="MI29" s="40"/>
      <c r="MJ29" s="40"/>
      <c r="MK29" s="40"/>
      <c r="ML29" s="40"/>
      <c r="MM29" s="40"/>
      <c r="MN29" s="40"/>
      <c r="MO29" s="40"/>
      <c r="MP29" s="40"/>
      <c r="MQ29" s="40"/>
      <c r="MR29" s="40"/>
      <c r="MS29" s="40"/>
      <c r="MT29" s="40"/>
      <c r="MU29" s="40"/>
      <c r="MV29" s="40"/>
      <c r="MW29" s="40"/>
      <c r="MX29" s="40"/>
      <c r="MY29" s="40"/>
      <c r="MZ29" s="40"/>
      <c r="NA29" s="40"/>
      <c r="NB29" s="40"/>
      <c r="NC29" s="40"/>
      <c r="ND29" s="40"/>
      <c r="NE29" s="40"/>
      <c r="NF29" s="40"/>
      <c r="NG29" s="40"/>
      <c r="NH29" s="40"/>
      <c r="NI29" s="40"/>
      <c r="NJ29" s="40"/>
      <c r="NK29" s="40"/>
      <c r="NL29" s="40"/>
      <c r="NM29" s="40"/>
      <c r="NN29" s="40"/>
      <c r="NO29" s="40"/>
      <c r="NP29" s="40"/>
      <c r="NQ29" s="40"/>
      <c r="NR29" s="40"/>
      <c r="NS29" s="40"/>
      <c r="NT29" s="40"/>
      <c r="NU29" s="40"/>
      <c r="NV29" s="40"/>
      <c r="NW29" s="40"/>
      <c r="NX29" s="40"/>
      <c r="NY29" s="40"/>
      <c r="NZ29" s="40"/>
      <c r="OA29" s="40"/>
      <c r="OB29" s="40"/>
      <c r="OC29" s="40"/>
      <c r="OD29" s="40"/>
      <c r="OE29" s="40"/>
      <c r="OF29" s="40"/>
      <c r="OG29" s="40"/>
      <c r="OH29" s="40"/>
      <c r="OI29" s="40"/>
      <c r="OJ29" s="40"/>
      <c r="OK29" s="40"/>
      <c r="OL29" s="40"/>
      <c r="OM29" s="40"/>
      <c r="ON29" s="40"/>
      <c r="OO29" s="40"/>
      <c r="OP29" s="40"/>
      <c r="OQ29" s="40"/>
      <c r="OR29" s="40"/>
      <c r="OS29" s="40"/>
      <c r="OT29" s="40"/>
      <c r="OU29" s="40"/>
      <c r="OV29" s="40"/>
      <c r="OW29" s="40"/>
      <c r="OX29" s="40"/>
      <c r="OY29" s="40"/>
      <c r="OZ29" s="40"/>
      <c r="PA29" s="40"/>
      <c r="PB29" s="40"/>
      <c r="PC29" s="40"/>
      <c r="PD29" s="40"/>
      <c r="PE29" s="40"/>
      <c r="PF29" s="40"/>
      <c r="PG29" s="40"/>
      <c r="PH29" s="40"/>
      <c r="PI29" s="40"/>
      <c r="PJ29" s="40"/>
      <c r="PK29" s="40"/>
      <c r="PL29" s="40"/>
      <c r="PM29" s="40"/>
      <c r="PN29" s="40"/>
      <c r="PO29" s="40"/>
      <c r="PP29" s="40"/>
      <c r="PQ29" s="40"/>
      <c r="PR29" s="40"/>
      <c r="PS29" s="40"/>
      <c r="PT29" s="40"/>
      <c r="PU29" s="40"/>
      <c r="PV29" s="40"/>
      <c r="PW29" s="40"/>
      <c r="PX29" s="40"/>
      <c r="PY29" s="40"/>
      <c r="PZ29" s="40"/>
      <c r="QA29" s="40"/>
      <c r="QB29" s="40"/>
      <c r="QC29" s="40"/>
      <c r="QD29" s="40"/>
      <c r="QE29" s="40"/>
      <c r="QF29" s="40"/>
      <c r="QG29" s="40"/>
      <c r="QH29" s="40"/>
      <c r="QI29" s="40"/>
      <c r="QJ29" s="40"/>
      <c r="QK29" s="40"/>
      <c r="QL29" s="40"/>
      <c r="QM29" s="40"/>
      <c r="QN29" s="40"/>
      <c r="QO29" s="40"/>
      <c r="QP29" s="40"/>
      <c r="QQ29" s="40"/>
      <c r="QR29" s="40"/>
      <c r="QS29" s="40"/>
      <c r="QT29" s="40"/>
      <c r="QU29" s="40"/>
      <c r="QV29" s="40"/>
      <c r="QW29" s="40"/>
      <c r="QX29" s="40"/>
      <c r="QY29" s="40"/>
      <c r="QZ29" s="40"/>
      <c r="RA29" s="40"/>
      <c r="RB29" s="40"/>
      <c r="RC29" s="40"/>
      <c r="RD29" s="40"/>
      <c r="RE29" s="40"/>
      <c r="RF29" s="40"/>
      <c r="RG29" s="40"/>
      <c r="RH29" s="40"/>
      <c r="RI29" s="40"/>
      <c r="RJ29" s="40"/>
      <c r="RK29" s="40"/>
      <c r="RL29" s="40"/>
      <c r="RM29" s="40"/>
      <c r="RN29" s="40"/>
      <c r="RO29" s="40"/>
      <c r="RP29" s="40"/>
      <c r="RQ29" s="40"/>
      <c r="RR29" s="40"/>
      <c r="RS29" s="40"/>
      <c r="RT29" s="40"/>
      <c r="RU29" s="40"/>
      <c r="RV29" s="40"/>
      <c r="RW29" s="40"/>
      <c r="RX29" s="40"/>
      <c r="RY29" s="40"/>
      <c r="RZ29" s="40"/>
      <c r="SA29" s="40"/>
      <c r="SB29" s="40"/>
      <c r="SC29" s="40"/>
      <c r="SD29" s="40"/>
      <c r="SE29" s="40"/>
      <c r="SF29" s="40"/>
      <c r="SG29" s="40"/>
      <c r="SH29" s="40"/>
      <c r="SI29" s="40"/>
      <c r="SJ29" s="40"/>
      <c r="SK29" s="40"/>
      <c r="SL29" s="40"/>
      <c r="SM29" s="40"/>
      <c r="SN29" s="40"/>
      <c r="SO29" s="40"/>
      <c r="SP29" s="40"/>
      <c r="SQ29" s="40"/>
      <c r="SR29" s="40"/>
      <c r="SS29" s="40"/>
      <c r="ST29" s="40"/>
      <c r="SU29" s="40"/>
      <c r="SV29" s="40"/>
      <c r="SW29" s="40"/>
      <c r="SX29" s="40"/>
      <c r="SY29" s="40"/>
      <c r="SZ29" s="40"/>
      <c r="TA29" s="40"/>
      <c r="TB29" s="40"/>
      <c r="TC29" s="40"/>
      <c r="TD29" s="40"/>
      <c r="TE29" s="40"/>
      <c r="TF29" s="40"/>
      <c r="TG29" s="40"/>
      <c r="TH29" s="40"/>
      <c r="TI29" s="40"/>
      <c r="TJ29" s="40"/>
      <c r="TK29" s="40"/>
      <c r="TL29" s="40"/>
      <c r="TM29" s="40"/>
      <c r="TN29" s="40"/>
      <c r="TO29" s="40"/>
      <c r="TP29" s="40"/>
      <c r="TQ29" s="40"/>
      <c r="TR29" s="40"/>
      <c r="TS29" s="40"/>
      <c r="TT29" s="40"/>
      <c r="TU29" s="40"/>
      <c r="TV29" s="40"/>
      <c r="TW29" s="40"/>
      <c r="TX29" s="40"/>
      <c r="TY29" s="40"/>
      <c r="TZ29" s="40"/>
      <c r="UA29" s="40"/>
      <c r="UB29" s="40"/>
      <c r="UC29" s="40"/>
      <c r="UD29" s="40"/>
      <c r="UE29" s="40"/>
      <c r="UF29" s="40"/>
      <c r="UG29" s="40"/>
      <c r="UH29" s="40"/>
      <c r="UI29" s="40"/>
      <c r="UJ29" s="40"/>
      <c r="UK29" s="40"/>
      <c r="UL29" s="40"/>
      <c r="UM29" s="40"/>
      <c r="UN29" s="40"/>
      <c r="UO29" s="40"/>
      <c r="UP29" s="40"/>
      <c r="UQ29" s="40"/>
      <c r="UR29" s="40"/>
      <c r="US29" s="40"/>
      <c r="UT29" s="40"/>
      <c r="UU29" s="40"/>
      <c r="UV29" s="40"/>
      <c r="UW29" s="40"/>
      <c r="UX29" s="40"/>
      <c r="UY29" s="40"/>
      <c r="UZ29" s="40"/>
      <c r="VA29" s="40"/>
      <c r="VB29" s="40"/>
      <c r="VC29" s="40"/>
      <c r="VD29" s="40"/>
      <c r="VE29" s="40"/>
      <c r="VF29" s="40"/>
      <c r="VG29" s="40"/>
      <c r="VH29" s="40"/>
      <c r="VI29" s="40"/>
      <c r="VJ29" s="40"/>
      <c r="VK29" s="40"/>
      <c r="VL29" s="40"/>
      <c r="VM29" s="40"/>
      <c r="VN29" s="40"/>
      <c r="VO29" s="40"/>
      <c r="VP29" s="40"/>
      <c r="VQ29" s="40"/>
      <c r="VR29" s="40"/>
      <c r="VS29" s="40"/>
      <c r="VT29" s="40"/>
      <c r="VU29" s="40"/>
      <c r="VV29" s="40"/>
      <c r="VW29" s="40"/>
      <c r="VX29" s="40"/>
      <c r="VY29" s="40"/>
      <c r="VZ29" s="40"/>
      <c r="WA29" s="40"/>
      <c r="WB29" s="40"/>
      <c r="WC29" s="40"/>
      <c r="WD29" s="40"/>
      <c r="WE29" s="40"/>
      <c r="WF29" s="40"/>
      <c r="WG29" s="40"/>
      <c r="WH29" s="40"/>
      <c r="WI29" s="40"/>
      <c r="WJ29" s="40"/>
      <c r="WK29" s="40"/>
      <c r="WL29" s="40"/>
      <c r="WM29" s="40"/>
      <c r="WN29" s="40"/>
      <c r="WO29" s="40"/>
      <c r="WP29" s="40"/>
      <c r="WQ29" s="40"/>
      <c r="WR29" s="40"/>
      <c r="WS29" s="40"/>
      <c r="WT29" s="40"/>
      <c r="WU29" s="40"/>
      <c r="WV29" s="40"/>
      <c r="WW29" s="40"/>
      <c r="WX29" s="40"/>
      <c r="WY29" s="40"/>
      <c r="WZ29" s="40"/>
      <c r="XA29" s="40"/>
      <c r="XB29" s="40"/>
      <c r="XC29" s="40"/>
      <c r="XD29" s="40"/>
      <c r="XE29" s="40"/>
      <c r="XF29" s="40"/>
      <c r="XG29" s="40"/>
      <c r="XH29" s="40"/>
      <c r="XI29" s="40"/>
      <c r="XJ29" s="40"/>
      <c r="XK29" s="40"/>
      <c r="XL29" s="40"/>
      <c r="XM29" s="40"/>
      <c r="XN29" s="40"/>
      <c r="XO29" s="40"/>
      <c r="XP29" s="40"/>
      <c r="XQ29" s="40"/>
      <c r="XR29" s="40"/>
      <c r="XS29" s="40"/>
      <c r="XT29" s="40"/>
      <c r="XU29" s="40"/>
      <c r="XV29" s="40"/>
      <c r="XW29" s="40"/>
      <c r="XX29" s="40"/>
      <c r="XY29" s="40"/>
      <c r="XZ29" s="40"/>
      <c r="YA29" s="40"/>
      <c r="YB29" s="40"/>
      <c r="YC29" s="40"/>
      <c r="YD29" s="40"/>
      <c r="YE29" s="40"/>
      <c r="YF29" s="40"/>
      <c r="YG29" s="40"/>
      <c r="YH29" s="40"/>
      <c r="YI29" s="40"/>
      <c r="YJ29" s="40"/>
      <c r="YK29" s="40"/>
      <c r="YL29" s="40"/>
      <c r="YM29" s="40"/>
      <c r="YN29" s="40"/>
      <c r="YO29" s="40"/>
      <c r="YP29" s="40"/>
      <c r="YQ29" s="40"/>
      <c r="YR29" s="40"/>
      <c r="YS29" s="40"/>
      <c r="YT29" s="40"/>
      <c r="YU29" s="40"/>
      <c r="YV29" s="40"/>
      <c r="YW29" s="40"/>
      <c r="YX29" s="40"/>
      <c r="YY29" s="40"/>
      <c r="YZ29" s="40"/>
      <c r="ZA29" s="40"/>
      <c r="ZB29" s="40"/>
      <c r="ZC29" s="40"/>
      <c r="ZD29" s="40"/>
      <c r="ZE29" s="40"/>
      <c r="ZF29" s="40"/>
      <c r="ZG29" s="40"/>
      <c r="ZH29" s="40"/>
      <c r="ZI29" s="40"/>
      <c r="ZJ29" s="40"/>
      <c r="ZK29" s="40"/>
      <c r="ZL29" s="40"/>
      <c r="ZM29" s="40"/>
      <c r="ZN29" s="40"/>
      <c r="ZO29" s="40"/>
      <c r="ZP29" s="40"/>
      <c r="ZQ29" s="40"/>
      <c r="ZR29" s="40"/>
      <c r="ZS29" s="40"/>
      <c r="ZT29" s="40"/>
      <c r="ZU29" s="40"/>
      <c r="ZV29" s="40"/>
      <c r="ZW29" s="40"/>
      <c r="ZX29" s="40"/>
      <c r="ZY29" s="40"/>
      <c r="ZZ29" s="40"/>
      <c r="AAA29" s="40"/>
      <c r="AAB29" s="40"/>
      <c r="AAC29" s="40"/>
      <c r="AAD29" s="40"/>
      <c r="AAE29" s="40"/>
      <c r="AAF29" s="40"/>
      <c r="AAG29" s="40"/>
      <c r="AAH29" s="40"/>
      <c r="AAI29" s="40"/>
      <c r="AAJ29" s="40"/>
      <c r="AAK29" s="40"/>
      <c r="AAL29" s="40"/>
      <c r="AAM29" s="40"/>
      <c r="AAN29" s="40"/>
      <c r="AAO29" s="40"/>
      <c r="AAP29" s="40"/>
      <c r="AAQ29" s="40"/>
      <c r="AAR29" s="40"/>
      <c r="AAS29" s="40"/>
      <c r="AAT29" s="40"/>
      <c r="AAU29" s="40"/>
      <c r="AAV29" s="40"/>
      <c r="AAW29" s="40"/>
      <c r="AAX29" s="40"/>
      <c r="AAY29" s="40"/>
      <c r="AAZ29" s="40"/>
      <c r="ABA29" s="40"/>
      <c r="ABB29" s="40"/>
      <c r="ABC29" s="40"/>
      <c r="ABD29" s="40"/>
      <c r="ABE29" s="40"/>
      <c r="ABF29" s="40"/>
      <c r="ABG29" s="40"/>
      <c r="ABH29" s="40"/>
      <c r="ABI29" s="40"/>
      <c r="ABJ29" s="40"/>
      <c r="ABK29" s="40"/>
      <c r="ABL29" s="40"/>
      <c r="ABM29" s="40"/>
      <c r="ABN29" s="40"/>
      <c r="ABO29" s="40"/>
      <c r="ABP29" s="40"/>
      <c r="ABQ29" s="40"/>
      <c r="ABR29" s="40"/>
      <c r="ABS29" s="40"/>
      <c r="ABT29" s="40"/>
      <c r="ABU29" s="40"/>
      <c r="ABV29" s="40"/>
      <c r="ABW29" s="40"/>
      <c r="ABX29" s="40"/>
      <c r="ABY29" s="40"/>
      <c r="ABZ29" s="40"/>
      <c r="ACA29" s="40"/>
      <c r="ACB29" s="40"/>
      <c r="ACC29" s="40"/>
      <c r="ACD29" s="40"/>
      <c r="ACE29" s="40"/>
      <c r="ACF29" s="40"/>
      <c r="ACG29" s="40"/>
      <c r="ACH29" s="40"/>
      <c r="ACI29" s="40"/>
      <c r="ACJ29" s="40"/>
      <c r="ACK29" s="40"/>
      <c r="ACL29" s="40"/>
      <c r="ACM29" s="40"/>
      <c r="ACN29" s="40"/>
      <c r="ACO29" s="40"/>
      <c r="ACP29" s="40"/>
      <c r="ACQ29" s="40"/>
      <c r="ACR29" s="40"/>
      <c r="ACS29" s="40"/>
      <c r="ACT29" s="40"/>
      <c r="ACU29" s="40"/>
      <c r="ACV29" s="40"/>
      <c r="ACW29" s="40"/>
      <c r="ACX29" s="40"/>
      <c r="ACY29" s="40"/>
      <c r="ACZ29" s="40"/>
      <c r="ADA29" s="40"/>
      <c r="ADB29" s="40"/>
      <c r="ADC29" s="40"/>
      <c r="ADD29" s="40"/>
      <c r="ADE29" s="40"/>
      <c r="ADF29" s="40"/>
      <c r="ADG29" s="40"/>
      <c r="ADH29" s="40"/>
      <c r="ADI29" s="40"/>
      <c r="ADJ29" s="40"/>
      <c r="ADK29" s="40"/>
      <c r="ADL29" s="40"/>
      <c r="ADM29" s="40"/>
      <c r="ADN29" s="40"/>
      <c r="ADO29" s="40"/>
      <c r="ADP29" s="40"/>
      <c r="ADQ29" s="40"/>
      <c r="ADR29" s="40"/>
      <c r="ADS29" s="40"/>
      <c r="ADT29" s="40"/>
      <c r="ADU29" s="40"/>
      <c r="ADV29" s="40"/>
      <c r="ADW29" s="40"/>
      <c r="ADX29" s="40"/>
      <c r="ADY29" s="40"/>
      <c r="ADZ29" s="40"/>
      <c r="AEA29" s="40"/>
      <c r="AEB29" s="40"/>
      <c r="AEC29" s="40"/>
      <c r="AED29" s="40"/>
      <c r="AEE29" s="40"/>
      <c r="AEF29" s="40"/>
      <c r="AEG29" s="40"/>
      <c r="AEH29" s="40"/>
      <c r="AEI29" s="40"/>
      <c r="AEJ29" s="40"/>
      <c r="AEK29" s="40"/>
      <c r="AEL29" s="40"/>
      <c r="AEM29" s="40"/>
      <c r="AEN29" s="40"/>
      <c r="AEO29" s="40"/>
      <c r="AEP29" s="40"/>
      <c r="AEQ29" s="40"/>
      <c r="AER29" s="40"/>
      <c r="AES29" s="40"/>
      <c r="AET29" s="40"/>
      <c r="AEU29" s="40"/>
      <c r="AEV29" s="40"/>
      <c r="AEW29" s="40"/>
      <c r="AEX29" s="40"/>
      <c r="AEY29" s="40"/>
      <c r="AEZ29" s="40"/>
      <c r="AFA29" s="40"/>
      <c r="AFB29" s="40"/>
      <c r="AFC29" s="40"/>
      <c r="AFD29" s="40"/>
      <c r="AFE29" s="40"/>
      <c r="AFF29" s="40"/>
      <c r="AFG29" s="40"/>
      <c r="AFH29" s="40"/>
      <c r="AFI29" s="40"/>
      <c r="AFJ29" s="40"/>
      <c r="AFK29" s="40"/>
      <c r="AFL29" s="40"/>
      <c r="AFM29" s="40"/>
      <c r="AFN29" s="40"/>
      <c r="AFO29" s="40"/>
      <c r="AFP29" s="40"/>
      <c r="AFQ29" s="40"/>
      <c r="AFR29" s="40"/>
      <c r="AFS29" s="40"/>
      <c r="AFT29" s="40"/>
      <c r="AFU29" s="40"/>
      <c r="AFV29" s="40"/>
      <c r="AFW29" s="40"/>
      <c r="AFX29" s="40"/>
      <c r="AFY29" s="40"/>
      <c r="AFZ29" s="40"/>
      <c r="AGA29" s="40"/>
      <c r="AGB29" s="40"/>
      <c r="AGC29" s="40"/>
      <c r="AGD29" s="40"/>
      <c r="AGE29" s="40"/>
      <c r="AGF29" s="40"/>
      <c r="AGG29" s="40"/>
      <c r="AGH29" s="40"/>
      <c r="AGI29" s="40"/>
      <c r="AGJ29" s="40"/>
      <c r="AGK29" s="40"/>
      <c r="AGL29" s="40"/>
      <c r="AGM29" s="40"/>
      <c r="AGN29" s="40"/>
      <c r="AGO29" s="40"/>
      <c r="AGP29" s="40"/>
      <c r="AGQ29" s="40"/>
      <c r="AGR29" s="40"/>
      <c r="AGS29" s="40"/>
    </row>
    <row r="30" spans="1:877" ht="13">
      <c r="A30" s="45"/>
      <c r="B30" s="42" t="s">
        <v>23</v>
      </c>
      <c r="C30" s="46" t="s">
        <v>24</v>
      </c>
      <c r="D30" s="47"/>
      <c r="E30" s="4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37500</v>
      </c>
      <c r="AR30" s="28">
        <v>37500</v>
      </c>
      <c r="AS30" s="28">
        <v>37500</v>
      </c>
      <c r="AT30" s="28">
        <v>37500</v>
      </c>
      <c r="AU30" s="28">
        <v>37500</v>
      </c>
      <c r="AV30" s="28">
        <v>37500</v>
      </c>
      <c r="AW30" s="28">
        <v>37500</v>
      </c>
      <c r="AX30" s="28">
        <v>37500</v>
      </c>
      <c r="AY30" s="28">
        <v>37500</v>
      </c>
      <c r="AZ30" s="28">
        <v>37500</v>
      </c>
      <c r="BA30" s="28">
        <v>37500</v>
      </c>
      <c r="BB30" s="28">
        <v>37500</v>
      </c>
      <c r="BC30" s="28">
        <v>75000</v>
      </c>
      <c r="BD30" s="28">
        <v>75000</v>
      </c>
      <c r="BE30" s="28">
        <v>75000</v>
      </c>
      <c r="BF30" s="28">
        <v>75000</v>
      </c>
      <c r="BG30" s="28">
        <v>75000</v>
      </c>
      <c r="BH30" s="28">
        <v>75000</v>
      </c>
      <c r="BI30" s="28">
        <v>75000</v>
      </c>
      <c r="BJ30" s="28">
        <v>75000</v>
      </c>
      <c r="BK30" s="28">
        <v>75000</v>
      </c>
      <c r="BL30" s="28">
        <v>75000</v>
      </c>
      <c r="BM30" s="28">
        <v>75000</v>
      </c>
      <c r="BN30" s="28">
        <v>75000</v>
      </c>
      <c r="BO30" s="28">
        <v>75000</v>
      </c>
      <c r="BP30" s="28">
        <v>75000</v>
      </c>
      <c r="BQ30" s="28">
        <v>75000</v>
      </c>
      <c r="BR30" s="28">
        <v>75000</v>
      </c>
      <c r="BS30" s="28">
        <v>75000</v>
      </c>
      <c r="BT30" s="28">
        <v>75000</v>
      </c>
      <c r="BU30" s="28">
        <v>75000</v>
      </c>
      <c r="BV30" s="28">
        <v>75000</v>
      </c>
      <c r="BW30" s="28">
        <v>75000</v>
      </c>
      <c r="BX30" s="28">
        <v>75000</v>
      </c>
      <c r="BY30" s="28">
        <v>75000</v>
      </c>
      <c r="BZ30" s="28">
        <v>75000</v>
      </c>
      <c r="CA30" s="28">
        <v>75000</v>
      </c>
      <c r="CB30" s="28">
        <v>75000</v>
      </c>
      <c r="CC30" s="28">
        <v>75000</v>
      </c>
      <c r="CD30" s="28">
        <v>75000</v>
      </c>
      <c r="CE30" s="28">
        <v>75000</v>
      </c>
      <c r="CF30" s="28">
        <v>75000</v>
      </c>
      <c r="CG30" s="28">
        <v>75000</v>
      </c>
      <c r="CH30" s="28">
        <v>75000</v>
      </c>
      <c r="CI30" s="28">
        <v>75000</v>
      </c>
      <c r="CJ30" s="28">
        <v>75000</v>
      </c>
      <c r="CK30" s="28">
        <v>75000</v>
      </c>
      <c r="CL30" s="28">
        <v>75000</v>
      </c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  <c r="EY30" s="47"/>
      <c r="EZ30" s="47"/>
      <c r="FA30" s="47"/>
      <c r="FB30" s="47"/>
      <c r="FC30" s="47"/>
      <c r="FD30" s="47"/>
      <c r="FE30" s="47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47"/>
      <c r="FQ30" s="47"/>
      <c r="FR30" s="47"/>
      <c r="FS30" s="47"/>
      <c r="FT30" s="47"/>
      <c r="FU30" s="47"/>
      <c r="FV30" s="47"/>
      <c r="FW30" s="47"/>
      <c r="FX30" s="47"/>
      <c r="FY30" s="47"/>
      <c r="FZ30" s="47"/>
      <c r="GA30" s="47"/>
      <c r="GB30" s="47"/>
      <c r="GC30" s="47"/>
      <c r="GD30" s="47"/>
      <c r="GE30" s="47"/>
      <c r="GF30" s="47"/>
      <c r="GG30" s="47"/>
      <c r="GH30" s="47"/>
      <c r="GI30" s="47"/>
      <c r="GJ30" s="47"/>
      <c r="GK30" s="47"/>
      <c r="GL30" s="47"/>
      <c r="GM30" s="47"/>
      <c r="GN30" s="47"/>
      <c r="GO30" s="47"/>
      <c r="GP30" s="47"/>
      <c r="GQ30" s="47"/>
      <c r="GR30" s="47"/>
      <c r="GS30" s="47"/>
      <c r="GT30" s="47"/>
      <c r="GU30" s="47"/>
      <c r="GV30" s="47"/>
      <c r="GW30" s="47"/>
      <c r="GX30" s="47"/>
      <c r="GY30" s="47"/>
      <c r="GZ30" s="47"/>
      <c r="HA30" s="47"/>
      <c r="HB30" s="47"/>
      <c r="HC30" s="47"/>
      <c r="HD30" s="47"/>
      <c r="HE30" s="47"/>
      <c r="HF30" s="47"/>
      <c r="HG30" s="47"/>
      <c r="HH30" s="47"/>
      <c r="HI30" s="47"/>
      <c r="HJ30" s="47"/>
      <c r="HK30" s="47"/>
      <c r="HL30" s="47"/>
      <c r="HM30" s="47"/>
      <c r="HN30" s="47"/>
      <c r="HO30" s="47"/>
      <c r="HP30" s="47"/>
      <c r="HQ30" s="47"/>
      <c r="HR30" s="47"/>
      <c r="HS30" s="47"/>
      <c r="HT30" s="47"/>
      <c r="HU30" s="47"/>
      <c r="HV30" s="47"/>
      <c r="HW30" s="47"/>
      <c r="HX30" s="47"/>
      <c r="HY30" s="47"/>
      <c r="HZ30" s="47"/>
      <c r="IA30" s="47"/>
      <c r="IB30" s="47"/>
      <c r="IC30" s="47"/>
      <c r="ID30" s="47"/>
      <c r="IE30" s="47"/>
      <c r="IF30" s="47"/>
      <c r="IG30" s="47"/>
      <c r="IH30" s="47"/>
      <c r="II30" s="47"/>
      <c r="IJ30" s="47"/>
      <c r="IK30" s="47"/>
      <c r="IL30" s="47"/>
      <c r="IM30" s="47"/>
      <c r="IN30" s="47"/>
      <c r="IO30" s="47"/>
      <c r="IP30" s="47"/>
      <c r="IQ30" s="47"/>
      <c r="IR30" s="47"/>
      <c r="IS30" s="47"/>
      <c r="IT30" s="47"/>
      <c r="IU30" s="47"/>
      <c r="IV30" s="47"/>
      <c r="IW30" s="47"/>
      <c r="IX30" s="47"/>
      <c r="IY30" s="47"/>
      <c r="IZ30" s="47"/>
      <c r="JA30" s="47"/>
      <c r="JB30" s="47"/>
      <c r="JC30" s="47"/>
      <c r="JD30" s="47"/>
      <c r="JE30" s="47"/>
      <c r="JF30" s="47"/>
      <c r="JG30" s="47"/>
      <c r="JH30" s="47"/>
      <c r="JI30" s="47"/>
      <c r="JJ30" s="47"/>
      <c r="JK30" s="47"/>
      <c r="JL30" s="47"/>
      <c r="JM30" s="47"/>
      <c r="JN30" s="47"/>
      <c r="JO30" s="47"/>
      <c r="JP30" s="47"/>
      <c r="JQ30" s="47"/>
      <c r="JR30" s="47"/>
      <c r="JS30" s="47"/>
      <c r="JT30" s="47"/>
      <c r="JU30" s="47"/>
      <c r="JV30" s="47"/>
      <c r="JW30" s="47"/>
      <c r="JX30" s="47"/>
      <c r="JY30" s="47"/>
      <c r="JZ30" s="47"/>
      <c r="KA30" s="47"/>
      <c r="KB30" s="47"/>
      <c r="KC30" s="47"/>
      <c r="KD30" s="47"/>
      <c r="KE30" s="47"/>
      <c r="KF30" s="47"/>
      <c r="KG30" s="47"/>
      <c r="KH30" s="47"/>
      <c r="KI30" s="47"/>
      <c r="KJ30" s="47"/>
      <c r="KK30" s="47"/>
      <c r="KL30" s="47"/>
      <c r="KM30" s="47"/>
      <c r="KN30" s="47"/>
      <c r="KO30" s="47"/>
      <c r="KP30" s="47"/>
      <c r="KQ30" s="47"/>
      <c r="KR30" s="47"/>
      <c r="KS30" s="47"/>
      <c r="KT30" s="47"/>
      <c r="KU30" s="47"/>
      <c r="KV30" s="47"/>
      <c r="KW30" s="47"/>
      <c r="KX30" s="47"/>
      <c r="KY30" s="47"/>
      <c r="KZ30" s="47"/>
      <c r="LA30" s="47"/>
      <c r="LB30" s="47"/>
      <c r="LC30" s="47"/>
      <c r="LD30" s="47"/>
      <c r="LE30" s="47"/>
      <c r="LF30" s="47"/>
      <c r="LG30" s="47"/>
      <c r="LH30" s="47"/>
      <c r="LI30" s="47"/>
      <c r="LJ30" s="47"/>
      <c r="LK30" s="47"/>
      <c r="LL30" s="47"/>
      <c r="LM30" s="47"/>
      <c r="LN30" s="47"/>
      <c r="LO30" s="47"/>
      <c r="LP30" s="47"/>
      <c r="LQ30" s="47"/>
      <c r="LR30" s="47"/>
      <c r="LS30" s="47"/>
      <c r="LT30" s="47"/>
      <c r="LU30" s="47"/>
      <c r="LV30" s="47"/>
      <c r="LW30" s="47"/>
      <c r="LX30" s="47"/>
      <c r="LY30" s="47"/>
      <c r="LZ30" s="47"/>
      <c r="MA30" s="47"/>
      <c r="MB30" s="47"/>
      <c r="MC30" s="47"/>
      <c r="MD30" s="47"/>
      <c r="ME30" s="47"/>
      <c r="MF30" s="47"/>
      <c r="MG30" s="47"/>
      <c r="MH30" s="47"/>
      <c r="MI30" s="47"/>
      <c r="MJ30" s="47"/>
      <c r="MK30" s="47"/>
      <c r="ML30" s="47"/>
      <c r="MM30" s="47"/>
      <c r="MN30" s="47"/>
      <c r="MO30" s="47"/>
      <c r="MP30" s="47"/>
      <c r="MQ30" s="47"/>
      <c r="MR30" s="47"/>
      <c r="MS30" s="47"/>
      <c r="MT30" s="47"/>
      <c r="MU30" s="47"/>
      <c r="MV30" s="47"/>
      <c r="MW30" s="47"/>
      <c r="MX30" s="47"/>
      <c r="MY30" s="47"/>
      <c r="MZ30" s="47"/>
      <c r="NA30" s="47"/>
      <c r="NB30" s="47"/>
      <c r="NC30" s="47"/>
      <c r="ND30" s="47"/>
      <c r="NE30" s="47"/>
      <c r="NF30" s="47"/>
      <c r="NG30" s="47"/>
      <c r="NH30" s="47"/>
      <c r="NI30" s="47"/>
      <c r="NJ30" s="47"/>
      <c r="NK30" s="47"/>
      <c r="NL30" s="47"/>
      <c r="NM30" s="47"/>
      <c r="NN30" s="47"/>
      <c r="NO30" s="47"/>
      <c r="NP30" s="47"/>
      <c r="NQ30" s="47"/>
      <c r="NR30" s="47"/>
      <c r="NS30" s="47"/>
      <c r="NT30" s="47"/>
      <c r="NU30" s="47"/>
      <c r="NV30" s="47"/>
      <c r="NW30" s="47"/>
      <c r="NX30" s="47"/>
      <c r="NY30" s="47"/>
      <c r="NZ30" s="47"/>
      <c r="OA30" s="47"/>
      <c r="OB30" s="47"/>
      <c r="OC30" s="47"/>
      <c r="OD30" s="47"/>
      <c r="OE30" s="47"/>
      <c r="OF30" s="47"/>
      <c r="OG30" s="47"/>
      <c r="OH30" s="47"/>
      <c r="OI30" s="47"/>
      <c r="OJ30" s="47"/>
      <c r="OK30" s="47"/>
      <c r="OL30" s="47"/>
      <c r="OM30" s="47"/>
      <c r="ON30" s="47"/>
      <c r="OO30" s="47"/>
      <c r="OP30" s="47"/>
      <c r="OQ30" s="47"/>
      <c r="OR30" s="47"/>
      <c r="OS30" s="47"/>
      <c r="OT30" s="47"/>
      <c r="OU30" s="47"/>
      <c r="OV30" s="47"/>
      <c r="OW30" s="47"/>
      <c r="OX30" s="47"/>
      <c r="OY30" s="47"/>
      <c r="OZ30" s="47"/>
      <c r="PA30" s="47"/>
      <c r="PB30" s="47"/>
      <c r="PC30" s="47"/>
      <c r="PD30" s="47"/>
      <c r="PE30" s="47"/>
      <c r="PF30" s="47"/>
      <c r="PG30" s="47"/>
      <c r="PH30" s="47"/>
      <c r="PI30" s="47"/>
      <c r="PJ30" s="47"/>
      <c r="PK30" s="47"/>
      <c r="PL30" s="47"/>
      <c r="PM30" s="47"/>
      <c r="PN30" s="47"/>
      <c r="PO30" s="47"/>
      <c r="PP30" s="47"/>
      <c r="PQ30" s="47"/>
      <c r="PR30" s="47"/>
      <c r="PS30" s="47"/>
      <c r="PT30" s="47"/>
      <c r="PU30" s="47"/>
      <c r="PV30" s="47"/>
      <c r="PW30" s="47"/>
      <c r="PX30" s="47"/>
      <c r="PY30" s="47"/>
      <c r="PZ30" s="47"/>
      <c r="QA30" s="47"/>
      <c r="QB30" s="47"/>
      <c r="QC30" s="47"/>
      <c r="QD30" s="47"/>
      <c r="QE30" s="47"/>
      <c r="QF30" s="47"/>
      <c r="QG30" s="47"/>
      <c r="QH30" s="47"/>
      <c r="QI30" s="47"/>
      <c r="QJ30" s="47"/>
      <c r="QK30" s="47"/>
      <c r="QL30" s="47"/>
      <c r="QM30" s="47"/>
      <c r="QN30" s="47"/>
      <c r="QO30" s="47"/>
      <c r="QP30" s="47"/>
      <c r="QQ30" s="47"/>
      <c r="QR30" s="47"/>
      <c r="QS30" s="47"/>
      <c r="QT30" s="47"/>
      <c r="QU30" s="47"/>
      <c r="QV30" s="47"/>
      <c r="QW30" s="47"/>
      <c r="QX30" s="47"/>
      <c r="QY30" s="47"/>
      <c r="QZ30" s="47"/>
      <c r="RA30" s="47"/>
      <c r="RB30" s="47"/>
      <c r="RC30" s="47"/>
      <c r="RD30" s="47"/>
      <c r="RE30" s="47"/>
      <c r="RF30" s="47"/>
      <c r="RG30" s="47"/>
      <c r="RH30" s="47"/>
      <c r="RI30" s="47"/>
      <c r="RJ30" s="47"/>
      <c r="RK30" s="47"/>
      <c r="RL30" s="47"/>
      <c r="RM30" s="47"/>
      <c r="RN30" s="47"/>
      <c r="RO30" s="47"/>
      <c r="RP30" s="47"/>
      <c r="RQ30" s="47"/>
      <c r="RR30" s="47"/>
      <c r="RS30" s="47"/>
      <c r="RT30" s="47"/>
      <c r="RU30" s="47"/>
      <c r="RV30" s="47"/>
      <c r="RW30" s="47"/>
      <c r="RX30" s="47"/>
      <c r="RY30" s="47"/>
      <c r="RZ30" s="47"/>
      <c r="SA30" s="47"/>
      <c r="SB30" s="47"/>
      <c r="SC30" s="47"/>
      <c r="SD30" s="47"/>
      <c r="SE30" s="47"/>
      <c r="SF30" s="47"/>
      <c r="SG30" s="47"/>
      <c r="SH30" s="47"/>
      <c r="SI30" s="47"/>
      <c r="SJ30" s="47"/>
      <c r="SK30" s="47"/>
      <c r="SL30" s="47"/>
      <c r="SM30" s="47"/>
      <c r="SN30" s="47"/>
      <c r="SO30" s="47"/>
      <c r="SP30" s="47"/>
      <c r="SQ30" s="47"/>
      <c r="SR30" s="47"/>
      <c r="SS30" s="47"/>
      <c r="ST30" s="47"/>
      <c r="SU30" s="47"/>
      <c r="SV30" s="47"/>
      <c r="SW30" s="47"/>
      <c r="SX30" s="47"/>
      <c r="SY30" s="47"/>
      <c r="SZ30" s="47"/>
      <c r="TA30" s="47"/>
      <c r="TB30" s="47"/>
      <c r="TC30" s="47"/>
      <c r="TD30" s="47"/>
      <c r="TE30" s="47"/>
      <c r="TF30" s="47"/>
      <c r="TG30" s="47"/>
      <c r="TH30" s="47"/>
      <c r="TI30" s="47"/>
      <c r="TJ30" s="47"/>
      <c r="TK30" s="47"/>
      <c r="TL30" s="47"/>
      <c r="TM30" s="47"/>
      <c r="TN30" s="47"/>
      <c r="TO30" s="47"/>
      <c r="TP30" s="47"/>
      <c r="TQ30" s="47"/>
      <c r="TR30" s="47"/>
      <c r="TS30" s="47"/>
      <c r="TT30" s="47"/>
      <c r="TU30" s="47"/>
      <c r="TV30" s="47"/>
      <c r="TW30" s="47"/>
      <c r="TX30" s="47"/>
      <c r="TY30" s="47"/>
      <c r="TZ30" s="47"/>
      <c r="UA30" s="47"/>
      <c r="UB30" s="47"/>
      <c r="UC30" s="47"/>
      <c r="UD30" s="47"/>
      <c r="UE30" s="47"/>
      <c r="UF30" s="47"/>
      <c r="UG30" s="47"/>
      <c r="UH30" s="47"/>
      <c r="UI30" s="47"/>
      <c r="UJ30" s="47"/>
      <c r="UK30" s="47"/>
      <c r="UL30" s="47"/>
      <c r="UM30" s="47"/>
      <c r="UN30" s="47"/>
      <c r="UO30" s="47"/>
      <c r="UP30" s="47"/>
      <c r="UQ30" s="47"/>
      <c r="UR30" s="47"/>
      <c r="US30" s="47"/>
      <c r="UT30" s="47"/>
      <c r="UU30" s="47"/>
      <c r="UV30" s="47"/>
      <c r="UW30" s="47"/>
      <c r="UX30" s="47"/>
      <c r="UY30" s="47"/>
      <c r="UZ30" s="47"/>
      <c r="VA30" s="47"/>
      <c r="VB30" s="47"/>
      <c r="VC30" s="47"/>
      <c r="VD30" s="47"/>
      <c r="VE30" s="47"/>
      <c r="VF30" s="47"/>
      <c r="VG30" s="47"/>
      <c r="VH30" s="47"/>
      <c r="VI30" s="47"/>
      <c r="VJ30" s="47"/>
      <c r="VK30" s="47"/>
      <c r="VL30" s="47"/>
      <c r="VM30" s="47"/>
      <c r="VN30" s="47"/>
      <c r="VO30" s="47"/>
      <c r="VP30" s="47"/>
      <c r="VQ30" s="47"/>
      <c r="VR30" s="47"/>
      <c r="VS30" s="47"/>
      <c r="VT30" s="47"/>
      <c r="VU30" s="47"/>
      <c r="VV30" s="47"/>
      <c r="VW30" s="47"/>
      <c r="VX30" s="47"/>
      <c r="VY30" s="47"/>
      <c r="VZ30" s="47"/>
      <c r="WA30" s="47"/>
      <c r="WB30" s="47"/>
      <c r="WC30" s="47"/>
      <c r="WD30" s="47"/>
      <c r="WE30" s="47"/>
      <c r="WF30" s="47"/>
      <c r="WG30" s="47"/>
      <c r="WH30" s="47"/>
      <c r="WI30" s="47"/>
      <c r="WJ30" s="47"/>
      <c r="WK30" s="47"/>
      <c r="WL30" s="47"/>
      <c r="WM30" s="47"/>
      <c r="WN30" s="47"/>
      <c r="WO30" s="47"/>
      <c r="WP30" s="47"/>
      <c r="WQ30" s="47"/>
      <c r="WR30" s="47"/>
      <c r="WS30" s="47"/>
      <c r="WT30" s="47"/>
      <c r="WU30" s="47"/>
      <c r="WV30" s="47"/>
      <c r="WW30" s="47"/>
      <c r="WX30" s="47"/>
      <c r="WY30" s="47"/>
      <c r="WZ30" s="47"/>
      <c r="XA30" s="47"/>
      <c r="XB30" s="47"/>
      <c r="XC30" s="47"/>
      <c r="XD30" s="47"/>
      <c r="XE30" s="47"/>
      <c r="XF30" s="47"/>
      <c r="XG30" s="47"/>
      <c r="XH30" s="47"/>
      <c r="XI30" s="47"/>
      <c r="XJ30" s="47"/>
      <c r="XK30" s="47"/>
      <c r="XL30" s="47"/>
      <c r="XM30" s="47"/>
      <c r="XN30" s="47"/>
      <c r="XO30" s="47"/>
      <c r="XP30" s="47"/>
      <c r="XQ30" s="47"/>
      <c r="XR30" s="47"/>
      <c r="XS30" s="47"/>
      <c r="XT30" s="47"/>
      <c r="XU30" s="47"/>
      <c r="XV30" s="47"/>
      <c r="XW30" s="47"/>
      <c r="XX30" s="47"/>
      <c r="XY30" s="47"/>
      <c r="XZ30" s="47"/>
      <c r="YA30" s="47"/>
      <c r="YB30" s="47"/>
      <c r="YC30" s="47"/>
      <c r="YD30" s="47"/>
      <c r="YE30" s="47"/>
      <c r="YF30" s="47"/>
      <c r="YG30" s="47"/>
      <c r="YH30" s="47"/>
      <c r="YI30" s="47"/>
      <c r="YJ30" s="47"/>
      <c r="YK30" s="47"/>
      <c r="YL30" s="47"/>
      <c r="YM30" s="47"/>
      <c r="YN30" s="47"/>
      <c r="YO30" s="47"/>
      <c r="YP30" s="47"/>
      <c r="YQ30" s="47"/>
      <c r="YR30" s="47"/>
      <c r="YS30" s="47"/>
      <c r="YT30" s="47"/>
      <c r="YU30" s="47"/>
      <c r="YV30" s="47"/>
      <c r="YW30" s="47"/>
      <c r="YX30" s="47"/>
      <c r="YY30" s="47"/>
      <c r="YZ30" s="47"/>
      <c r="ZA30" s="47"/>
      <c r="ZB30" s="47"/>
      <c r="ZC30" s="47"/>
      <c r="ZD30" s="47"/>
      <c r="ZE30" s="47"/>
      <c r="ZF30" s="47"/>
      <c r="ZG30" s="47"/>
      <c r="ZH30" s="47"/>
      <c r="ZI30" s="47"/>
      <c r="ZJ30" s="47"/>
      <c r="ZK30" s="47"/>
      <c r="ZL30" s="47"/>
      <c r="ZM30" s="47"/>
      <c r="ZN30" s="47"/>
      <c r="ZO30" s="47"/>
      <c r="ZP30" s="47"/>
      <c r="ZQ30" s="47"/>
      <c r="ZR30" s="47"/>
      <c r="ZS30" s="47"/>
      <c r="ZT30" s="47"/>
      <c r="ZU30" s="47"/>
      <c r="ZV30" s="47"/>
      <c r="ZW30" s="47"/>
      <c r="ZX30" s="47"/>
      <c r="ZY30" s="47"/>
      <c r="ZZ30" s="47"/>
      <c r="AAA30" s="47"/>
      <c r="AAB30" s="47"/>
      <c r="AAC30" s="47"/>
      <c r="AAD30" s="47"/>
      <c r="AAE30" s="47"/>
      <c r="AAF30" s="47"/>
      <c r="AAG30" s="47"/>
      <c r="AAH30" s="47"/>
      <c r="AAI30" s="47"/>
      <c r="AAJ30" s="47"/>
      <c r="AAK30" s="47"/>
      <c r="AAL30" s="47"/>
      <c r="AAM30" s="47"/>
      <c r="AAN30" s="47"/>
      <c r="AAO30" s="47"/>
      <c r="AAP30" s="47"/>
      <c r="AAQ30" s="47"/>
      <c r="AAR30" s="47"/>
      <c r="AAS30" s="47"/>
      <c r="AAT30" s="47"/>
      <c r="AAU30" s="47"/>
      <c r="AAV30" s="47"/>
      <c r="AAW30" s="47"/>
      <c r="AAX30" s="47"/>
      <c r="AAY30" s="47"/>
      <c r="AAZ30" s="47"/>
      <c r="ABA30" s="47"/>
      <c r="ABB30" s="47"/>
      <c r="ABC30" s="47"/>
      <c r="ABD30" s="47"/>
      <c r="ABE30" s="47"/>
      <c r="ABF30" s="47"/>
      <c r="ABG30" s="47"/>
      <c r="ABH30" s="47"/>
      <c r="ABI30" s="47"/>
      <c r="ABJ30" s="47"/>
      <c r="ABK30" s="47"/>
      <c r="ABL30" s="47"/>
      <c r="ABM30" s="47"/>
      <c r="ABN30" s="47"/>
      <c r="ABO30" s="47"/>
      <c r="ABP30" s="47"/>
      <c r="ABQ30" s="47"/>
      <c r="ABR30" s="47"/>
      <c r="ABS30" s="47"/>
      <c r="ABT30" s="47"/>
      <c r="ABU30" s="47"/>
      <c r="ABV30" s="47"/>
      <c r="ABW30" s="47"/>
      <c r="ABX30" s="47"/>
      <c r="ABY30" s="47"/>
      <c r="ABZ30" s="47"/>
      <c r="ACA30" s="47"/>
      <c r="ACB30" s="47"/>
      <c r="ACC30" s="47"/>
      <c r="ACD30" s="47"/>
      <c r="ACE30" s="47"/>
      <c r="ACF30" s="47"/>
      <c r="ACG30" s="47"/>
      <c r="ACH30" s="47"/>
      <c r="ACI30" s="47"/>
      <c r="ACJ30" s="47"/>
      <c r="ACK30" s="47"/>
      <c r="ACL30" s="47"/>
      <c r="ACM30" s="47"/>
      <c r="ACN30" s="47"/>
      <c r="ACO30" s="47"/>
      <c r="ACP30" s="47"/>
      <c r="ACQ30" s="47"/>
      <c r="ACR30" s="47"/>
      <c r="ACS30" s="47"/>
      <c r="ACT30" s="47"/>
      <c r="ACU30" s="47"/>
      <c r="ACV30" s="47"/>
      <c r="ACW30" s="47"/>
      <c r="ACX30" s="47"/>
      <c r="ACY30" s="47"/>
      <c r="ACZ30" s="47"/>
      <c r="ADA30" s="47"/>
      <c r="ADB30" s="47"/>
      <c r="ADC30" s="47"/>
      <c r="ADD30" s="47"/>
      <c r="ADE30" s="47"/>
      <c r="ADF30" s="47"/>
      <c r="ADG30" s="47"/>
      <c r="ADH30" s="47"/>
      <c r="ADI30" s="47"/>
      <c r="ADJ30" s="47"/>
      <c r="ADK30" s="47"/>
      <c r="ADL30" s="47"/>
      <c r="ADM30" s="47"/>
      <c r="ADN30" s="47"/>
      <c r="ADO30" s="47"/>
      <c r="ADP30" s="47"/>
      <c r="ADQ30" s="47"/>
      <c r="ADR30" s="47"/>
      <c r="ADS30" s="47"/>
      <c r="ADT30" s="47"/>
      <c r="ADU30" s="47"/>
      <c r="ADV30" s="47"/>
      <c r="ADW30" s="47"/>
      <c r="ADX30" s="47"/>
      <c r="ADY30" s="47"/>
      <c r="ADZ30" s="47"/>
      <c r="AEA30" s="47"/>
      <c r="AEB30" s="47"/>
      <c r="AEC30" s="47"/>
      <c r="AED30" s="47"/>
      <c r="AEE30" s="47"/>
      <c r="AEF30" s="47"/>
      <c r="AEG30" s="47"/>
      <c r="AEH30" s="47"/>
      <c r="AEI30" s="47"/>
      <c r="AEJ30" s="47"/>
      <c r="AEK30" s="47"/>
      <c r="AEL30" s="47"/>
      <c r="AEM30" s="47"/>
      <c r="AEN30" s="47"/>
      <c r="AEO30" s="47"/>
      <c r="AEP30" s="47"/>
      <c r="AEQ30" s="47"/>
      <c r="AER30" s="47"/>
      <c r="AES30" s="47"/>
      <c r="AET30" s="47"/>
      <c r="AEU30" s="47"/>
      <c r="AEV30" s="47"/>
      <c r="AEW30" s="47"/>
      <c r="AEX30" s="47"/>
      <c r="AEY30" s="47"/>
      <c r="AEZ30" s="47"/>
      <c r="AFA30" s="47"/>
      <c r="AFB30" s="47"/>
      <c r="AFC30" s="47"/>
      <c r="AFD30" s="47"/>
      <c r="AFE30" s="47"/>
      <c r="AFF30" s="47"/>
      <c r="AFG30" s="47"/>
      <c r="AFH30" s="47"/>
      <c r="AFI30" s="47"/>
      <c r="AFJ30" s="47"/>
      <c r="AFK30" s="47"/>
      <c r="AFL30" s="47"/>
      <c r="AFM30" s="47"/>
      <c r="AFN30" s="47"/>
      <c r="AFO30" s="47"/>
      <c r="AFP30" s="47"/>
      <c r="AFQ30" s="47"/>
      <c r="AFR30" s="47"/>
      <c r="AFS30" s="47"/>
      <c r="AFT30" s="47"/>
      <c r="AFU30" s="47"/>
      <c r="AFV30" s="47"/>
      <c r="AFW30" s="47"/>
      <c r="AFX30" s="47"/>
      <c r="AFY30" s="47"/>
      <c r="AFZ30" s="47"/>
      <c r="AGA30" s="47"/>
      <c r="AGB30" s="47"/>
      <c r="AGC30" s="47"/>
      <c r="AGD30" s="47"/>
      <c r="AGE30" s="47"/>
      <c r="AGF30" s="47"/>
      <c r="AGG30" s="47"/>
      <c r="AGH30" s="47"/>
      <c r="AGI30" s="47"/>
      <c r="AGJ30" s="47"/>
      <c r="AGK30" s="47"/>
      <c r="AGL30" s="47"/>
      <c r="AGM30" s="47"/>
      <c r="AGN30" s="47"/>
      <c r="AGO30" s="47"/>
      <c r="AGP30" s="47"/>
      <c r="AGQ30" s="47"/>
      <c r="AGR30" s="47"/>
      <c r="AGS30" s="47"/>
    </row>
    <row r="31" spans="1:877" ht="13">
      <c r="A31" s="25"/>
      <c r="B31" s="44">
        <v>25</v>
      </c>
      <c r="C31" s="46" t="s">
        <v>25</v>
      </c>
      <c r="D31" s="36"/>
      <c r="E31" s="36"/>
      <c r="F31" s="27"/>
      <c r="G31" s="27">
        <f t="shared" ref="G31:CL31" si="10">G30*$B$15</f>
        <v>0</v>
      </c>
      <c r="H31" s="27">
        <f t="shared" si="10"/>
        <v>0</v>
      </c>
      <c r="I31" s="27">
        <f t="shared" si="10"/>
        <v>0</v>
      </c>
      <c r="J31" s="27">
        <f t="shared" si="10"/>
        <v>0</v>
      </c>
      <c r="K31" s="27">
        <f t="shared" si="10"/>
        <v>0</v>
      </c>
      <c r="L31" s="27">
        <f t="shared" si="10"/>
        <v>0</v>
      </c>
      <c r="M31" s="27">
        <f t="shared" si="10"/>
        <v>0</v>
      </c>
      <c r="N31" s="27">
        <f t="shared" si="10"/>
        <v>0</v>
      </c>
      <c r="O31" s="27">
        <f t="shared" si="10"/>
        <v>0</v>
      </c>
      <c r="P31" s="27">
        <f t="shared" si="10"/>
        <v>0</v>
      </c>
      <c r="Q31" s="27">
        <f t="shared" si="10"/>
        <v>0</v>
      </c>
      <c r="R31" s="27">
        <f t="shared" si="10"/>
        <v>0</v>
      </c>
      <c r="S31" s="27">
        <f t="shared" si="10"/>
        <v>0</v>
      </c>
      <c r="T31" s="27">
        <f t="shared" si="10"/>
        <v>0</v>
      </c>
      <c r="U31" s="27">
        <f t="shared" si="10"/>
        <v>0</v>
      </c>
      <c r="V31" s="27">
        <f t="shared" si="10"/>
        <v>0</v>
      </c>
      <c r="W31" s="27">
        <f t="shared" si="10"/>
        <v>0</v>
      </c>
      <c r="X31" s="27">
        <f t="shared" si="10"/>
        <v>0</v>
      </c>
      <c r="Y31" s="27">
        <f t="shared" si="10"/>
        <v>0</v>
      </c>
      <c r="Z31" s="27">
        <f t="shared" si="10"/>
        <v>0</v>
      </c>
      <c r="AA31" s="27">
        <f t="shared" si="10"/>
        <v>0</v>
      </c>
      <c r="AB31" s="27">
        <f t="shared" si="10"/>
        <v>0</v>
      </c>
      <c r="AC31" s="27">
        <f t="shared" si="10"/>
        <v>0</v>
      </c>
      <c r="AD31" s="27">
        <f t="shared" si="10"/>
        <v>0</v>
      </c>
      <c r="AE31" s="27">
        <f t="shared" si="10"/>
        <v>0</v>
      </c>
      <c r="AF31" s="27">
        <f t="shared" si="10"/>
        <v>0</v>
      </c>
      <c r="AG31" s="27">
        <f t="shared" si="10"/>
        <v>0</v>
      </c>
      <c r="AH31" s="27">
        <f t="shared" si="10"/>
        <v>0</v>
      </c>
      <c r="AI31" s="27">
        <f t="shared" si="10"/>
        <v>0</v>
      </c>
      <c r="AJ31" s="27">
        <f t="shared" si="10"/>
        <v>0</v>
      </c>
      <c r="AK31" s="27">
        <f t="shared" si="10"/>
        <v>0</v>
      </c>
      <c r="AL31" s="27">
        <f t="shared" si="10"/>
        <v>0</v>
      </c>
      <c r="AM31" s="27">
        <f t="shared" si="10"/>
        <v>0</v>
      </c>
      <c r="AN31" s="27">
        <f t="shared" si="10"/>
        <v>0</v>
      </c>
      <c r="AO31" s="27">
        <f t="shared" si="10"/>
        <v>0</v>
      </c>
      <c r="AP31" s="27">
        <f t="shared" si="10"/>
        <v>0</v>
      </c>
      <c r="AQ31" s="27">
        <f t="shared" si="10"/>
        <v>937500</v>
      </c>
      <c r="AR31" s="27">
        <f t="shared" si="10"/>
        <v>937500</v>
      </c>
      <c r="AS31" s="27">
        <f t="shared" si="10"/>
        <v>937500</v>
      </c>
      <c r="AT31" s="27">
        <f t="shared" si="10"/>
        <v>937500</v>
      </c>
      <c r="AU31" s="27">
        <f t="shared" si="10"/>
        <v>937500</v>
      </c>
      <c r="AV31" s="27">
        <f t="shared" si="10"/>
        <v>937500</v>
      </c>
      <c r="AW31" s="27">
        <f t="shared" si="10"/>
        <v>937500</v>
      </c>
      <c r="AX31" s="27">
        <f t="shared" si="10"/>
        <v>937500</v>
      </c>
      <c r="AY31" s="27">
        <f t="shared" si="10"/>
        <v>937500</v>
      </c>
      <c r="AZ31" s="27">
        <f t="shared" si="10"/>
        <v>937500</v>
      </c>
      <c r="BA31" s="27">
        <f t="shared" si="10"/>
        <v>937500</v>
      </c>
      <c r="BB31" s="27">
        <f t="shared" si="10"/>
        <v>937500</v>
      </c>
      <c r="BC31" s="27">
        <f t="shared" si="10"/>
        <v>1875000</v>
      </c>
      <c r="BD31" s="27">
        <f t="shared" si="10"/>
        <v>1875000</v>
      </c>
      <c r="BE31" s="27">
        <f t="shared" si="10"/>
        <v>1875000</v>
      </c>
      <c r="BF31" s="27">
        <f t="shared" si="10"/>
        <v>1875000</v>
      </c>
      <c r="BG31" s="27">
        <f t="shared" si="10"/>
        <v>1875000</v>
      </c>
      <c r="BH31" s="27">
        <f t="shared" si="10"/>
        <v>1875000</v>
      </c>
      <c r="BI31" s="27">
        <f t="shared" si="10"/>
        <v>1875000</v>
      </c>
      <c r="BJ31" s="27">
        <f t="shared" si="10"/>
        <v>1875000</v>
      </c>
      <c r="BK31" s="27">
        <f t="shared" si="10"/>
        <v>1875000</v>
      </c>
      <c r="BL31" s="27">
        <f t="shared" si="10"/>
        <v>1875000</v>
      </c>
      <c r="BM31" s="27">
        <f t="shared" si="10"/>
        <v>1875000</v>
      </c>
      <c r="BN31" s="27">
        <f t="shared" si="10"/>
        <v>1875000</v>
      </c>
      <c r="BO31" s="27">
        <f t="shared" si="10"/>
        <v>1875000</v>
      </c>
      <c r="BP31" s="27">
        <f t="shared" si="10"/>
        <v>1875000</v>
      </c>
      <c r="BQ31" s="27">
        <f t="shared" si="10"/>
        <v>1875000</v>
      </c>
      <c r="BR31" s="27">
        <f t="shared" si="10"/>
        <v>1875000</v>
      </c>
      <c r="BS31" s="27">
        <f t="shared" si="10"/>
        <v>1875000</v>
      </c>
      <c r="BT31" s="27">
        <f t="shared" si="10"/>
        <v>1875000</v>
      </c>
      <c r="BU31" s="27">
        <f t="shared" si="10"/>
        <v>1875000</v>
      </c>
      <c r="BV31" s="27">
        <f t="shared" si="10"/>
        <v>1875000</v>
      </c>
      <c r="BW31" s="27">
        <f t="shared" si="10"/>
        <v>1875000</v>
      </c>
      <c r="BX31" s="27">
        <f t="shared" si="10"/>
        <v>1875000</v>
      </c>
      <c r="BY31" s="27">
        <f t="shared" si="10"/>
        <v>1875000</v>
      </c>
      <c r="BZ31" s="27">
        <f t="shared" si="10"/>
        <v>1875000</v>
      </c>
      <c r="CA31" s="27">
        <f t="shared" si="10"/>
        <v>1875000</v>
      </c>
      <c r="CB31" s="27">
        <f t="shared" si="10"/>
        <v>1875000</v>
      </c>
      <c r="CC31" s="27">
        <f t="shared" si="10"/>
        <v>1875000</v>
      </c>
      <c r="CD31" s="27">
        <f t="shared" si="10"/>
        <v>1875000</v>
      </c>
      <c r="CE31" s="27">
        <f t="shared" si="10"/>
        <v>1875000</v>
      </c>
      <c r="CF31" s="27">
        <f t="shared" si="10"/>
        <v>1875000</v>
      </c>
      <c r="CG31" s="27">
        <f t="shared" si="10"/>
        <v>1875000</v>
      </c>
      <c r="CH31" s="27">
        <f t="shared" si="10"/>
        <v>1875000</v>
      </c>
      <c r="CI31" s="27">
        <f t="shared" si="10"/>
        <v>1875000</v>
      </c>
      <c r="CJ31" s="27">
        <f t="shared" si="10"/>
        <v>1875000</v>
      </c>
      <c r="CK31" s="27">
        <f t="shared" si="10"/>
        <v>1875000</v>
      </c>
      <c r="CL31" s="27">
        <f t="shared" si="10"/>
        <v>1875000</v>
      </c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  <c r="KH31" s="21"/>
      <c r="KI31" s="21"/>
      <c r="KJ31" s="21"/>
      <c r="KK31" s="21"/>
      <c r="KL31" s="21"/>
      <c r="KM31" s="21"/>
      <c r="KN31" s="21"/>
      <c r="KO31" s="21"/>
      <c r="KP31" s="21"/>
      <c r="KQ31" s="21"/>
      <c r="KR31" s="21"/>
      <c r="KS31" s="21"/>
      <c r="KT31" s="21"/>
      <c r="KU31" s="21"/>
      <c r="KV31" s="21"/>
      <c r="KW31" s="21"/>
      <c r="KX31" s="21"/>
      <c r="KY31" s="21"/>
      <c r="KZ31" s="21"/>
      <c r="LA31" s="21"/>
      <c r="LB31" s="21"/>
      <c r="LC31" s="21"/>
      <c r="LD31" s="21"/>
      <c r="LE31" s="21"/>
      <c r="LF31" s="21"/>
      <c r="LG31" s="21"/>
      <c r="LH31" s="21"/>
      <c r="LI31" s="21"/>
      <c r="LJ31" s="21"/>
      <c r="LK31" s="21"/>
      <c r="LL31" s="21"/>
      <c r="LM31" s="21"/>
      <c r="LN31" s="21"/>
      <c r="LO31" s="21"/>
      <c r="LP31" s="21"/>
      <c r="LQ31" s="21"/>
      <c r="LR31" s="21"/>
      <c r="LS31" s="21"/>
      <c r="LT31" s="21"/>
      <c r="LU31" s="21"/>
      <c r="LV31" s="21"/>
      <c r="LW31" s="21"/>
      <c r="LX31" s="21"/>
      <c r="LY31" s="21"/>
      <c r="LZ31" s="21"/>
      <c r="MA31" s="21"/>
      <c r="MB31" s="21"/>
      <c r="MC31" s="21"/>
      <c r="MD31" s="21"/>
      <c r="ME31" s="21"/>
      <c r="MF31" s="21"/>
      <c r="MG31" s="21"/>
      <c r="MH31" s="21"/>
      <c r="MI31" s="21"/>
      <c r="MJ31" s="21"/>
      <c r="MK31" s="21"/>
      <c r="ML31" s="21"/>
      <c r="MM31" s="21"/>
      <c r="MN31" s="21"/>
      <c r="MO31" s="21"/>
      <c r="MP31" s="21"/>
      <c r="MQ31" s="21"/>
      <c r="MR31" s="21"/>
      <c r="MS31" s="21"/>
      <c r="MT31" s="21"/>
      <c r="MU31" s="21"/>
      <c r="MV31" s="21"/>
      <c r="MW31" s="21"/>
      <c r="MX31" s="21"/>
      <c r="MY31" s="21"/>
      <c r="MZ31" s="21"/>
      <c r="NA31" s="21"/>
      <c r="NB31" s="21"/>
      <c r="NC31" s="21"/>
      <c r="ND31" s="21"/>
      <c r="NE31" s="21"/>
      <c r="NF31" s="21"/>
      <c r="NG31" s="21"/>
      <c r="NH31" s="21"/>
      <c r="NI31" s="21"/>
      <c r="NJ31" s="21"/>
      <c r="NK31" s="21"/>
      <c r="NL31" s="21"/>
      <c r="NM31" s="21"/>
      <c r="NN31" s="21"/>
      <c r="NO31" s="21"/>
      <c r="NP31" s="21"/>
      <c r="NQ31" s="21"/>
      <c r="NR31" s="21"/>
      <c r="NS31" s="21"/>
      <c r="NT31" s="21"/>
      <c r="NU31" s="21"/>
      <c r="NV31" s="21"/>
      <c r="NW31" s="21"/>
      <c r="NX31" s="21"/>
      <c r="NY31" s="21"/>
      <c r="NZ31" s="21"/>
      <c r="OA31" s="21"/>
      <c r="OB31" s="21"/>
      <c r="OC31" s="21"/>
      <c r="OD31" s="21"/>
      <c r="OE31" s="21"/>
      <c r="OF31" s="21"/>
      <c r="OG31" s="21"/>
      <c r="OH31" s="21"/>
      <c r="OI31" s="21"/>
      <c r="OJ31" s="21"/>
      <c r="OK31" s="21"/>
      <c r="OL31" s="21"/>
      <c r="OM31" s="21"/>
      <c r="ON31" s="21"/>
      <c r="OO31" s="21"/>
      <c r="OP31" s="21"/>
      <c r="OQ31" s="21"/>
      <c r="OR31" s="21"/>
      <c r="OS31" s="21"/>
      <c r="OT31" s="21"/>
      <c r="OU31" s="21"/>
      <c r="OV31" s="21"/>
      <c r="OW31" s="21"/>
      <c r="OX31" s="21"/>
      <c r="OY31" s="21"/>
      <c r="OZ31" s="21"/>
      <c r="PA31" s="21"/>
      <c r="PB31" s="21"/>
      <c r="PC31" s="21"/>
      <c r="PD31" s="21"/>
      <c r="PE31" s="21"/>
      <c r="PF31" s="21"/>
      <c r="PG31" s="21"/>
      <c r="PH31" s="21"/>
      <c r="PI31" s="21"/>
      <c r="PJ31" s="21"/>
      <c r="PK31" s="21"/>
      <c r="PL31" s="21"/>
      <c r="PM31" s="21"/>
      <c r="PN31" s="21"/>
      <c r="PO31" s="21"/>
      <c r="PP31" s="21"/>
      <c r="PQ31" s="21"/>
      <c r="PR31" s="21"/>
      <c r="PS31" s="21"/>
      <c r="PT31" s="21"/>
      <c r="PU31" s="21"/>
      <c r="PV31" s="21"/>
      <c r="PW31" s="21"/>
      <c r="PX31" s="21"/>
      <c r="PY31" s="21"/>
      <c r="PZ31" s="21"/>
      <c r="QA31" s="21"/>
      <c r="QB31" s="21"/>
      <c r="QC31" s="21"/>
      <c r="QD31" s="21"/>
      <c r="QE31" s="21"/>
      <c r="QF31" s="21"/>
      <c r="QG31" s="21"/>
      <c r="QH31" s="21"/>
      <c r="QI31" s="21"/>
      <c r="QJ31" s="21"/>
      <c r="QK31" s="21"/>
      <c r="QL31" s="21"/>
      <c r="QM31" s="21"/>
      <c r="QN31" s="21"/>
      <c r="QO31" s="21"/>
      <c r="QP31" s="21"/>
      <c r="QQ31" s="21"/>
      <c r="QR31" s="21"/>
      <c r="QS31" s="21"/>
      <c r="QT31" s="21"/>
      <c r="QU31" s="21"/>
      <c r="QV31" s="21"/>
      <c r="QW31" s="21"/>
      <c r="QX31" s="21"/>
      <c r="QY31" s="21"/>
      <c r="QZ31" s="21"/>
      <c r="RA31" s="21"/>
      <c r="RB31" s="21"/>
      <c r="RC31" s="21"/>
      <c r="RD31" s="21"/>
      <c r="RE31" s="21"/>
      <c r="RF31" s="21"/>
      <c r="RG31" s="21"/>
      <c r="RH31" s="21"/>
      <c r="RI31" s="21"/>
      <c r="RJ31" s="21"/>
      <c r="RK31" s="21"/>
      <c r="RL31" s="21"/>
      <c r="RM31" s="21"/>
      <c r="RN31" s="21"/>
      <c r="RO31" s="21"/>
      <c r="RP31" s="21"/>
      <c r="RQ31" s="21"/>
      <c r="RR31" s="21"/>
      <c r="RS31" s="21"/>
      <c r="RT31" s="21"/>
      <c r="RU31" s="21"/>
      <c r="RV31" s="21"/>
      <c r="RW31" s="21"/>
      <c r="RX31" s="21"/>
      <c r="RY31" s="21"/>
      <c r="RZ31" s="21"/>
      <c r="SA31" s="21"/>
      <c r="SB31" s="21"/>
      <c r="SC31" s="21"/>
      <c r="SD31" s="21"/>
      <c r="SE31" s="21"/>
      <c r="SF31" s="21"/>
      <c r="SG31" s="21"/>
      <c r="SH31" s="21"/>
      <c r="SI31" s="21"/>
      <c r="SJ31" s="21"/>
      <c r="SK31" s="21"/>
      <c r="SL31" s="21"/>
      <c r="SM31" s="21"/>
      <c r="SN31" s="21"/>
      <c r="SO31" s="21"/>
      <c r="SP31" s="21"/>
      <c r="SQ31" s="21"/>
      <c r="SR31" s="21"/>
      <c r="SS31" s="21"/>
      <c r="ST31" s="21"/>
      <c r="SU31" s="21"/>
      <c r="SV31" s="21"/>
      <c r="SW31" s="21"/>
      <c r="SX31" s="21"/>
      <c r="SY31" s="21"/>
      <c r="SZ31" s="21"/>
      <c r="TA31" s="21"/>
      <c r="TB31" s="21"/>
      <c r="TC31" s="21"/>
      <c r="TD31" s="21"/>
      <c r="TE31" s="21"/>
      <c r="TF31" s="21"/>
      <c r="TG31" s="21"/>
      <c r="TH31" s="21"/>
      <c r="TI31" s="21"/>
      <c r="TJ31" s="21"/>
      <c r="TK31" s="21"/>
      <c r="TL31" s="21"/>
      <c r="TM31" s="21"/>
      <c r="TN31" s="21"/>
      <c r="TO31" s="21"/>
      <c r="TP31" s="21"/>
      <c r="TQ31" s="21"/>
      <c r="TR31" s="21"/>
      <c r="TS31" s="21"/>
      <c r="TT31" s="21"/>
      <c r="TU31" s="21"/>
      <c r="TV31" s="21"/>
      <c r="TW31" s="21"/>
      <c r="TX31" s="21"/>
      <c r="TY31" s="21"/>
      <c r="TZ31" s="21"/>
      <c r="UA31" s="21"/>
      <c r="UB31" s="21"/>
      <c r="UC31" s="21"/>
      <c r="UD31" s="21"/>
      <c r="UE31" s="21"/>
      <c r="UF31" s="21"/>
      <c r="UG31" s="21"/>
      <c r="UH31" s="21"/>
      <c r="UI31" s="21"/>
      <c r="UJ31" s="21"/>
      <c r="UK31" s="21"/>
      <c r="UL31" s="21"/>
      <c r="UM31" s="21"/>
      <c r="UN31" s="21"/>
      <c r="UO31" s="21"/>
      <c r="UP31" s="21"/>
      <c r="UQ31" s="21"/>
      <c r="UR31" s="21"/>
      <c r="US31" s="21"/>
      <c r="UT31" s="21"/>
      <c r="UU31" s="21"/>
      <c r="UV31" s="21"/>
      <c r="UW31" s="21"/>
      <c r="UX31" s="21"/>
      <c r="UY31" s="21"/>
      <c r="UZ31" s="21"/>
      <c r="VA31" s="21"/>
      <c r="VB31" s="21"/>
      <c r="VC31" s="21"/>
      <c r="VD31" s="21"/>
      <c r="VE31" s="21"/>
      <c r="VF31" s="21"/>
      <c r="VG31" s="21"/>
      <c r="VH31" s="21"/>
      <c r="VI31" s="21"/>
      <c r="VJ31" s="21"/>
      <c r="VK31" s="21"/>
      <c r="VL31" s="21"/>
      <c r="VM31" s="21"/>
      <c r="VN31" s="21"/>
      <c r="VO31" s="21"/>
      <c r="VP31" s="21"/>
      <c r="VQ31" s="21"/>
      <c r="VR31" s="21"/>
      <c r="VS31" s="21"/>
      <c r="VT31" s="21"/>
      <c r="VU31" s="21"/>
      <c r="VV31" s="21"/>
      <c r="VW31" s="21"/>
      <c r="VX31" s="21"/>
      <c r="VY31" s="21"/>
      <c r="VZ31" s="21"/>
      <c r="WA31" s="21"/>
      <c r="WB31" s="21"/>
      <c r="WC31" s="21"/>
      <c r="WD31" s="21"/>
      <c r="WE31" s="21"/>
      <c r="WF31" s="21"/>
      <c r="WG31" s="21"/>
      <c r="WH31" s="21"/>
      <c r="WI31" s="21"/>
      <c r="WJ31" s="21"/>
      <c r="WK31" s="21"/>
      <c r="WL31" s="21"/>
      <c r="WM31" s="21"/>
      <c r="WN31" s="21"/>
      <c r="WO31" s="21"/>
      <c r="WP31" s="21"/>
      <c r="WQ31" s="21"/>
      <c r="WR31" s="21"/>
      <c r="WS31" s="21"/>
      <c r="WT31" s="21"/>
      <c r="WU31" s="21"/>
      <c r="WV31" s="21"/>
      <c r="WW31" s="21"/>
      <c r="WX31" s="21"/>
      <c r="WY31" s="21"/>
      <c r="WZ31" s="21"/>
      <c r="XA31" s="21"/>
      <c r="XB31" s="21"/>
      <c r="XC31" s="21"/>
      <c r="XD31" s="21"/>
      <c r="XE31" s="21"/>
      <c r="XF31" s="21"/>
      <c r="XG31" s="21"/>
      <c r="XH31" s="21"/>
      <c r="XI31" s="21"/>
      <c r="XJ31" s="21"/>
      <c r="XK31" s="21"/>
      <c r="XL31" s="21"/>
      <c r="XM31" s="21"/>
      <c r="XN31" s="21"/>
      <c r="XO31" s="21"/>
      <c r="XP31" s="21"/>
      <c r="XQ31" s="21"/>
      <c r="XR31" s="21"/>
      <c r="XS31" s="21"/>
      <c r="XT31" s="21"/>
      <c r="XU31" s="21"/>
      <c r="XV31" s="21"/>
      <c r="XW31" s="21"/>
      <c r="XX31" s="21"/>
      <c r="XY31" s="21"/>
      <c r="XZ31" s="21"/>
      <c r="YA31" s="21"/>
      <c r="YB31" s="21"/>
      <c r="YC31" s="21"/>
      <c r="YD31" s="21"/>
      <c r="YE31" s="21"/>
      <c r="YF31" s="21"/>
      <c r="YG31" s="21"/>
      <c r="YH31" s="21"/>
      <c r="YI31" s="21"/>
      <c r="YJ31" s="21"/>
      <c r="YK31" s="21"/>
      <c r="YL31" s="21"/>
      <c r="YM31" s="21"/>
      <c r="YN31" s="21"/>
      <c r="YO31" s="21"/>
      <c r="YP31" s="21"/>
      <c r="YQ31" s="21"/>
      <c r="YR31" s="21"/>
      <c r="YS31" s="21"/>
      <c r="YT31" s="21"/>
      <c r="YU31" s="21"/>
      <c r="YV31" s="21"/>
      <c r="YW31" s="21"/>
      <c r="YX31" s="21"/>
      <c r="YY31" s="21"/>
      <c r="YZ31" s="21"/>
      <c r="ZA31" s="21"/>
      <c r="ZB31" s="21"/>
      <c r="ZC31" s="21"/>
      <c r="ZD31" s="21"/>
      <c r="ZE31" s="21"/>
      <c r="ZF31" s="21"/>
      <c r="ZG31" s="21"/>
      <c r="ZH31" s="21"/>
      <c r="ZI31" s="21"/>
      <c r="ZJ31" s="21"/>
      <c r="ZK31" s="21"/>
      <c r="ZL31" s="21"/>
      <c r="ZM31" s="21"/>
      <c r="ZN31" s="21"/>
      <c r="ZO31" s="21"/>
      <c r="ZP31" s="21"/>
      <c r="ZQ31" s="21"/>
      <c r="ZR31" s="21"/>
      <c r="ZS31" s="21"/>
      <c r="ZT31" s="21"/>
      <c r="ZU31" s="21"/>
      <c r="ZV31" s="21"/>
      <c r="ZW31" s="21"/>
      <c r="ZX31" s="21"/>
      <c r="ZY31" s="21"/>
      <c r="ZZ31" s="21"/>
      <c r="AAA31" s="21"/>
      <c r="AAB31" s="21"/>
      <c r="AAC31" s="21"/>
      <c r="AAD31" s="21"/>
      <c r="AAE31" s="21"/>
      <c r="AAF31" s="21"/>
      <c r="AAG31" s="21"/>
      <c r="AAH31" s="21"/>
      <c r="AAI31" s="21"/>
      <c r="AAJ31" s="21"/>
      <c r="AAK31" s="21"/>
      <c r="AAL31" s="21"/>
      <c r="AAM31" s="21"/>
      <c r="AAN31" s="21"/>
      <c r="AAO31" s="21"/>
      <c r="AAP31" s="21"/>
      <c r="AAQ31" s="21"/>
      <c r="AAR31" s="21"/>
      <c r="AAS31" s="21"/>
      <c r="AAT31" s="21"/>
      <c r="AAU31" s="21"/>
      <c r="AAV31" s="21"/>
      <c r="AAW31" s="21"/>
      <c r="AAX31" s="21"/>
      <c r="AAY31" s="21"/>
      <c r="AAZ31" s="21"/>
      <c r="ABA31" s="21"/>
      <c r="ABB31" s="21"/>
      <c r="ABC31" s="21"/>
      <c r="ABD31" s="21"/>
      <c r="ABE31" s="21"/>
      <c r="ABF31" s="21"/>
      <c r="ABG31" s="21"/>
      <c r="ABH31" s="21"/>
      <c r="ABI31" s="21"/>
      <c r="ABJ31" s="21"/>
      <c r="ABK31" s="21"/>
      <c r="ABL31" s="21"/>
      <c r="ABM31" s="21"/>
      <c r="ABN31" s="21"/>
      <c r="ABO31" s="21"/>
      <c r="ABP31" s="21"/>
      <c r="ABQ31" s="21"/>
      <c r="ABR31" s="21"/>
      <c r="ABS31" s="21"/>
      <c r="ABT31" s="21"/>
      <c r="ABU31" s="21"/>
      <c r="ABV31" s="21"/>
      <c r="ABW31" s="21"/>
      <c r="ABX31" s="21"/>
      <c r="ABY31" s="21"/>
      <c r="ABZ31" s="21"/>
      <c r="ACA31" s="21"/>
      <c r="ACB31" s="21"/>
      <c r="ACC31" s="21"/>
      <c r="ACD31" s="21"/>
      <c r="ACE31" s="21"/>
      <c r="ACF31" s="21"/>
      <c r="ACG31" s="21"/>
      <c r="ACH31" s="21"/>
      <c r="ACI31" s="21"/>
      <c r="ACJ31" s="21"/>
      <c r="ACK31" s="21"/>
      <c r="ACL31" s="21"/>
      <c r="ACM31" s="21"/>
      <c r="ACN31" s="21"/>
      <c r="ACO31" s="21"/>
      <c r="ACP31" s="21"/>
      <c r="ACQ31" s="21"/>
      <c r="ACR31" s="21"/>
      <c r="ACS31" s="21"/>
      <c r="ACT31" s="21"/>
      <c r="ACU31" s="21"/>
      <c r="ACV31" s="21"/>
      <c r="ACW31" s="21"/>
      <c r="ACX31" s="21"/>
      <c r="ACY31" s="21"/>
      <c r="ACZ31" s="21"/>
      <c r="ADA31" s="21"/>
      <c r="ADB31" s="21"/>
      <c r="ADC31" s="21"/>
      <c r="ADD31" s="21"/>
      <c r="ADE31" s="21"/>
      <c r="ADF31" s="21"/>
      <c r="ADG31" s="21"/>
      <c r="ADH31" s="21"/>
      <c r="ADI31" s="21"/>
      <c r="ADJ31" s="21"/>
      <c r="ADK31" s="21"/>
      <c r="ADL31" s="21"/>
      <c r="ADM31" s="21"/>
      <c r="ADN31" s="21"/>
      <c r="ADO31" s="21"/>
      <c r="ADP31" s="21"/>
      <c r="ADQ31" s="21"/>
      <c r="ADR31" s="21"/>
      <c r="ADS31" s="21"/>
      <c r="ADT31" s="21"/>
      <c r="ADU31" s="21"/>
      <c r="ADV31" s="21"/>
      <c r="ADW31" s="21"/>
      <c r="ADX31" s="21"/>
      <c r="ADY31" s="21"/>
      <c r="ADZ31" s="21"/>
      <c r="AEA31" s="21"/>
      <c r="AEB31" s="21"/>
      <c r="AEC31" s="21"/>
      <c r="AED31" s="21"/>
      <c r="AEE31" s="21"/>
      <c r="AEF31" s="21"/>
      <c r="AEG31" s="21"/>
      <c r="AEH31" s="21"/>
      <c r="AEI31" s="21"/>
      <c r="AEJ31" s="21"/>
      <c r="AEK31" s="21"/>
      <c r="AEL31" s="21"/>
      <c r="AEM31" s="21"/>
      <c r="AEN31" s="21"/>
      <c r="AEO31" s="21"/>
      <c r="AEP31" s="21"/>
      <c r="AEQ31" s="21"/>
      <c r="AER31" s="21"/>
      <c r="AES31" s="21"/>
      <c r="AET31" s="21"/>
      <c r="AEU31" s="21"/>
      <c r="AEV31" s="21"/>
      <c r="AEW31" s="21"/>
      <c r="AEX31" s="21"/>
      <c r="AEY31" s="21"/>
      <c r="AEZ31" s="21"/>
      <c r="AFA31" s="21"/>
      <c r="AFB31" s="21"/>
      <c r="AFC31" s="21"/>
      <c r="AFD31" s="21"/>
      <c r="AFE31" s="21"/>
      <c r="AFF31" s="21"/>
      <c r="AFG31" s="21"/>
      <c r="AFH31" s="21"/>
      <c r="AFI31" s="21"/>
      <c r="AFJ31" s="21"/>
      <c r="AFK31" s="21"/>
      <c r="AFL31" s="21"/>
      <c r="AFM31" s="21"/>
      <c r="AFN31" s="21"/>
      <c r="AFO31" s="21"/>
      <c r="AFP31" s="21"/>
      <c r="AFQ31" s="21"/>
      <c r="AFR31" s="21"/>
      <c r="AFS31" s="21"/>
      <c r="AFT31" s="21"/>
      <c r="AFU31" s="21"/>
      <c r="AFV31" s="21"/>
      <c r="AFW31" s="21"/>
      <c r="AFX31" s="21"/>
      <c r="AFY31" s="21"/>
      <c r="AFZ31" s="21"/>
      <c r="AGA31" s="21"/>
      <c r="AGB31" s="21"/>
      <c r="AGC31" s="21"/>
      <c r="AGD31" s="21"/>
      <c r="AGE31" s="21"/>
      <c r="AGF31" s="21"/>
      <c r="AGG31" s="21"/>
      <c r="AGH31" s="21"/>
      <c r="AGI31" s="21"/>
      <c r="AGJ31" s="21"/>
      <c r="AGK31" s="21"/>
      <c r="AGL31" s="21"/>
      <c r="AGM31" s="21"/>
      <c r="AGN31" s="21"/>
      <c r="AGO31" s="21"/>
      <c r="AGP31" s="21"/>
      <c r="AGQ31" s="21"/>
      <c r="AGR31" s="21"/>
      <c r="AGS31" s="21"/>
    </row>
    <row r="32" spans="1:877" ht="13">
      <c r="A32" s="25"/>
      <c r="B32" s="48"/>
      <c r="C32" s="49" t="s">
        <v>26</v>
      </c>
      <c r="D32" s="36"/>
      <c r="E32" s="36"/>
      <c r="F32" s="27"/>
      <c r="G32" s="27">
        <f t="shared" ref="G32:CL32" si="11">G30*$B$13</f>
        <v>0</v>
      </c>
      <c r="H32" s="27">
        <f t="shared" si="11"/>
        <v>0</v>
      </c>
      <c r="I32" s="27">
        <f t="shared" si="11"/>
        <v>0</v>
      </c>
      <c r="J32" s="27">
        <f t="shared" si="11"/>
        <v>0</v>
      </c>
      <c r="K32" s="27">
        <f t="shared" si="11"/>
        <v>0</v>
      </c>
      <c r="L32" s="27">
        <f t="shared" si="11"/>
        <v>0</v>
      </c>
      <c r="M32" s="27">
        <f t="shared" si="11"/>
        <v>0</v>
      </c>
      <c r="N32" s="27">
        <f t="shared" si="11"/>
        <v>0</v>
      </c>
      <c r="O32" s="27">
        <f t="shared" si="11"/>
        <v>0</v>
      </c>
      <c r="P32" s="27">
        <f t="shared" si="11"/>
        <v>0</v>
      </c>
      <c r="Q32" s="27">
        <f t="shared" si="11"/>
        <v>0</v>
      </c>
      <c r="R32" s="27">
        <f t="shared" si="11"/>
        <v>0</v>
      </c>
      <c r="S32" s="27">
        <f t="shared" si="11"/>
        <v>0</v>
      </c>
      <c r="T32" s="27">
        <f t="shared" si="11"/>
        <v>0</v>
      </c>
      <c r="U32" s="27">
        <f t="shared" si="11"/>
        <v>0</v>
      </c>
      <c r="V32" s="27">
        <f t="shared" si="11"/>
        <v>0</v>
      </c>
      <c r="W32" s="27">
        <f t="shared" si="11"/>
        <v>0</v>
      </c>
      <c r="X32" s="27">
        <f t="shared" si="11"/>
        <v>0</v>
      </c>
      <c r="Y32" s="27">
        <f t="shared" si="11"/>
        <v>0</v>
      </c>
      <c r="Z32" s="27">
        <f t="shared" si="11"/>
        <v>0</v>
      </c>
      <c r="AA32" s="27">
        <f t="shared" si="11"/>
        <v>0</v>
      </c>
      <c r="AB32" s="27">
        <f t="shared" si="11"/>
        <v>0</v>
      </c>
      <c r="AC32" s="27">
        <f t="shared" si="11"/>
        <v>0</v>
      </c>
      <c r="AD32" s="27">
        <f t="shared" si="11"/>
        <v>0</v>
      </c>
      <c r="AE32" s="27">
        <f t="shared" si="11"/>
        <v>0</v>
      </c>
      <c r="AF32" s="27">
        <f t="shared" si="11"/>
        <v>0</v>
      </c>
      <c r="AG32" s="27">
        <f t="shared" si="11"/>
        <v>0</v>
      </c>
      <c r="AH32" s="27">
        <f t="shared" si="11"/>
        <v>0</v>
      </c>
      <c r="AI32" s="27">
        <f t="shared" si="11"/>
        <v>0</v>
      </c>
      <c r="AJ32" s="27">
        <f t="shared" si="11"/>
        <v>0</v>
      </c>
      <c r="AK32" s="27">
        <f t="shared" si="11"/>
        <v>0</v>
      </c>
      <c r="AL32" s="27">
        <f t="shared" si="11"/>
        <v>0</v>
      </c>
      <c r="AM32" s="27">
        <f t="shared" si="11"/>
        <v>0</v>
      </c>
      <c r="AN32" s="27">
        <f t="shared" si="11"/>
        <v>0</v>
      </c>
      <c r="AO32" s="27">
        <f t="shared" si="11"/>
        <v>0</v>
      </c>
      <c r="AP32" s="27">
        <f t="shared" si="11"/>
        <v>0</v>
      </c>
      <c r="AQ32" s="27">
        <f t="shared" si="11"/>
        <v>98245.065789473694</v>
      </c>
      <c r="AR32" s="27">
        <f t="shared" si="11"/>
        <v>98245.065789473694</v>
      </c>
      <c r="AS32" s="27">
        <f t="shared" si="11"/>
        <v>98245.065789473694</v>
      </c>
      <c r="AT32" s="27">
        <f t="shared" si="11"/>
        <v>98245.065789473694</v>
      </c>
      <c r="AU32" s="27">
        <f t="shared" si="11"/>
        <v>98245.065789473694</v>
      </c>
      <c r="AV32" s="27">
        <f t="shared" si="11"/>
        <v>98245.065789473694</v>
      </c>
      <c r="AW32" s="27">
        <f t="shared" si="11"/>
        <v>98245.065789473694</v>
      </c>
      <c r="AX32" s="27">
        <f t="shared" si="11"/>
        <v>98245.065789473694</v>
      </c>
      <c r="AY32" s="27">
        <f t="shared" si="11"/>
        <v>98245.065789473694</v>
      </c>
      <c r="AZ32" s="27">
        <f t="shared" si="11"/>
        <v>98245.065789473694</v>
      </c>
      <c r="BA32" s="27">
        <f t="shared" si="11"/>
        <v>98245.065789473694</v>
      </c>
      <c r="BB32" s="27">
        <f t="shared" si="11"/>
        <v>98245.065789473694</v>
      </c>
      <c r="BC32" s="27">
        <f t="shared" si="11"/>
        <v>196490.13157894739</v>
      </c>
      <c r="BD32" s="27">
        <f t="shared" si="11"/>
        <v>196490.13157894739</v>
      </c>
      <c r="BE32" s="27">
        <f t="shared" si="11"/>
        <v>196490.13157894739</v>
      </c>
      <c r="BF32" s="27">
        <f t="shared" si="11"/>
        <v>196490.13157894739</v>
      </c>
      <c r="BG32" s="27">
        <f t="shared" si="11"/>
        <v>196490.13157894739</v>
      </c>
      <c r="BH32" s="27">
        <f t="shared" si="11"/>
        <v>196490.13157894739</v>
      </c>
      <c r="BI32" s="27">
        <f t="shared" si="11"/>
        <v>196490.13157894739</v>
      </c>
      <c r="BJ32" s="27">
        <f t="shared" si="11"/>
        <v>196490.13157894739</v>
      </c>
      <c r="BK32" s="27">
        <f t="shared" si="11"/>
        <v>196490.13157894739</v>
      </c>
      <c r="BL32" s="27">
        <f t="shared" si="11"/>
        <v>196490.13157894739</v>
      </c>
      <c r="BM32" s="27">
        <f t="shared" si="11"/>
        <v>196490.13157894739</v>
      </c>
      <c r="BN32" s="27">
        <f t="shared" si="11"/>
        <v>196490.13157894739</v>
      </c>
      <c r="BO32" s="27">
        <f t="shared" si="11"/>
        <v>196490.13157894739</v>
      </c>
      <c r="BP32" s="27">
        <f t="shared" si="11"/>
        <v>196490.13157894739</v>
      </c>
      <c r="BQ32" s="27">
        <f t="shared" si="11"/>
        <v>196490.13157894739</v>
      </c>
      <c r="BR32" s="27">
        <f t="shared" si="11"/>
        <v>196490.13157894739</v>
      </c>
      <c r="BS32" s="27">
        <f t="shared" si="11"/>
        <v>196490.13157894739</v>
      </c>
      <c r="BT32" s="27">
        <f t="shared" si="11"/>
        <v>196490.13157894739</v>
      </c>
      <c r="BU32" s="27">
        <f t="shared" si="11"/>
        <v>196490.13157894739</v>
      </c>
      <c r="BV32" s="27">
        <f t="shared" si="11"/>
        <v>196490.13157894739</v>
      </c>
      <c r="BW32" s="27">
        <f t="shared" si="11"/>
        <v>196490.13157894739</v>
      </c>
      <c r="BX32" s="27">
        <f t="shared" si="11"/>
        <v>196490.13157894739</v>
      </c>
      <c r="BY32" s="27">
        <f t="shared" si="11"/>
        <v>196490.13157894739</v>
      </c>
      <c r="BZ32" s="27">
        <f t="shared" si="11"/>
        <v>196490.13157894739</v>
      </c>
      <c r="CA32" s="27">
        <f t="shared" si="11"/>
        <v>196490.13157894739</v>
      </c>
      <c r="CB32" s="27">
        <f t="shared" si="11"/>
        <v>196490.13157894739</v>
      </c>
      <c r="CC32" s="27">
        <f t="shared" si="11"/>
        <v>196490.13157894739</v>
      </c>
      <c r="CD32" s="27">
        <f t="shared" si="11"/>
        <v>196490.13157894739</v>
      </c>
      <c r="CE32" s="27">
        <f t="shared" si="11"/>
        <v>196490.13157894739</v>
      </c>
      <c r="CF32" s="27">
        <f t="shared" si="11"/>
        <v>196490.13157894739</v>
      </c>
      <c r="CG32" s="27">
        <f t="shared" si="11"/>
        <v>196490.13157894739</v>
      </c>
      <c r="CH32" s="27">
        <f t="shared" si="11"/>
        <v>196490.13157894739</v>
      </c>
      <c r="CI32" s="27">
        <f t="shared" si="11"/>
        <v>196490.13157894739</v>
      </c>
      <c r="CJ32" s="27">
        <f t="shared" si="11"/>
        <v>196490.13157894739</v>
      </c>
      <c r="CK32" s="27">
        <f t="shared" si="11"/>
        <v>196490.13157894739</v>
      </c>
      <c r="CL32" s="27">
        <f t="shared" si="11"/>
        <v>196490.13157894739</v>
      </c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  <c r="KJ32" s="21"/>
      <c r="KK32" s="21"/>
      <c r="KL32" s="21"/>
      <c r="KM32" s="21"/>
      <c r="KN32" s="21"/>
      <c r="KO32" s="21"/>
      <c r="KP32" s="21"/>
      <c r="KQ32" s="21"/>
      <c r="KR32" s="21"/>
      <c r="KS32" s="21"/>
      <c r="KT32" s="21"/>
      <c r="KU32" s="21"/>
      <c r="KV32" s="21"/>
      <c r="KW32" s="21"/>
      <c r="KX32" s="21"/>
      <c r="KY32" s="21"/>
      <c r="KZ32" s="21"/>
      <c r="LA32" s="21"/>
      <c r="LB32" s="21"/>
      <c r="LC32" s="21"/>
      <c r="LD32" s="21"/>
      <c r="LE32" s="21"/>
      <c r="LF32" s="21"/>
      <c r="LG32" s="21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LV32" s="21"/>
      <c r="LW32" s="21"/>
      <c r="LX32" s="21"/>
      <c r="LY32" s="21"/>
      <c r="LZ32" s="21"/>
      <c r="MA32" s="21"/>
      <c r="MB32" s="21"/>
      <c r="MC32" s="21"/>
      <c r="MD32" s="21"/>
      <c r="ME32" s="21"/>
      <c r="MF32" s="21"/>
      <c r="MG32" s="21"/>
      <c r="MH32" s="21"/>
      <c r="MI32" s="21"/>
      <c r="MJ32" s="21"/>
      <c r="MK32" s="21"/>
      <c r="ML32" s="21"/>
      <c r="MM32" s="21"/>
      <c r="MN32" s="21"/>
      <c r="MO32" s="21"/>
      <c r="MP32" s="21"/>
      <c r="MQ32" s="21"/>
      <c r="MR32" s="21"/>
      <c r="MS32" s="21"/>
      <c r="MT32" s="21"/>
      <c r="MU32" s="21"/>
      <c r="MV32" s="21"/>
      <c r="MW32" s="21"/>
      <c r="MX32" s="21"/>
      <c r="MY32" s="21"/>
      <c r="MZ32" s="21"/>
      <c r="NA32" s="21"/>
      <c r="NB32" s="21"/>
      <c r="NC32" s="21"/>
      <c r="ND32" s="21"/>
      <c r="NE32" s="21"/>
      <c r="NF32" s="21"/>
      <c r="NG32" s="21"/>
      <c r="NH32" s="21"/>
      <c r="NI32" s="21"/>
      <c r="NJ32" s="21"/>
      <c r="NK32" s="21"/>
      <c r="NL32" s="21"/>
      <c r="NM32" s="21"/>
      <c r="NN32" s="21"/>
      <c r="NO32" s="21"/>
      <c r="NP32" s="21"/>
      <c r="NQ32" s="21"/>
      <c r="NR32" s="21"/>
      <c r="NS32" s="21"/>
      <c r="NT32" s="21"/>
      <c r="NU32" s="21"/>
      <c r="NV32" s="21"/>
      <c r="NW32" s="21"/>
      <c r="NX32" s="21"/>
      <c r="NY32" s="21"/>
      <c r="NZ32" s="21"/>
      <c r="OA32" s="21"/>
      <c r="OB32" s="21"/>
      <c r="OC32" s="21"/>
      <c r="OD32" s="21"/>
      <c r="OE32" s="21"/>
      <c r="OF32" s="21"/>
      <c r="OG32" s="21"/>
      <c r="OH32" s="21"/>
      <c r="OI32" s="21"/>
      <c r="OJ32" s="21"/>
      <c r="OK32" s="21"/>
      <c r="OL32" s="21"/>
      <c r="OM32" s="21"/>
      <c r="ON32" s="21"/>
      <c r="OO32" s="21"/>
      <c r="OP32" s="21"/>
      <c r="OQ32" s="21"/>
      <c r="OR32" s="21"/>
      <c r="OS32" s="21"/>
      <c r="OT32" s="21"/>
      <c r="OU32" s="21"/>
      <c r="OV32" s="21"/>
      <c r="OW32" s="21"/>
      <c r="OX32" s="21"/>
      <c r="OY32" s="21"/>
      <c r="OZ32" s="21"/>
      <c r="PA32" s="21"/>
      <c r="PB32" s="21"/>
      <c r="PC32" s="21"/>
      <c r="PD32" s="21"/>
      <c r="PE32" s="21"/>
      <c r="PF32" s="21"/>
      <c r="PG32" s="21"/>
      <c r="PH32" s="21"/>
      <c r="PI32" s="21"/>
      <c r="PJ32" s="21"/>
      <c r="PK32" s="21"/>
      <c r="PL32" s="21"/>
      <c r="PM32" s="21"/>
      <c r="PN32" s="21"/>
      <c r="PO32" s="21"/>
      <c r="PP32" s="21"/>
      <c r="PQ32" s="21"/>
      <c r="PR32" s="21"/>
      <c r="PS32" s="21"/>
      <c r="PT32" s="21"/>
      <c r="PU32" s="21"/>
      <c r="PV32" s="21"/>
      <c r="PW32" s="21"/>
      <c r="PX32" s="21"/>
      <c r="PY32" s="21"/>
      <c r="PZ32" s="21"/>
      <c r="QA32" s="21"/>
      <c r="QB32" s="21"/>
      <c r="QC32" s="21"/>
      <c r="QD32" s="21"/>
      <c r="QE32" s="21"/>
      <c r="QF32" s="21"/>
      <c r="QG32" s="21"/>
      <c r="QH32" s="21"/>
      <c r="QI32" s="21"/>
      <c r="QJ32" s="21"/>
      <c r="QK32" s="21"/>
      <c r="QL32" s="21"/>
      <c r="QM32" s="21"/>
      <c r="QN32" s="21"/>
      <c r="QO32" s="21"/>
      <c r="QP32" s="21"/>
      <c r="QQ32" s="21"/>
      <c r="QR32" s="21"/>
      <c r="QS32" s="21"/>
      <c r="QT32" s="21"/>
      <c r="QU32" s="21"/>
      <c r="QV32" s="21"/>
      <c r="QW32" s="21"/>
      <c r="QX32" s="21"/>
      <c r="QY32" s="21"/>
      <c r="QZ32" s="21"/>
      <c r="RA32" s="21"/>
      <c r="RB32" s="21"/>
      <c r="RC32" s="21"/>
      <c r="RD32" s="21"/>
      <c r="RE32" s="21"/>
      <c r="RF32" s="21"/>
      <c r="RG32" s="21"/>
      <c r="RH32" s="21"/>
      <c r="RI32" s="21"/>
      <c r="RJ32" s="21"/>
      <c r="RK32" s="21"/>
      <c r="RL32" s="21"/>
      <c r="RM32" s="21"/>
      <c r="RN32" s="21"/>
      <c r="RO32" s="21"/>
      <c r="RP32" s="21"/>
      <c r="RQ32" s="21"/>
      <c r="RR32" s="21"/>
      <c r="RS32" s="21"/>
      <c r="RT32" s="21"/>
      <c r="RU32" s="21"/>
      <c r="RV32" s="21"/>
      <c r="RW32" s="21"/>
      <c r="RX32" s="21"/>
      <c r="RY32" s="21"/>
      <c r="RZ32" s="21"/>
      <c r="SA32" s="21"/>
      <c r="SB32" s="21"/>
      <c r="SC32" s="21"/>
      <c r="SD32" s="21"/>
      <c r="SE32" s="21"/>
      <c r="SF32" s="21"/>
      <c r="SG32" s="21"/>
      <c r="SH32" s="21"/>
      <c r="SI32" s="21"/>
      <c r="SJ32" s="21"/>
      <c r="SK32" s="21"/>
      <c r="SL32" s="21"/>
      <c r="SM32" s="21"/>
      <c r="SN32" s="21"/>
      <c r="SO32" s="21"/>
      <c r="SP32" s="21"/>
      <c r="SQ32" s="21"/>
      <c r="SR32" s="21"/>
      <c r="SS32" s="21"/>
      <c r="ST32" s="21"/>
      <c r="SU32" s="21"/>
      <c r="SV32" s="21"/>
      <c r="SW32" s="21"/>
      <c r="SX32" s="21"/>
      <c r="SY32" s="21"/>
      <c r="SZ32" s="21"/>
      <c r="TA32" s="21"/>
      <c r="TB32" s="21"/>
      <c r="TC32" s="21"/>
      <c r="TD32" s="21"/>
      <c r="TE32" s="21"/>
      <c r="TF32" s="21"/>
      <c r="TG32" s="21"/>
      <c r="TH32" s="21"/>
      <c r="TI32" s="21"/>
      <c r="TJ32" s="21"/>
      <c r="TK32" s="21"/>
      <c r="TL32" s="21"/>
      <c r="TM32" s="21"/>
      <c r="TN32" s="21"/>
      <c r="TO32" s="21"/>
      <c r="TP32" s="21"/>
      <c r="TQ32" s="21"/>
      <c r="TR32" s="21"/>
      <c r="TS32" s="21"/>
      <c r="TT32" s="21"/>
      <c r="TU32" s="21"/>
      <c r="TV32" s="21"/>
      <c r="TW32" s="21"/>
      <c r="TX32" s="21"/>
      <c r="TY32" s="21"/>
      <c r="TZ32" s="21"/>
      <c r="UA32" s="21"/>
      <c r="UB32" s="21"/>
      <c r="UC32" s="21"/>
      <c r="UD32" s="21"/>
      <c r="UE32" s="21"/>
      <c r="UF32" s="21"/>
      <c r="UG32" s="21"/>
      <c r="UH32" s="21"/>
      <c r="UI32" s="21"/>
      <c r="UJ32" s="21"/>
      <c r="UK32" s="21"/>
      <c r="UL32" s="21"/>
      <c r="UM32" s="21"/>
      <c r="UN32" s="21"/>
      <c r="UO32" s="21"/>
      <c r="UP32" s="21"/>
      <c r="UQ32" s="21"/>
      <c r="UR32" s="21"/>
      <c r="US32" s="21"/>
      <c r="UT32" s="21"/>
      <c r="UU32" s="21"/>
      <c r="UV32" s="21"/>
      <c r="UW32" s="21"/>
      <c r="UX32" s="21"/>
      <c r="UY32" s="21"/>
      <c r="UZ32" s="21"/>
      <c r="VA32" s="21"/>
      <c r="VB32" s="21"/>
      <c r="VC32" s="21"/>
      <c r="VD32" s="21"/>
      <c r="VE32" s="21"/>
      <c r="VF32" s="21"/>
      <c r="VG32" s="21"/>
      <c r="VH32" s="21"/>
      <c r="VI32" s="21"/>
      <c r="VJ32" s="21"/>
      <c r="VK32" s="21"/>
      <c r="VL32" s="21"/>
      <c r="VM32" s="21"/>
      <c r="VN32" s="21"/>
      <c r="VO32" s="21"/>
      <c r="VP32" s="21"/>
      <c r="VQ32" s="21"/>
      <c r="VR32" s="21"/>
      <c r="VS32" s="21"/>
      <c r="VT32" s="21"/>
      <c r="VU32" s="21"/>
      <c r="VV32" s="21"/>
      <c r="VW32" s="21"/>
      <c r="VX32" s="21"/>
      <c r="VY32" s="21"/>
      <c r="VZ32" s="21"/>
      <c r="WA32" s="21"/>
      <c r="WB32" s="21"/>
      <c r="WC32" s="21"/>
      <c r="WD32" s="21"/>
      <c r="WE32" s="21"/>
      <c r="WF32" s="21"/>
      <c r="WG32" s="21"/>
      <c r="WH32" s="21"/>
      <c r="WI32" s="21"/>
      <c r="WJ32" s="21"/>
      <c r="WK32" s="21"/>
      <c r="WL32" s="21"/>
      <c r="WM32" s="21"/>
      <c r="WN32" s="21"/>
      <c r="WO32" s="21"/>
      <c r="WP32" s="21"/>
      <c r="WQ32" s="21"/>
      <c r="WR32" s="21"/>
      <c r="WS32" s="21"/>
      <c r="WT32" s="21"/>
      <c r="WU32" s="21"/>
      <c r="WV32" s="21"/>
      <c r="WW32" s="21"/>
      <c r="WX32" s="21"/>
      <c r="WY32" s="21"/>
      <c r="WZ32" s="21"/>
      <c r="XA32" s="21"/>
      <c r="XB32" s="21"/>
      <c r="XC32" s="21"/>
      <c r="XD32" s="21"/>
      <c r="XE32" s="21"/>
      <c r="XF32" s="21"/>
      <c r="XG32" s="21"/>
      <c r="XH32" s="21"/>
      <c r="XI32" s="21"/>
      <c r="XJ32" s="21"/>
      <c r="XK32" s="21"/>
      <c r="XL32" s="21"/>
      <c r="XM32" s="21"/>
      <c r="XN32" s="21"/>
      <c r="XO32" s="21"/>
      <c r="XP32" s="21"/>
      <c r="XQ32" s="21"/>
      <c r="XR32" s="21"/>
      <c r="XS32" s="21"/>
      <c r="XT32" s="21"/>
      <c r="XU32" s="21"/>
      <c r="XV32" s="21"/>
      <c r="XW32" s="21"/>
      <c r="XX32" s="21"/>
      <c r="XY32" s="21"/>
      <c r="XZ32" s="21"/>
      <c r="YA32" s="21"/>
      <c r="YB32" s="21"/>
      <c r="YC32" s="21"/>
      <c r="YD32" s="21"/>
      <c r="YE32" s="21"/>
      <c r="YF32" s="21"/>
      <c r="YG32" s="21"/>
      <c r="YH32" s="21"/>
      <c r="YI32" s="21"/>
      <c r="YJ32" s="21"/>
      <c r="YK32" s="21"/>
      <c r="YL32" s="21"/>
      <c r="YM32" s="21"/>
      <c r="YN32" s="21"/>
      <c r="YO32" s="21"/>
      <c r="YP32" s="21"/>
      <c r="YQ32" s="21"/>
      <c r="YR32" s="21"/>
      <c r="YS32" s="21"/>
      <c r="YT32" s="21"/>
      <c r="YU32" s="21"/>
      <c r="YV32" s="21"/>
      <c r="YW32" s="21"/>
      <c r="YX32" s="21"/>
      <c r="YY32" s="21"/>
      <c r="YZ32" s="21"/>
      <c r="ZA32" s="21"/>
      <c r="ZB32" s="21"/>
      <c r="ZC32" s="21"/>
      <c r="ZD32" s="21"/>
      <c r="ZE32" s="21"/>
      <c r="ZF32" s="21"/>
      <c r="ZG32" s="21"/>
      <c r="ZH32" s="21"/>
      <c r="ZI32" s="21"/>
      <c r="ZJ32" s="21"/>
      <c r="ZK32" s="21"/>
      <c r="ZL32" s="21"/>
      <c r="ZM32" s="21"/>
      <c r="ZN32" s="21"/>
      <c r="ZO32" s="21"/>
      <c r="ZP32" s="21"/>
      <c r="ZQ32" s="21"/>
      <c r="ZR32" s="21"/>
      <c r="ZS32" s="21"/>
      <c r="ZT32" s="21"/>
      <c r="ZU32" s="21"/>
      <c r="ZV32" s="21"/>
      <c r="ZW32" s="21"/>
      <c r="ZX32" s="21"/>
      <c r="ZY32" s="21"/>
      <c r="ZZ32" s="21"/>
      <c r="AAA32" s="21"/>
      <c r="AAB32" s="21"/>
      <c r="AAC32" s="21"/>
      <c r="AAD32" s="21"/>
      <c r="AAE32" s="21"/>
      <c r="AAF32" s="21"/>
      <c r="AAG32" s="21"/>
      <c r="AAH32" s="21"/>
      <c r="AAI32" s="21"/>
      <c r="AAJ32" s="21"/>
      <c r="AAK32" s="21"/>
      <c r="AAL32" s="21"/>
      <c r="AAM32" s="21"/>
      <c r="AAN32" s="21"/>
      <c r="AAO32" s="21"/>
      <c r="AAP32" s="21"/>
      <c r="AAQ32" s="21"/>
      <c r="AAR32" s="21"/>
      <c r="AAS32" s="21"/>
      <c r="AAT32" s="21"/>
      <c r="AAU32" s="21"/>
      <c r="AAV32" s="21"/>
      <c r="AAW32" s="21"/>
      <c r="AAX32" s="21"/>
      <c r="AAY32" s="21"/>
      <c r="AAZ32" s="21"/>
      <c r="ABA32" s="21"/>
      <c r="ABB32" s="21"/>
      <c r="ABC32" s="21"/>
      <c r="ABD32" s="21"/>
      <c r="ABE32" s="21"/>
      <c r="ABF32" s="21"/>
      <c r="ABG32" s="21"/>
      <c r="ABH32" s="21"/>
      <c r="ABI32" s="21"/>
      <c r="ABJ32" s="21"/>
      <c r="ABK32" s="21"/>
      <c r="ABL32" s="21"/>
      <c r="ABM32" s="21"/>
      <c r="ABN32" s="21"/>
      <c r="ABO32" s="21"/>
      <c r="ABP32" s="21"/>
      <c r="ABQ32" s="21"/>
      <c r="ABR32" s="21"/>
      <c r="ABS32" s="21"/>
      <c r="ABT32" s="21"/>
      <c r="ABU32" s="21"/>
      <c r="ABV32" s="21"/>
      <c r="ABW32" s="21"/>
      <c r="ABX32" s="21"/>
      <c r="ABY32" s="21"/>
      <c r="ABZ32" s="21"/>
      <c r="ACA32" s="21"/>
      <c r="ACB32" s="21"/>
      <c r="ACC32" s="21"/>
      <c r="ACD32" s="21"/>
      <c r="ACE32" s="21"/>
      <c r="ACF32" s="21"/>
      <c r="ACG32" s="21"/>
      <c r="ACH32" s="21"/>
      <c r="ACI32" s="21"/>
      <c r="ACJ32" s="21"/>
      <c r="ACK32" s="21"/>
      <c r="ACL32" s="21"/>
      <c r="ACM32" s="21"/>
      <c r="ACN32" s="21"/>
      <c r="ACO32" s="21"/>
      <c r="ACP32" s="21"/>
      <c r="ACQ32" s="21"/>
      <c r="ACR32" s="21"/>
      <c r="ACS32" s="21"/>
      <c r="ACT32" s="21"/>
      <c r="ACU32" s="21"/>
      <c r="ACV32" s="21"/>
      <c r="ACW32" s="21"/>
      <c r="ACX32" s="21"/>
      <c r="ACY32" s="21"/>
      <c r="ACZ32" s="21"/>
      <c r="ADA32" s="21"/>
      <c r="ADB32" s="21"/>
      <c r="ADC32" s="21"/>
      <c r="ADD32" s="21"/>
      <c r="ADE32" s="21"/>
      <c r="ADF32" s="21"/>
      <c r="ADG32" s="21"/>
      <c r="ADH32" s="21"/>
      <c r="ADI32" s="21"/>
      <c r="ADJ32" s="21"/>
      <c r="ADK32" s="21"/>
      <c r="ADL32" s="21"/>
      <c r="ADM32" s="21"/>
      <c r="ADN32" s="21"/>
      <c r="ADO32" s="21"/>
      <c r="ADP32" s="21"/>
      <c r="ADQ32" s="21"/>
      <c r="ADR32" s="21"/>
      <c r="ADS32" s="21"/>
      <c r="ADT32" s="21"/>
      <c r="ADU32" s="21"/>
      <c r="ADV32" s="21"/>
      <c r="ADW32" s="21"/>
      <c r="ADX32" s="21"/>
      <c r="ADY32" s="21"/>
      <c r="ADZ32" s="21"/>
      <c r="AEA32" s="21"/>
      <c r="AEB32" s="21"/>
      <c r="AEC32" s="21"/>
      <c r="AED32" s="21"/>
      <c r="AEE32" s="21"/>
      <c r="AEF32" s="21"/>
      <c r="AEG32" s="21"/>
      <c r="AEH32" s="21"/>
      <c r="AEI32" s="21"/>
      <c r="AEJ32" s="21"/>
      <c r="AEK32" s="21"/>
      <c r="AEL32" s="21"/>
      <c r="AEM32" s="21"/>
      <c r="AEN32" s="21"/>
      <c r="AEO32" s="21"/>
      <c r="AEP32" s="21"/>
      <c r="AEQ32" s="21"/>
      <c r="AER32" s="21"/>
      <c r="AES32" s="21"/>
      <c r="AET32" s="21"/>
      <c r="AEU32" s="21"/>
      <c r="AEV32" s="21"/>
      <c r="AEW32" s="21"/>
      <c r="AEX32" s="21"/>
      <c r="AEY32" s="21"/>
      <c r="AEZ32" s="21"/>
      <c r="AFA32" s="21"/>
      <c r="AFB32" s="21"/>
      <c r="AFC32" s="21"/>
      <c r="AFD32" s="21"/>
      <c r="AFE32" s="21"/>
      <c r="AFF32" s="21"/>
      <c r="AFG32" s="21"/>
      <c r="AFH32" s="21"/>
      <c r="AFI32" s="21"/>
      <c r="AFJ32" s="21"/>
      <c r="AFK32" s="21"/>
      <c r="AFL32" s="21"/>
      <c r="AFM32" s="21"/>
      <c r="AFN32" s="21"/>
      <c r="AFO32" s="21"/>
      <c r="AFP32" s="21"/>
      <c r="AFQ32" s="21"/>
      <c r="AFR32" s="21"/>
      <c r="AFS32" s="21"/>
      <c r="AFT32" s="21"/>
      <c r="AFU32" s="21"/>
      <c r="AFV32" s="21"/>
      <c r="AFW32" s="21"/>
      <c r="AFX32" s="21"/>
      <c r="AFY32" s="21"/>
      <c r="AFZ32" s="21"/>
      <c r="AGA32" s="21"/>
      <c r="AGB32" s="21"/>
      <c r="AGC32" s="21"/>
      <c r="AGD32" s="21"/>
      <c r="AGE32" s="21"/>
      <c r="AGF32" s="21"/>
      <c r="AGG32" s="21"/>
      <c r="AGH32" s="21"/>
      <c r="AGI32" s="21"/>
      <c r="AGJ32" s="21"/>
      <c r="AGK32" s="21"/>
      <c r="AGL32" s="21"/>
      <c r="AGM32" s="21"/>
      <c r="AGN32" s="21"/>
      <c r="AGO32" s="21"/>
      <c r="AGP32" s="21"/>
      <c r="AGQ32" s="21"/>
      <c r="AGR32" s="21"/>
      <c r="AGS32" s="21"/>
    </row>
    <row r="33" spans="1:877" ht="13">
      <c r="A33" s="25"/>
      <c r="B33" s="50"/>
      <c r="C33" s="33" t="s">
        <v>27</v>
      </c>
      <c r="D33" s="34"/>
      <c r="E33" s="34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>
        <f t="shared" ref="AE33:CL33" si="12">AE30*($B$31-$B$29)</f>
        <v>0</v>
      </c>
      <c r="AF33" s="35">
        <f t="shared" si="12"/>
        <v>0</v>
      </c>
      <c r="AG33" s="35">
        <f t="shared" si="12"/>
        <v>0</v>
      </c>
      <c r="AH33" s="35">
        <f t="shared" si="12"/>
        <v>0</v>
      </c>
      <c r="AI33" s="35">
        <f t="shared" si="12"/>
        <v>0</v>
      </c>
      <c r="AJ33" s="35">
        <f t="shared" si="12"/>
        <v>0</v>
      </c>
      <c r="AK33" s="35">
        <f t="shared" si="12"/>
        <v>0</v>
      </c>
      <c r="AL33" s="35">
        <f t="shared" si="12"/>
        <v>0</v>
      </c>
      <c r="AM33" s="35">
        <f t="shared" si="12"/>
        <v>0</v>
      </c>
      <c r="AN33" s="35">
        <f t="shared" si="12"/>
        <v>0</v>
      </c>
      <c r="AO33" s="35">
        <f t="shared" si="12"/>
        <v>0</v>
      </c>
      <c r="AP33" s="35">
        <f t="shared" si="12"/>
        <v>0</v>
      </c>
      <c r="AQ33" s="35">
        <f t="shared" si="12"/>
        <v>839254.93421052629</v>
      </c>
      <c r="AR33" s="35">
        <f t="shared" si="12"/>
        <v>839254.93421052629</v>
      </c>
      <c r="AS33" s="35">
        <f t="shared" si="12"/>
        <v>839254.93421052629</v>
      </c>
      <c r="AT33" s="35">
        <f t="shared" si="12"/>
        <v>839254.93421052629</v>
      </c>
      <c r="AU33" s="35">
        <f t="shared" si="12"/>
        <v>839254.93421052629</v>
      </c>
      <c r="AV33" s="35">
        <f t="shared" si="12"/>
        <v>839254.93421052629</v>
      </c>
      <c r="AW33" s="35">
        <f t="shared" si="12"/>
        <v>839254.93421052629</v>
      </c>
      <c r="AX33" s="35">
        <f t="shared" si="12"/>
        <v>839254.93421052629</v>
      </c>
      <c r="AY33" s="35">
        <f t="shared" si="12"/>
        <v>839254.93421052629</v>
      </c>
      <c r="AZ33" s="35">
        <f t="shared" si="12"/>
        <v>839254.93421052629</v>
      </c>
      <c r="BA33" s="35">
        <f t="shared" si="12"/>
        <v>839254.93421052629</v>
      </c>
      <c r="BB33" s="35">
        <f t="shared" si="12"/>
        <v>839254.93421052629</v>
      </c>
      <c r="BC33" s="35">
        <f t="shared" si="12"/>
        <v>1678509.8684210526</v>
      </c>
      <c r="BD33" s="35">
        <f t="shared" si="12"/>
        <v>1678509.8684210526</v>
      </c>
      <c r="BE33" s="35">
        <f t="shared" si="12"/>
        <v>1678509.8684210526</v>
      </c>
      <c r="BF33" s="35">
        <f t="shared" si="12"/>
        <v>1678509.8684210526</v>
      </c>
      <c r="BG33" s="35">
        <f t="shared" si="12"/>
        <v>1678509.8684210526</v>
      </c>
      <c r="BH33" s="35">
        <f t="shared" si="12"/>
        <v>1678509.8684210526</v>
      </c>
      <c r="BI33" s="35">
        <f t="shared" si="12"/>
        <v>1678509.8684210526</v>
      </c>
      <c r="BJ33" s="35">
        <f t="shared" si="12"/>
        <v>1678509.8684210526</v>
      </c>
      <c r="BK33" s="35">
        <f t="shared" si="12"/>
        <v>1678509.8684210526</v>
      </c>
      <c r="BL33" s="35">
        <f t="shared" si="12"/>
        <v>1678509.8684210526</v>
      </c>
      <c r="BM33" s="35">
        <f t="shared" si="12"/>
        <v>1678509.8684210526</v>
      </c>
      <c r="BN33" s="35">
        <f t="shared" si="12"/>
        <v>1678509.8684210526</v>
      </c>
      <c r="BO33" s="35">
        <f t="shared" si="12"/>
        <v>1678509.8684210526</v>
      </c>
      <c r="BP33" s="35">
        <f t="shared" si="12"/>
        <v>1678509.8684210526</v>
      </c>
      <c r="BQ33" s="35">
        <f t="shared" si="12"/>
        <v>1678509.8684210526</v>
      </c>
      <c r="BR33" s="35">
        <f t="shared" si="12"/>
        <v>1678509.8684210526</v>
      </c>
      <c r="BS33" s="35">
        <f t="shared" si="12"/>
        <v>1678509.8684210526</v>
      </c>
      <c r="BT33" s="35">
        <f t="shared" si="12"/>
        <v>1678509.8684210526</v>
      </c>
      <c r="BU33" s="35">
        <f t="shared" si="12"/>
        <v>1678509.8684210526</v>
      </c>
      <c r="BV33" s="35">
        <f t="shared" si="12"/>
        <v>1678509.8684210526</v>
      </c>
      <c r="BW33" s="35">
        <f t="shared" si="12"/>
        <v>1678509.8684210526</v>
      </c>
      <c r="BX33" s="35">
        <f t="shared" si="12"/>
        <v>1678509.8684210526</v>
      </c>
      <c r="BY33" s="35">
        <f t="shared" si="12"/>
        <v>1678509.8684210526</v>
      </c>
      <c r="BZ33" s="35">
        <f t="shared" si="12"/>
        <v>1678509.8684210526</v>
      </c>
      <c r="CA33" s="35">
        <f t="shared" si="12"/>
        <v>1678509.8684210526</v>
      </c>
      <c r="CB33" s="35">
        <f t="shared" si="12"/>
        <v>1678509.8684210526</v>
      </c>
      <c r="CC33" s="35">
        <f t="shared" si="12"/>
        <v>1678509.8684210526</v>
      </c>
      <c r="CD33" s="35">
        <f t="shared" si="12"/>
        <v>1678509.8684210526</v>
      </c>
      <c r="CE33" s="35">
        <f t="shared" si="12"/>
        <v>1678509.8684210526</v>
      </c>
      <c r="CF33" s="35">
        <f t="shared" si="12"/>
        <v>1678509.8684210526</v>
      </c>
      <c r="CG33" s="35">
        <f t="shared" si="12"/>
        <v>1678509.8684210526</v>
      </c>
      <c r="CH33" s="35">
        <f t="shared" si="12"/>
        <v>1678509.8684210526</v>
      </c>
      <c r="CI33" s="35">
        <f t="shared" si="12"/>
        <v>1678509.8684210526</v>
      </c>
      <c r="CJ33" s="35">
        <f t="shared" si="12"/>
        <v>1678509.8684210526</v>
      </c>
      <c r="CK33" s="35">
        <f t="shared" si="12"/>
        <v>1678509.8684210526</v>
      </c>
      <c r="CL33" s="35">
        <f t="shared" si="12"/>
        <v>1678509.8684210526</v>
      </c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  <c r="KO33" s="21"/>
      <c r="KP33" s="21"/>
      <c r="KQ33" s="21"/>
      <c r="KR33" s="21"/>
      <c r="KS33" s="21"/>
      <c r="KT33" s="21"/>
      <c r="KU33" s="21"/>
      <c r="KV33" s="21"/>
      <c r="KW33" s="21"/>
      <c r="KX33" s="21"/>
      <c r="KY33" s="21"/>
      <c r="KZ33" s="21"/>
      <c r="LA33" s="21"/>
      <c r="LB33" s="21"/>
      <c r="LC33" s="21"/>
      <c r="LD33" s="21"/>
      <c r="LE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LY33" s="21"/>
      <c r="LZ33" s="21"/>
      <c r="MA33" s="21"/>
      <c r="MB33" s="21"/>
      <c r="MC33" s="21"/>
      <c r="MD33" s="21"/>
      <c r="ME33" s="21"/>
      <c r="MF33" s="21"/>
      <c r="MG33" s="21"/>
      <c r="MH33" s="21"/>
      <c r="MI33" s="21"/>
      <c r="MJ33" s="21"/>
      <c r="MK33" s="21"/>
      <c r="ML33" s="21"/>
      <c r="MM33" s="21"/>
      <c r="MN33" s="21"/>
      <c r="MO33" s="21"/>
      <c r="MP33" s="21"/>
      <c r="MQ33" s="21"/>
      <c r="MR33" s="21"/>
      <c r="MS33" s="21"/>
      <c r="MT33" s="21"/>
      <c r="MU33" s="21"/>
      <c r="MV33" s="21"/>
      <c r="MW33" s="21"/>
      <c r="MX33" s="21"/>
      <c r="MY33" s="21"/>
      <c r="MZ33" s="21"/>
      <c r="NA33" s="21"/>
      <c r="NB33" s="21"/>
      <c r="NC33" s="21"/>
      <c r="ND33" s="21"/>
      <c r="NE33" s="21"/>
      <c r="NF33" s="21"/>
      <c r="NG33" s="21"/>
      <c r="NH33" s="21"/>
      <c r="NI33" s="21"/>
      <c r="NJ33" s="21"/>
      <c r="NK33" s="21"/>
      <c r="NL33" s="21"/>
      <c r="NM33" s="21"/>
      <c r="NN33" s="21"/>
      <c r="NO33" s="21"/>
      <c r="NP33" s="21"/>
      <c r="NQ33" s="21"/>
      <c r="NR33" s="21"/>
      <c r="NS33" s="21"/>
      <c r="NT33" s="21"/>
      <c r="NU33" s="21"/>
      <c r="NV33" s="21"/>
      <c r="NW33" s="21"/>
      <c r="NX33" s="21"/>
      <c r="NY33" s="21"/>
      <c r="NZ33" s="21"/>
      <c r="OA33" s="21"/>
      <c r="OB33" s="21"/>
      <c r="OC33" s="21"/>
      <c r="OD33" s="21"/>
      <c r="OE33" s="21"/>
      <c r="OF33" s="21"/>
      <c r="OG33" s="21"/>
      <c r="OH33" s="21"/>
      <c r="OI33" s="21"/>
      <c r="OJ33" s="21"/>
      <c r="OK33" s="21"/>
      <c r="OL33" s="21"/>
      <c r="OM33" s="21"/>
      <c r="ON33" s="21"/>
      <c r="OO33" s="21"/>
      <c r="OP33" s="21"/>
      <c r="OQ33" s="21"/>
      <c r="OR33" s="21"/>
      <c r="OS33" s="21"/>
      <c r="OT33" s="21"/>
      <c r="OU33" s="21"/>
      <c r="OV33" s="21"/>
      <c r="OW33" s="21"/>
      <c r="OX33" s="21"/>
      <c r="OY33" s="21"/>
      <c r="OZ33" s="21"/>
      <c r="PA33" s="21"/>
      <c r="PB33" s="21"/>
      <c r="PC33" s="21"/>
      <c r="PD33" s="21"/>
      <c r="PE33" s="21"/>
      <c r="PF33" s="21"/>
      <c r="PG33" s="21"/>
      <c r="PH33" s="21"/>
      <c r="PI33" s="21"/>
      <c r="PJ33" s="21"/>
      <c r="PK33" s="21"/>
      <c r="PL33" s="21"/>
      <c r="PM33" s="21"/>
      <c r="PN33" s="21"/>
      <c r="PO33" s="21"/>
      <c r="PP33" s="21"/>
      <c r="PQ33" s="21"/>
      <c r="PR33" s="21"/>
      <c r="PS33" s="21"/>
      <c r="PT33" s="21"/>
      <c r="PU33" s="21"/>
      <c r="PV33" s="21"/>
      <c r="PW33" s="21"/>
      <c r="PX33" s="21"/>
      <c r="PY33" s="21"/>
      <c r="PZ33" s="21"/>
      <c r="QA33" s="21"/>
      <c r="QB33" s="21"/>
      <c r="QC33" s="21"/>
      <c r="QD33" s="21"/>
      <c r="QE33" s="21"/>
      <c r="QF33" s="21"/>
      <c r="QG33" s="21"/>
      <c r="QH33" s="21"/>
      <c r="QI33" s="21"/>
      <c r="QJ33" s="21"/>
      <c r="QK33" s="21"/>
      <c r="QL33" s="21"/>
      <c r="QM33" s="21"/>
      <c r="QN33" s="21"/>
      <c r="QO33" s="21"/>
      <c r="QP33" s="21"/>
      <c r="QQ33" s="21"/>
      <c r="QR33" s="21"/>
      <c r="QS33" s="21"/>
      <c r="QT33" s="21"/>
      <c r="QU33" s="21"/>
      <c r="QV33" s="21"/>
      <c r="QW33" s="21"/>
      <c r="QX33" s="21"/>
      <c r="QY33" s="21"/>
      <c r="QZ33" s="21"/>
      <c r="RA33" s="21"/>
      <c r="RB33" s="21"/>
      <c r="RC33" s="21"/>
      <c r="RD33" s="21"/>
      <c r="RE33" s="21"/>
      <c r="RF33" s="21"/>
      <c r="RG33" s="21"/>
      <c r="RH33" s="21"/>
      <c r="RI33" s="21"/>
      <c r="RJ33" s="21"/>
      <c r="RK33" s="21"/>
      <c r="RL33" s="21"/>
      <c r="RM33" s="21"/>
      <c r="RN33" s="21"/>
      <c r="RO33" s="21"/>
      <c r="RP33" s="21"/>
      <c r="RQ33" s="21"/>
      <c r="RR33" s="21"/>
      <c r="RS33" s="21"/>
      <c r="RT33" s="21"/>
      <c r="RU33" s="21"/>
      <c r="RV33" s="21"/>
      <c r="RW33" s="21"/>
      <c r="RX33" s="21"/>
      <c r="RY33" s="21"/>
      <c r="RZ33" s="21"/>
      <c r="SA33" s="21"/>
      <c r="SB33" s="21"/>
      <c r="SC33" s="21"/>
      <c r="SD33" s="21"/>
      <c r="SE33" s="21"/>
      <c r="SF33" s="21"/>
      <c r="SG33" s="21"/>
      <c r="SH33" s="21"/>
      <c r="SI33" s="21"/>
      <c r="SJ33" s="21"/>
      <c r="SK33" s="21"/>
      <c r="SL33" s="21"/>
      <c r="SM33" s="21"/>
      <c r="SN33" s="21"/>
      <c r="SO33" s="21"/>
      <c r="SP33" s="21"/>
      <c r="SQ33" s="21"/>
      <c r="SR33" s="21"/>
      <c r="SS33" s="21"/>
      <c r="ST33" s="21"/>
      <c r="SU33" s="21"/>
      <c r="SV33" s="21"/>
      <c r="SW33" s="21"/>
      <c r="SX33" s="21"/>
      <c r="SY33" s="21"/>
      <c r="SZ33" s="21"/>
      <c r="TA33" s="21"/>
      <c r="TB33" s="21"/>
      <c r="TC33" s="21"/>
      <c r="TD33" s="21"/>
      <c r="TE33" s="21"/>
      <c r="TF33" s="21"/>
      <c r="TG33" s="21"/>
      <c r="TH33" s="21"/>
      <c r="TI33" s="21"/>
      <c r="TJ33" s="21"/>
      <c r="TK33" s="21"/>
      <c r="TL33" s="21"/>
      <c r="TM33" s="21"/>
      <c r="TN33" s="21"/>
      <c r="TO33" s="21"/>
      <c r="TP33" s="21"/>
      <c r="TQ33" s="21"/>
      <c r="TR33" s="21"/>
      <c r="TS33" s="21"/>
      <c r="TT33" s="21"/>
      <c r="TU33" s="21"/>
      <c r="TV33" s="21"/>
      <c r="TW33" s="21"/>
      <c r="TX33" s="21"/>
      <c r="TY33" s="21"/>
      <c r="TZ33" s="21"/>
      <c r="UA33" s="21"/>
      <c r="UB33" s="21"/>
      <c r="UC33" s="21"/>
      <c r="UD33" s="21"/>
      <c r="UE33" s="21"/>
      <c r="UF33" s="21"/>
      <c r="UG33" s="21"/>
      <c r="UH33" s="21"/>
      <c r="UI33" s="21"/>
      <c r="UJ33" s="21"/>
      <c r="UK33" s="21"/>
      <c r="UL33" s="21"/>
      <c r="UM33" s="21"/>
      <c r="UN33" s="21"/>
      <c r="UO33" s="21"/>
      <c r="UP33" s="21"/>
      <c r="UQ33" s="21"/>
      <c r="UR33" s="21"/>
      <c r="US33" s="21"/>
      <c r="UT33" s="21"/>
      <c r="UU33" s="21"/>
      <c r="UV33" s="21"/>
      <c r="UW33" s="21"/>
      <c r="UX33" s="21"/>
      <c r="UY33" s="21"/>
      <c r="UZ33" s="21"/>
      <c r="VA33" s="21"/>
      <c r="VB33" s="21"/>
      <c r="VC33" s="21"/>
      <c r="VD33" s="21"/>
      <c r="VE33" s="21"/>
      <c r="VF33" s="21"/>
      <c r="VG33" s="21"/>
      <c r="VH33" s="21"/>
      <c r="VI33" s="21"/>
      <c r="VJ33" s="21"/>
      <c r="VK33" s="21"/>
      <c r="VL33" s="21"/>
      <c r="VM33" s="21"/>
      <c r="VN33" s="21"/>
      <c r="VO33" s="21"/>
      <c r="VP33" s="21"/>
      <c r="VQ33" s="21"/>
      <c r="VR33" s="21"/>
      <c r="VS33" s="21"/>
      <c r="VT33" s="21"/>
      <c r="VU33" s="21"/>
      <c r="VV33" s="21"/>
      <c r="VW33" s="21"/>
      <c r="VX33" s="21"/>
      <c r="VY33" s="21"/>
      <c r="VZ33" s="21"/>
      <c r="WA33" s="21"/>
      <c r="WB33" s="21"/>
      <c r="WC33" s="21"/>
      <c r="WD33" s="21"/>
      <c r="WE33" s="21"/>
      <c r="WF33" s="21"/>
      <c r="WG33" s="21"/>
      <c r="WH33" s="21"/>
      <c r="WI33" s="21"/>
      <c r="WJ33" s="21"/>
      <c r="WK33" s="21"/>
      <c r="WL33" s="21"/>
      <c r="WM33" s="21"/>
      <c r="WN33" s="21"/>
      <c r="WO33" s="21"/>
      <c r="WP33" s="21"/>
      <c r="WQ33" s="21"/>
      <c r="WR33" s="21"/>
      <c r="WS33" s="21"/>
      <c r="WT33" s="21"/>
      <c r="WU33" s="21"/>
      <c r="WV33" s="21"/>
      <c r="WW33" s="21"/>
      <c r="WX33" s="21"/>
      <c r="WY33" s="21"/>
      <c r="WZ33" s="21"/>
      <c r="XA33" s="21"/>
      <c r="XB33" s="21"/>
      <c r="XC33" s="21"/>
      <c r="XD33" s="21"/>
      <c r="XE33" s="21"/>
      <c r="XF33" s="21"/>
      <c r="XG33" s="21"/>
      <c r="XH33" s="21"/>
      <c r="XI33" s="21"/>
      <c r="XJ33" s="21"/>
      <c r="XK33" s="21"/>
      <c r="XL33" s="21"/>
      <c r="XM33" s="21"/>
      <c r="XN33" s="21"/>
      <c r="XO33" s="21"/>
      <c r="XP33" s="21"/>
      <c r="XQ33" s="21"/>
      <c r="XR33" s="21"/>
      <c r="XS33" s="21"/>
      <c r="XT33" s="21"/>
      <c r="XU33" s="21"/>
      <c r="XV33" s="21"/>
      <c r="XW33" s="21"/>
      <c r="XX33" s="21"/>
      <c r="XY33" s="21"/>
      <c r="XZ33" s="21"/>
      <c r="YA33" s="21"/>
      <c r="YB33" s="21"/>
      <c r="YC33" s="21"/>
      <c r="YD33" s="21"/>
      <c r="YE33" s="21"/>
      <c r="YF33" s="21"/>
      <c r="YG33" s="21"/>
      <c r="YH33" s="21"/>
      <c r="YI33" s="21"/>
      <c r="YJ33" s="21"/>
      <c r="YK33" s="21"/>
      <c r="YL33" s="21"/>
      <c r="YM33" s="21"/>
      <c r="YN33" s="21"/>
      <c r="YO33" s="21"/>
      <c r="YP33" s="21"/>
      <c r="YQ33" s="21"/>
      <c r="YR33" s="21"/>
      <c r="YS33" s="21"/>
      <c r="YT33" s="21"/>
      <c r="YU33" s="21"/>
      <c r="YV33" s="21"/>
      <c r="YW33" s="21"/>
      <c r="YX33" s="21"/>
      <c r="YY33" s="21"/>
      <c r="YZ33" s="21"/>
      <c r="ZA33" s="21"/>
      <c r="ZB33" s="21"/>
      <c r="ZC33" s="21"/>
      <c r="ZD33" s="21"/>
      <c r="ZE33" s="21"/>
      <c r="ZF33" s="21"/>
      <c r="ZG33" s="21"/>
      <c r="ZH33" s="21"/>
      <c r="ZI33" s="21"/>
      <c r="ZJ33" s="21"/>
      <c r="ZK33" s="21"/>
      <c r="ZL33" s="21"/>
      <c r="ZM33" s="21"/>
      <c r="ZN33" s="21"/>
      <c r="ZO33" s="21"/>
      <c r="ZP33" s="21"/>
      <c r="ZQ33" s="21"/>
      <c r="ZR33" s="21"/>
      <c r="ZS33" s="21"/>
      <c r="ZT33" s="21"/>
      <c r="ZU33" s="21"/>
      <c r="ZV33" s="21"/>
      <c r="ZW33" s="21"/>
      <c r="ZX33" s="21"/>
      <c r="ZY33" s="21"/>
      <c r="ZZ33" s="21"/>
      <c r="AAA33" s="21"/>
      <c r="AAB33" s="21"/>
      <c r="AAC33" s="21"/>
      <c r="AAD33" s="21"/>
      <c r="AAE33" s="21"/>
      <c r="AAF33" s="21"/>
      <c r="AAG33" s="21"/>
      <c r="AAH33" s="21"/>
      <c r="AAI33" s="21"/>
      <c r="AAJ33" s="21"/>
      <c r="AAK33" s="21"/>
      <c r="AAL33" s="21"/>
      <c r="AAM33" s="21"/>
      <c r="AAN33" s="21"/>
      <c r="AAO33" s="21"/>
      <c r="AAP33" s="21"/>
      <c r="AAQ33" s="21"/>
      <c r="AAR33" s="21"/>
      <c r="AAS33" s="21"/>
      <c r="AAT33" s="21"/>
      <c r="AAU33" s="21"/>
      <c r="AAV33" s="21"/>
      <c r="AAW33" s="21"/>
      <c r="AAX33" s="21"/>
      <c r="AAY33" s="21"/>
      <c r="AAZ33" s="21"/>
      <c r="ABA33" s="21"/>
      <c r="ABB33" s="21"/>
      <c r="ABC33" s="21"/>
      <c r="ABD33" s="21"/>
      <c r="ABE33" s="21"/>
      <c r="ABF33" s="21"/>
      <c r="ABG33" s="21"/>
      <c r="ABH33" s="21"/>
      <c r="ABI33" s="21"/>
      <c r="ABJ33" s="21"/>
      <c r="ABK33" s="21"/>
      <c r="ABL33" s="21"/>
      <c r="ABM33" s="21"/>
      <c r="ABN33" s="21"/>
      <c r="ABO33" s="21"/>
      <c r="ABP33" s="21"/>
      <c r="ABQ33" s="21"/>
      <c r="ABR33" s="21"/>
      <c r="ABS33" s="21"/>
      <c r="ABT33" s="21"/>
      <c r="ABU33" s="21"/>
      <c r="ABV33" s="21"/>
      <c r="ABW33" s="21"/>
      <c r="ABX33" s="21"/>
      <c r="ABY33" s="21"/>
      <c r="ABZ33" s="21"/>
      <c r="ACA33" s="21"/>
      <c r="ACB33" s="21"/>
      <c r="ACC33" s="21"/>
      <c r="ACD33" s="21"/>
      <c r="ACE33" s="21"/>
      <c r="ACF33" s="21"/>
      <c r="ACG33" s="21"/>
      <c r="ACH33" s="21"/>
      <c r="ACI33" s="21"/>
      <c r="ACJ33" s="21"/>
      <c r="ACK33" s="21"/>
      <c r="ACL33" s="21"/>
      <c r="ACM33" s="21"/>
      <c r="ACN33" s="21"/>
      <c r="ACO33" s="21"/>
      <c r="ACP33" s="21"/>
      <c r="ACQ33" s="21"/>
      <c r="ACR33" s="21"/>
      <c r="ACS33" s="21"/>
      <c r="ACT33" s="21"/>
      <c r="ACU33" s="21"/>
      <c r="ACV33" s="21"/>
      <c r="ACW33" s="21"/>
      <c r="ACX33" s="21"/>
      <c r="ACY33" s="21"/>
      <c r="ACZ33" s="21"/>
      <c r="ADA33" s="21"/>
      <c r="ADB33" s="21"/>
      <c r="ADC33" s="21"/>
      <c r="ADD33" s="21"/>
      <c r="ADE33" s="21"/>
      <c r="ADF33" s="21"/>
      <c r="ADG33" s="21"/>
      <c r="ADH33" s="21"/>
      <c r="ADI33" s="21"/>
      <c r="ADJ33" s="21"/>
      <c r="ADK33" s="21"/>
      <c r="ADL33" s="21"/>
      <c r="ADM33" s="21"/>
      <c r="ADN33" s="21"/>
      <c r="ADO33" s="21"/>
      <c r="ADP33" s="21"/>
      <c r="ADQ33" s="21"/>
      <c r="ADR33" s="21"/>
      <c r="ADS33" s="21"/>
      <c r="ADT33" s="21"/>
      <c r="ADU33" s="21"/>
      <c r="ADV33" s="21"/>
      <c r="ADW33" s="21"/>
      <c r="ADX33" s="21"/>
      <c r="ADY33" s="21"/>
      <c r="ADZ33" s="21"/>
      <c r="AEA33" s="21"/>
      <c r="AEB33" s="21"/>
      <c r="AEC33" s="21"/>
      <c r="AED33" s="21"/>
      <c r="AEE33" s="21"/>
      <c r="AEF33" s="21"/>
      <c r="AEG33" s="21"/>
      <c r="AEH33" s="21"/>
      <c r="AEI33" s="21"/>
      <c r="AEJ33" s="21"/>
      <c r="AEK33" s="21"/>
      <c r="AEL33" s="21"/>
      <c r="AEM33" s="21"/>
      <c r="AEN33" s="21"/>
      <c r="AEO33" s="21"/>
      <c r="AEP33" s="21"/>
      <c r="AEQ33" s="21"/>
      <c r="AER33" s="21"/>
      <c r="AES33" s="21"/>
      <c r="AET33" s="21"/>
      <c r="AEU33" s="21"/>
      <c r="AEV33" s="21"/>
      <c r="AEW33" s="21"/>
      <c r="AEX33" s="21"/>
      <c r="AEY33" s="21"/>
      <c r="AEZ33" s="21"/>
      <c r="AFA33" s="21"/>
      <c r="AFB33" s="21"/>
      <c r="AFC33" s="21"/>
      <c r="AFD33" s="21"/>
      <c r="AFE33" s="21"/>
      <c r="AFF33" s="21"/>
      <c r="AFG33" s="21"/>
      <c r="AFH33" s="21"/>
      <c r="AFI33" s="21"/>
      <c r="AFJ33" s="21"/>
      <c r="AFK33" s="21"/>
      <c r="AFL33" s="21"/>
      <c r="AFM33" s="21"/>
      <c r="AFN33" s="21"/>
      <c r="AFO33" s="21"/>
      <c r="AFP33" s="21"/>
      <c r="AFQ33" s="21"/>
      <c r="AFR33" s="21"/>
      <c r="AFS33" s="21"/>
      <c r="AFT33" s="21"/>
      <c r="AFU33" s="21"/>
      <c r="AFV33" s="21"/>
      <c r="AFW33" s="21"/>
      <c r="AFX33" s="21"/>
      <c r="AFY33" s="21"/>
      <c r="AFZ33" s="21"/>
      <c r="AGA33" s="21"/>
      <c r="AGB33" s="21"/>
      <c r="AGC33" s="21"/>
      <c r="AGD33" s="21"/>
      <c r="AGE33" s="21"/>
      <c r="AGF33" s="21"/>
      <c r="AGG33" s="21"/>
      <c r="AGH33" s="21"/>
      <c r="AGI33" s="21"/>
      <c r="AGJ33" s="21"/>
      <c r="AGK33" s="21"/>
      <c r="AGL33" s="21"/>
      <c r="AGM33" s="21"/>
      <c r="AGN33" s="21"/>
      <c r="AGO33" s="21"/>
      <c r="AGP33" s="21"/>
      <c r="AGQ33" s="21"/>
      <c r="AGR33" s="21"/>
      <c r="AGS33" s="21"/>
    </row>
    <row r="34" spans="1:877" ht="13">
      <c r="A34" s="41"/>
      <c r="B34" s="41"/>
      <c r="C34" s="26"/>
      <c r="D34" s="21"/>
      <c r="E34" s="21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  <c r="JO34" s="21"/>
      <c r="JP34" s="21"/>
      <c r="JQ34" s="21"/>
      <c r="JR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1"/>
      <c r="KO34" s="21"/>
      <c r="KP34" s="21"/>
      <c r="KQ34" s="21"/>
      <c r="KR34" s="21"/>
      <c r="KS34" s="21"/>
      <c r="KT34" s="21"/>
      <c r="KU34" s="21"/>
      <c r="KV34" s="21"/>
      <c r="KW34" s="21"/>
      <c r="KX34" s="21"/>
      <c r="KY34" s="21"/>
      <c r="KZ34" s="21"/>
      <c r="LA34" s="21"/>
      <c r="LB34" s="21"/>
      <c r="LC34" s="21"/>
      <c r="LD34" s="21"/>
      <c r="LE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21"/>
      <c r="LV34" s="21"/>
      <c r="LW34" s="21"/>
      <c r="LX34" s="21"/>
      <c r="LY34" s="21"/>
      <c r="LZ34" s="21"/>
      <c r="MA34" s="21"/>
      <c r="MB34" s="21"/>
      <c r="MC34" s="21"/>
      <c r="MD34" s="21"/>
      <c r="ME34" s="21"/>
      <c r="MF34" s="21"/>
      <c r="MG34" s="21"/>
      <c r="MH34" s="21"/>
      <c r="MI34" s="21"/>
      <c r="MJ34" s="21"/>
      <c r="MK34" s="21"/>
      <c r="ML34" s="21"/>
      <c r="MM34" s="21"/>
      <c r="MN34" s="21"/>
      <c r="MO34" s="21"/>
      <c r="MP34" s="21"/>
      <c r="MQ34" s="21"/>
      <c r="MR34" s="21"/>
      <c r="MS34" s="21"/>
      <c r="MT34" s="21"/>
      <c r="MU34" s="21"/>
      <c r="MV34" s="21"/>
      <c r="MW34" s="21"/>
      <c r="MX34" s="21"/>
      <c r="MY34" s="21"/>
      <c r="MZ34" s="21"/>
      <c r="NA34" s="21"/>
      <c r="NB34" s="21"/>
      <c r="NC34" s="21"/>
      <c r="ND34" s="21"/>
      <c r="NE34" s="21"/>
      <c r="NF34" s="21"/>
      <c r="NG34" s="21"/>
      <c r="NH34" s="21"/>
      <c r="NI34" s="21"/>
      <c r="NJ34" s="21"/>
      <c r="NK34" s="21"/>
      <c r="NL34" s="21"/>
      <c r="NM34" s="21"/>
      <c r="NN34" s="21"/>
      <c r="NO34" s="21"/>
      <c r="NP34" s="21"/>
      <c r="NQ34" s="21"/>
      <c r="NR34" s="21"/>
      <c r="NS34" s="21"/>
      <c r="NT34" s="21"/>
      <c r="NU34" s="21"/>
      <c r="NV34" s="21"/>
      <c r="NW34" s="21"/>
      <c r="NX34" s="21"/>
      <c r="NY34" s="21"/>
      <c r="NZ34" s="21"/>
      <c r="OA34" s="21"/>
      <c r="OB34" s="21"/>
      <c r="OC34" s="21"/>
      <c r="OD34" s="21"/>
      <c r="OE34" s="21"/>
      <c r="OF34" s="21"/>
      <c r="OG34" s="21"/>
      <c r="OH34" s="21"/>
      <c r="OI34" s="21"/>
      <c r="OJ34" s="21"/>
      <c r="OK34" s="21"/>
      <c r="OL34" s="21"/>
      <c r="OM34" s="21"/>
      <c r="ON34" s="21"/>
      <c r="OO34" s="21"/>
      <c r="OP34" s="21"/>
      <c r="OQ34" s="21"/>
      <c r="OR34" s="21"/>
      <c r="OS34" s="21"/>
      <c r="OT34" s="21"/>
      <c r="OU34" s="21"/>
      <c r="OV34" s="21"/>
      <c r="OW34" s="21"/>
      <c r="OX34" s="21"/>
      <c r="OY34" s="21"/>
      <c r="OZ34" s="21"/>
      <c r="PA34" s="21"/>
      <c r="PB34" s="21"/>
      <c r="PC34" s="21"/>
      <c r="PD34" s="21"/>
      <c r="PE34" s="21"/>
      <c r="PF34" s="21"/>
      <c r="PG34" s="21"/>
      <c r="PH34" s="21"/>
      <c r="PI34" s="21"/>
      <c r="PJ34" s="21"/>
      <c r="PK34" s="21"/>
      <c r="PL34" s="21"/>
      <c r="PM34" s="21"/>
      <c r="PN34" s="21"/>
      <c r="PO34" s="21"/>
      <c r="PP34" s="21"/>
      <c r="PQ34" s="21"/>
      <c r="PR34" s="21"/>
      <c r="PS34" s="21"/>
      <c r="PT34" s="21"/>
      <c r="PU34" s="21"/>
      <c r="PV34" s="21"/>
      <c r="PW34" s="21"/>
      <c r="PX34" s="21"/>
      <c r="PY34" s="21"/>
      <c r="PZ34" s="21"/>
      <c r="QA34" s="21"/>
      <c r="QB34" s="21"/>
      <c r="QC34" s="21"/>
      <c r="QD34" s="21"/>
      <c r="QE34" s="21"/>
      <c r="QF34" s="21"/>
      <c r="QG34" s="21"/>
      <c r="QH34" s="21"/>
      <c r="QI34" s="21"/>
      <c r="QJ34" s="21"/>
      <c r="QK34" s="21"/>
      <c r="QL34" s="21"/>
      <c r="QM34" s="21"/>
      <c r="QN34" s="21"/>
      <c r="QO34" s="21"/>
      <c r="QP34" s="21"/>
      <c r="QQ34" s="21"/>
      <c r="QR34" s="21"/>
      <c r="QS34" s="21"/>
      <c r="QT34" s="21"/>
      <c r="QU34" s="21"/>
      <c r="QV34" s="21"/>
      <c r="QW34" s="21"/>
      <c r="QX34" s="21"/>
      <c r="QY34" s="21"/>
      <c r="QZ34" s="21"/>
      <c r="RA34" s="21"/>
      <c r="RB34" s="21"/>
      <c r="RC34" s="21"/>
      <c r="RD34" s="21"/>
      <c r="RE34" s="21"/>
      <c r="RF34" s="21"/>
      <c r="RG34" s="21"/>
      <c r="RH34" s="21"/>
      <c r="RI34" s="21"/>
      <c r="RJ34" s="21"/>
      <c r="RK34" s="21"/>
      <c r="RL34" s="21"/>
      <c r="RM34" s="21"/>
      <c r="RN34" s="21"/>
      <c r="RO34" s="21"/>
      <c r="RP34" s="21"/>
      <c r="RQ34" s="21"/>
      <c r="RR34" s="21"/>
      <c r="RS34" s="21"/>
      <c r="RT34" s="21"/>
      <c r="RU34" s="21"/>
      <c r="RV34" s="21"/>
      <c r="RW34" s="21"/>
      <c r="RX34" s="21"/>
      <c r="RY34" s="21"/>
      <c r="RZ34" s="21"/>
      <c r="SA34" s="21"/>
      <c r="SB34" s="21"/>
      <c r="SC34" s="21"/>
      <c r="SD34" s="21"/>
      <c r="SE34" s="21"/>
      <c r="SF34" s="21"/>
      <c r="SG34" s="21"/>
      <c r="SH34" s="21"/>
      <c r="SI34" s="21"/>
      <c r="SJ34" s="21"/>
      <c r="SK34" s="21"/>
      <c r="SL34" s="21"/>
      <c r="SM34" s="21"/>
      <c r="SN34" s="21"/>
      <c r="SO34" s="21"/>
      <c r="SP34" s="21"/>
      <c r="SQ34" s="21"/>
      <c r="SR34" s="21"/>
      <c r="SS34" s="21"/>
      <c r="ST34" s="21"/>
      <c r="SU34" s="21"/>
      <c r="SV34" s="21"/>
      <c r="SW34" s="21"/>
      <c r="SX34" s="21"/>
      <c r="SY34" s="21"/>
      <c r="SZ34" s="21"/>
      <c r="TA34" s="21"/>
      <c r="TB34" s="21"/>
      <c r="TC34" s="21"/>
      <c r="TD34" s="21"/>
      <c r="TE34" s="21"/>
      <c r="TF34" s="21"/>
      <c r="TG34" s="21"/>
      <c r="TH34" s="21"/>
      <c r="TI34" s="21"/>
      <c r="TJ34" s="21"/>
      <c r="TK34" s="21"/>
      <c r="TL34" s="21"/>
      <c r="TM34" s="21"/>
      <c r="TN34" s="21"/>
      <c r="TO34" s="21"/>
      <c r="TP34" s="21"/>
      <c r="TQ34" s="21"/>
      <c r="TR34" s="21"/>
      <c r="TS34" s="21"/>
      <c r="TT34" s="21"/>
      <c r="TU34" s="21"/>
      <c r="TV34" s="21"/>
      <c r="TW34" s="21"/>
      <c r="TX34" s="21"/>
      <c r="TY34" s="21"/>
      <c r="TZ34" s="21"/>
      <c r="UA34" s="21"/>
      <c r="UB34" s="21"/>
      <c r="UC34" s="21"/>
      <c r="UD34" s="21"/>
      <c r="UE34" s="21"/>
      <c r="UF34" s="21"/>
      <c r="UG34" s="21"/>
      <c r="UH34" s="21"/>
      <c r="UI34" s="21"/>
      <c r="UJ34" s="21"/>
      <c r="UK34" s="21"/>
      <c r="UL34" s="21"/>
      <c r="UM34" s="21"/>
      <c r="UN34" s="21"/>
      <c r="UO34" s="21"/>
      <c r="UP34" s="21"/>
      <c r="UQ34" s="21"/>
      <c r="UR34" s="21"/>
      <c r="US34" s="21"/>
      <c r="UT34" s="21"/>
      <c r="UU34" s="21"/>
      <c r="UV34" s="21"/>
      <c r="UW34" s="21"/>
      <c r="UX34" s="21"/>
      <c r="UY34" s="21"/>
      <c r="UZ34" s="21"/>
      <c r="VA34" s="21"/>
      <c r="VB34" s="21"/>
      <c r="VC34" s="21"/>
      <c r="VD34" s="21"/>
      <c r="VE34" s="21"/>
      <c r="VF34" s="21"/>
      <c r="VG34" s="21"/>
      <c r="VH34" s="21"/>
      <c r="VI34" s="21"/>
      <c r="VJ34" s="21"/>
      <c r="VK34" s="21"/>
      <c r="VL34" s="21"/>
      <c r="VM34" s="21"/>
      <c r="VN34" s="21"/>
      <c r="VO34" s="21"/>
      <c r="VP34" s="21"/>
      <c r="VQ34" s="21"/>
      <c r="VR34" s="21"/>
      <c r="VS34" s="21"/>
      <c r="VT34" s="21"/>
      <c r="VU34" s="21"/>
      <c r="VV34" s="21"/>
      <c r="VW34" s="21"/>
      <c r="VX34" s="21"/>
      <c r="VY34" s="21"/>
      <c r="VZ34" s="21"/>
      <c r="WA34" s="21"/>
      <c r="WB34" s="21"/>
      <c r="WC34" s="21"/>
      <c r="WD34" s="21"/>
      <c r="WE34" s="21"/>
      <c r="WF34" s="21"/>
      <c r="WG34" s="21"/>
      <c r="WH34" s="21"/>
      <c r="WI34" s="21"/>
      <c r="WJ34" s="21"/>
      <c r="WK34" s="21"/>
      <c r="WL34" s="21"/>
      <c r="WM34" s="21"/>
      <c r="WN34" s="21"/>
      <c r="WO34" s="21"/>
      <c r="WP34" s="21"/>
      <c r="WQ34" s="21"/>
      <c r="WR34" s="21"/>
      <c r="WS34" s="21"/>
      <c r="WT34" s="21"/>
      <c r="WU34" s="21"/>
      <c r="WV34" s="21"/>
      <c r="WW34" s="21"/>
      <c r="WX34" s="21"/>
      <c r="WY34" s="21"/>
      <c r="WZ34" s="21"/>
      <c r="XA34" s="21"/>
      <c r="XB34" s="21"/>
      <c r="XC34" s="21"/>
      <c r="XD34" s="21"/>
      <c r="XE34" s="21"/>
      <c r="XF34" s="21"/>
      <c r="XG34" s="21"/>
      <c r="XH34" s="21"/>
      <c r="XI34" s="21"/>
      <c r="XJ34" s="21"/>
      <c r="XK34" s="21"/>
      <c r="XL34" s="21"/>
      <c r="XM34" s="21"/>
      <c r="XN34" s="21"/>
      <c r="XO34" s="21"/>
      <c r="XP34" s="21"/>
      <c r="XQ34" s="21"/>
      <c r="XR34" s="21"/>
      <c r="XS34" s="21"/>
      <c r="XT34" s="21"/>
      <c r="XU34" s="21"/>
      <c r="XV34" s="21"/>
      <c r="XW34" s="21"/>
      <c r="XX34" s="21"/>
      <c r="XY34" s="21"/>
      <c r="XZ34" s="21"/>
      <c r="YA34" s="21"/>
      <c r="YB34" s="21"/>
      <c r="YC34" s="21"/>
      <c r="YD34" s="21"/>
      <c r="YE34" s="21"/>
      <c r="YF34" s="21"/>
      <c r="YG34" s="21"/>
      <c r="YH34" s="21"/>
      <c r="YI34" s="21"/>
      <c r="YJ34" s="21"/>
      <c r="YK34" s="21"/>
      <c r="YL34" s="21"/>
      <c r="YM34" s="21"/>
      <c r="YN34" s="21"/>
      <c r="YO34" s="21"/>
      <c r="YP34" s="21"/>
      <c r="YQ34" s="21"/>
      <c r="YR34" s="21"/>
      <c r="YS34" s="21"/>
      <c r="YT34" s="21"/>
      <c r="YU34" s="21"/>
      <c r="YV34" s="21"/>
      <c r="YW34" s="21"/>
      <c r="YX34" s="21"/>
      <c r="YY34" s="21"/>
      <c r="YZ34" s="21"/>
      <c r="ZA34" s="21"/>
      <c r="ZB34" s="21"/>
      <c r="ZC34" s="21"/>
      <c r="ZD34" s="21"/>
      <c r="ZE34" s="21"/>
      <c r="ZF34" s="21"/>
      <c r="ZG34" s="21"/>
      <c r="ZH34" s="21"/>
      <c r="ZI34" s="21"/>
      <c r="ZJ34" s="21"/>
      <c r="ZK34" s="21"/>
      <c r="ZL34" s="21"/>
      <c r="ZM34" s="21"/>
      <c r="ZN34" s="21"/>
      <c r="ZO34" s="21"/>
      <c r="ZP34" s="21"/>
      <c r="ZQ34" s="21"/>
      <c r="ZR34" s="21"/>
      <c r="ZS34" s="21"/>
      <c r="ZT34" s="21"/>
      <c r="ZU34" s="21"/>
      <c r="ZV34" s="21"/>
      <c r="ZW34" s="21"/>
      <c r="ZX34" s="21"/>
      <c r="ZY34" s="21"/>
      <c r="ZZ34" s="21"/>
      <c r="AAA34" s="21"/>
      <c r="AAB34" s="21"/>
      <c r="AAC34" s="21"/>
      <c r="AAD34" s="21"/>
      <c r="AAE34" s="21"/>
      <c r="AAF34" s="21"/>
      <c r="AAG34" s="21"/>
      <c r="AAH34" s="21"/>
      <c r="AAI34" s="21"/>
      <c r="AAJ34" s="21"/>
      <c r="AAK34" s="21"/>
      <c r="AAL34" s="21"/>
      <c r="AAM34" s="21"/>
      <c r="AAN34" s="21"/>
      <c r="AAO34" s="21"/>
      <c r="AAP34" s="21"/>
      <c r="AAQ34" s="21"/>
      <c r="AAR34" s="21"/>
      <c r="AAS34" s="21"/>
      <c r="AAT34" s="21"/>
      <c r="AAU34" s="21"/>
      <c r="AAV34" s="21"/>
      <c r="AAW34" s="21"/>
      <c r="AAX34" s="21"/>
      <c r="AAY34" s="21"/>
      <c r="AAZ34" s="21"/>
      <c r="ABA34" s="21"/>
      <c r="ABB34" s="21"/>
      <c r="ABC34" s="21"/>
      <c r="ABD34" s="21"/>
      <c r="ABE34" s="21"/>
      <c r="ABF34" s="21"/>
      <c r="ABG34" s="21"/>
      <c r="ABH34" s="21"/>
      <c r="ABI34" s="21"/>
      <c r="ABJ34" s="21"/>
      <c r="ABK34" s="21"/>
      <c r="ABL34" s="21"/>
      <c r="ABM34" s="21"/>
      <c r="ABN34" s="21"/>
      <c r="ABO34" s="21"/>
      <c r="ABP34" s="21"/>
      <c r="ABQ34" s="21"/>
      <c r="ABR34" s="21"/>
      <c r="ABS34" s="21"/>
      <c r="ABT34" s="21"/>
      <c r="ABU34" s="21"/>
      <c r="ABV34" s="21"/>
      <c r="ABW34" s="21"/>
      <c r="ABX34" s="21"/>
      <c r="ABY34" s="21"/>
      <c r="ABZ34" s="21"/>
      <c r="ACA34" s="21"/>
      <c r="ACB34" s="21"/>
      <c r="ACC34" s="21"/>
      <c r="ACD34" s="21"/>
      <c r="ACE34" s="21"/>
      <c r="ACF34" s="21"/>
      <c r="ACG34" s="21"/>
      <c r="ACH34" s="21"/>
      <c r="ACI34" s="21"/>
      <c r="ACJ34" s="21"/>
      <c r="ACK34" s="21"/>
      <c r="ACL34" s="21"/>
      <c r="ACM34" s="21"/>
      <c r="ACN34" s="21"/>
      <c r="ACO34" s="21"/>
      <c r="ACP34" s="21"/>
      <c r="ACQ34" s="21"/>
      <c r="ACR34" s="21"/>
      <c r="ACS34" s="21"/>
      <c r="ACT34" s="21"/>
      <c r="ACU34" s="21"/>
      <c r="ACV34" s="21"/>
      <c r="ACW34" s="21"/>
      <c r="ACX34" s="21"/>
      <c r="ACY34" s="21"/>
      <c r="ACZ34" s="21"/>
      <c r="ADA34" s="21"/>
      <c r="ADB34" s="21"/>
      <c r="ADC34" s="21"/>
      <c r="ADD34" s="21"/>
      <c r="ADE34" s="21"/>
      <c r="ADF34" s="21"/>
      <c r="ADG34" s="21"/>
      <c r="ADH34" s="21"/>
      <c r="ADI34" s="21"/>
      <c r="ADJ34" s="21"/>
      <c r="ADK34" s="21"/>
      <c r="ADL34" s="21"/>
      <c r="ADM34" s="21"/>
      <c r="ADN34" s="21"/>
      <c r="ADO34" s="21"/>
      <c r="ADP34" s="21"/>
      <c r="ADQ34" s="21"/>
      <c r="ADR34" s="21"/>
      <c r="ADS34" s="21"/>
      <c r="ADT34" s="21"/>
      <c r="ADU34" s="21"/>
      <c r="ADV34" s="21"/>
      <c r="ADW34" s="21"/>
      <c r="ADX34" s="21"/>
      <c r="ADY34" s="21"/>
      <c r="ADZ34" s="21"/>
      <c r="AEA34" s="21"/>
      <c r="AEB34" s="21"/>
      <c r="AEC34" s="21"/>
      <c r="AED34" s="21"/>
      <c r="AEE34" s="21"/>
      <c r="AEF34" s="21"/>
      <c r="AEG34" s="21"/>
      <c r="AEH34" s="21"/>
      <c r="AEI34" s="21"/>
      <c r="AEJ34" s="21"/>
      <c r="AEK34" s="21"/>
      <c r="AEL34" s="21"/>
      <c r="AEM34" s="21"/>
      <c r="AEN34" s="21"/>
      <c r="AEO34" s="21"/>
      <c r="AEP34" s="21"/>
      <c r="AEQ34" s="21"/>
      <c r="AER34" s="21"/>
      <c r="AES34" s="21"/>
      <c r="AET34" s="21"/>
      <c r="AEU34" s="21"/>
      <c r="AEV34" s="21"/>
      <c r="AEW34" s="21"/>
      <c r="AEX34" s="21"/>
      <c r="AEY34" s="21"/>
      <c r="AEZ34" s="21"/>
      <c r="AFA34" s="21"/>
      <c r="AFB34" s="21"/>
      <c r="AFC34" s="21"/>
      <c r="AFD34" s="21"/>
      <c r="AFE34" s="21"/>
      <c r="AFF34" s="21"/>
      <c r="AFG34" s="21"/>
      <c r="AFH34" s="21"/>
      <c r="AFI34" s="21"/>
      <c r="AFJ34" s="21"/>
      <c r="AFK34" s="21"/>
      <c r="AFL34" s="21"/>
      <c r="AFM34" s="21"/>
      <c r="AFN34" s="21"/>
      <c r="AFO34" s="21"/>
      <c r="AFP34" s="21"/>
      <c r="AFQ34" s="21"/>
      <c r="AFR34" s="21"/>
      <c r="AFS34" s="21"/>
      <c r="AFT34" s="21"/>
      <c r="AFU34" s="21"/>
      <c r="AFV34" s="21"/>
      <c r="AFW34" s="21"/>
      <c r="AFX34" s="21"/>
      <c r="AFY34" s="21"/>
      <c r="AFZ34" s="21"/>
      <c r="AGA34" s="21"/>
      <c r="AGB34" s="21"/>
      <c r="AGC34" s="21"/>
      <c r="AGD34" s="21"/>
      <c r="AGE34" s="21"/>
      <c r="AGF34" s="21"/>
      <c r="AGG34" s="21"/>
      <c r="AGH34" s="21"/>
      <c r="AGI34" s="21"/>
      <c r="AGJ34" s="21"/>
      <c r="AGK34" s="21"/>
      <c r="AGL34" s="21"/>
      <c r="AGM34" s="21"/>
      <c r="AGN34" s="21"/>
      <c r="AGO34" s="21"/>
      <c r="AGP34" s="21"/>
      <c r="AGQ34" s="21"/>
      <c r="AGR34" s="21"/>
      <c r="AGS34" s="21"/>
    </row>
    <row r="35" spans="1:877" ht="15.75" customHeight="1">
      <c r="A35" s="36"/>
      <c r="B35" s="37" t="s">
        <v>30</v>
      </c>
      <c r="C35" s="38"/>
      <c r="D35" s="39"/>
      <c r="E35" s="39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>
        <f>AE28*12+AE20*12+AE12*12+AE36*12</f>
        <v>9480000</v>
      </c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s="40"/>
      <c r="EE35" s="40"/>
      <c r="EF35" s="40"/>
      <c r="EG35" s="40"/>
      <c r="EH35" s="40"/>
      <c r="EI35" s="40"/>
      <c r="EJ35" s="40"/>
      <c r="EK35" s="40"/>
      <c r="EL35" s="40"/>
      <c r="EM35" s="40"/>
      <c r="EN35" s="40"/>
      <c r="EO35" s="40"/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40"/>
      <c r="FX35" s="40"/>
      <c r="FY35" s="40"/>
      <c r="FZ35" s="40"/>
      <c r="GA35" s="40"/>
      <c r="GB35" s="40"/>
      <c r="GC35" s="40"/>
      <c r="GD35" s="40"/>
      <c r="GE35" s="40"/>
      <c r="GF35" s="40"/>
      <c r="GG35" s="40"/>
      <c r="GH35" s="40"/>
      <c r="GI35" s="40"/>
      <c r="GJ35" s="40"/>
      <c r="GK35" s="40"/>
      <c r="GL35" s="40"/>
      <c r="GM35" s="40"/>
      <c r="GN35" s="40"/>
      <c r="GO35" s="40"/>
      <c r="GP35" s="40"/>
      <c r="GQ35" s="40"/>
      <c r="GR35" s="40"/>
      <c r="GS35" s="40"/>
      <c r="GT35" s="40"/>
      <c r="GU35" s="40"/>
      <c r="GV35" s="40"/>
      <c r="GW35" s="40"/>
      <c r="GX35" s="40"/>
      <c r="GY35" s="40"/>
      <c r="GZ35" s="40"/>
      <c r="HA35" s="40"/>
      <c r="HB35" s="40"/>
      <c r="HC35" s="40"/>
      <c r="HD35" s="40"/>
      <c r="HE35" s="40"/>
      <c r="HF35" s="40"/>
      <c r="HG35" s="40"/>
      <c r="HH35" s="40"/>
      <c r="HI35" s="40"/>
      <c r="HJ35" s="40"/>
      <c r="HK35" s="40"/>
      <c r="HL35" s="40"/>
      <c r="HM35" s="40"/>
      <c r="HN35" s="40"/>
      <c r="HO35" s="40"/>
      <c r="HP35" s="40"/>
      <c r="HQ35" s="40"/>
      <c r="HR35" s="40"/>
      <c r="HS35" s="40"/>
      <c r="HT35" s="40"/>
      <c r="HU35" s="40"/>
      <c r="HV35" s="40"/>
      <c r="HW35" s="40"/>
      <c r="HX35" s="40"/>
      <c r="HY35" s="40"/>
      <c r="HZ35" s="40"/>
      <c r="IA35" s="40"/>
      <c r="IB35" s="40"/>
      <c r="IC35" s="40"/>
      <c r="ID35" s="40"/>
      <c r="IE35" s="40"/>
      <c r="IF35" s="40"/>
      <c r="IG35" s="40"/>
      <c r="IH35" s="40"/>
      <c r="II35" s="40"/>
      <c r="IJ35" s="40"/>
      <c r="IK35" s="40"/>
      <c r="IL35" s="40"/>
      <c r="IM35" s="40"/>
      <c r="IN35" s="40"/>
      <c r="IO35" s="40"/>
      <c r="IP35" s="40"/>
      <c r="IQ35" s="40"/>
      <c r="IR35" s="40"/>
      <c r="IS35" s="40"/>
      <c r="IT35" s="40"/>
      <c r="IU35" s="40"/>
      <c r="IV35" s="40"/>
      <c r="IW35" s="40"/>
      <c r="IX35" s="40"/>
      <c r="IY35" s="40"/>
      <c r="IZ35" s="40"/>
      <c r="JA35" s="40"/>
      <c r="JB35" s="40"/>
      <c r="JC35" s="40"/>
      <c r="JD35" s="40"/>
      <c r="JE35" s="40"/>
      <c r="JF35" s="40"/>
      <c r="JG35" s="40"/>
      <c r="JH35" s="40"/>
      <c r="JI35" s="40"/>
      <c r="JJ35" s="40"/>
      <c r="JK35" s="40"/>
      <c r="JL35" s="40"/>
      <c r="JM35" s="40"/>
      <c r="JN35" s="40"/>
      <c r="JO35" s="40"/>
      <c r="JP35" s="40"/>
      <c r="JQ35" s="40"/>
      <c r="JR35" s="40"/>
      <c r="JS35" s="40"/>
      <c r="JT35" s="40"/>
      <c r="JU35" s="40"/>
      <c r="JV35" s="40"/>
      <c r="JW35" s="40"/>
      <c r="JX35" s="40"/>
      <c r="JY35" s="40"/>
      <c r="JZ35" s="40"/>
      <c r="KA35" s="40"/>
      <c r="KB35" s="40"/>
      <c r="KC35" s="40"/>
      <c r="KD35" s="40"/>
      <c r="KE35" s="40"/>
      <c r="KF35" s="40"/>
      <c r="KG35" s="40"/>
      <c r="KH35" s="40"/>
      <c r="KI35" s="40"/>
      <c r="KJ35" s="40"/>
      <c r="KK35" s="40"/>
      <c r="KL35" s="40"/>
      <c r="KM35" s="40"/>
      <c r="KN35" s="40"/>
      <c r="KO35" s="40"/>
      <c r="KP35" s="40"/>
      <c r="KQ35" s="40"/>
      <c r="KR35" s="40"/>
      <c r="KS35" s="40"/>
      <c r="KT35" s="40"/>
      <c r="KU35" s="40"/>
      <c r="KV35" s="40"/>
      <c r="KW35" s="40"/>
      <c r="KX35" s="40"/>
      <c r="KY35" s="40"/>
      <c r="KZ35" s="40"/>
      <c r="LA35" s="40"/>
      <c r="LB35" s="40"/>
      <c r="LC35" s="40"/>
      <c r="LD35" s="40"/>
      <c r="LE35" s="40"/>
      <c r="LF35" s="40"/>
      <c r="LG35" s="40"/>
      <c r="LH35" s="40"/>
      <c r="LI35" s="40"/>
      <c r="LJ35" s="40"/>
      <c r="LK35" s="40"/>
      <c r="LL35" s="40"/>
      <c r="LM35" s="40"/>
      <c r="LN35" s="40"/>
      <c r="LO35" s="40"/>
      <c r="LP35" s="40"/>
      <c r="LQ35" s="40"/>
      <c r="LR35" s="40"/>
      <c r="LS35" s="40"/>
      <c r="LT35" s="40"/>
      <c r="LU35" s="40"/>
      <c r="LV35" s="40"/>
      <c r="LW35" s="40"/>
      <c r="LX35" s="40"/>
      <c r="LY35" s="40"/>
      <c r="LZ35" s="40"/>
      <c r="MA35" s="40"/>
      <c r="MB35" s="40"/>
      <c r="MC35" s="40"/>
      <c r="MD35" s="40"/>
      <c r="ME35" s="40"/>
      <c r="MF35" s="40"/>
      <c r="MG35" s="40"/>
      <c r="MH35" s="40"/>
      <c r="MI35" s="40"/>
      <c r="MJ35" s="40"/>
      <c r="MK35" s="40"/>
      <c r="ML35" s="40"/>
      <c r="MM35" s="40"/>
      <c r="MN35" s="40"/>
      <c r="MO35" s="40"/>
      <c r="MP35" s="40"/>
      <c r="MQ35" s="40"/>
      <c r="MR35" s="40"/>
      <c r="MS35" s="40"/>
      <c r="MT35" s="40"/>
      <c r="MU35" s="40"/>
      <c r="MV35" s="40"/>
      <c r="MW35" s="40"/>
      <c r="MX35" s="40"/>
      <c r="MY35" s="40"/>
      <c r="MZ35" s="40"/>
      <c r="NA35" s="40"/>
      <c r="NB35" s="40"/>
      <c r="NC35" s="40"/>
      <c r="ND35" s="40"/>
      <c r="NE35" s="40"/>
      <c r="NF35" s="40"/>
      <c r="NG35" s="40"/>
      <c r="NH35" s="40"/>
      <c r="NI35" s="40"/>
      <c r="NJ35" s="40"/>
      <c r="NK35" s="40"/>
      <c r="NL35" s="40"/>
      <c r="NM35" s="40"/>
      <c r="NN35" s="40"/>
      <c r="NO35" s="40"/>
      <c r="NP35" s="40"/>
      <c r="NQ35" s="40"/>
      <c r="NR35" s="40"/>
      <c r="NS35" s="40"/>
      <c r="NT35" s="40"/>
      <c r="NU35" s="40"/>
      <c r="NV35" s="40"/>
      <c r="NW35" s="40"/>
      <c r="NX35" s="40"/>
      <c r="NY35" s="40"/>
      <c r="NZ35" s="40"/>
      <c r="OA35" s="40"/>
      <c r="OB35" s="40"/>
      <c r="OC35" s="40"/>
      <c r="OD35" s="40"/>
      <c r="OE35" s="40"/>
      <c r="OF35" s="40"/>
      <c r="OG35" s="40"/>
      <c r="OH35" s="40"/>
      <c r="OI35" s="40"/>
      <c r="OJ35" s="40"/>
      <c r="OK35" s="40"/>
      <c r="OL35" s="40"/>
      <c r="OM35" s="40"/>
      <c r="ON35" s="40"/>
      <c r="OO35" s="40"/>
      <c r="OP35" s="40"/>
      <c r="OQ35" s="40"/>
      <c r="OR35" s="40"/>
      <c r="OS35" s="40"/>
      <c r="OT35" s="40"/>
      <c r="OU35" s="40"/>
      <c r="OV35" s="40"/>
      <c r="OW35" s="40"/>
      <c r="OX35" s="40"/>
      <c r="OY35" s="40"/>
      <c r="OZ35" s="40"/>
      <c r="PA35" s="40"/>
      <c r="PB35" s="40"/>
      <c r="PC35" s="40"/>
      <c r="PD35" s="40"/>
      <c r="PE35" s="40"/>
      <c r="PF35" s="40"/>
      <c r="PG35" s="40"/>
      <c r="PH35" s="40"/>
      <c r="PI35" s="40"/>
      <c r="PJ35" s="40"/>
      <c r="PK35" s="40"/>
      <c r="PL35" s="40"/>
      <c r="PM35" s="40"/>
      <c r="PN35" s="40"/>
      <c r="PO35" s="40"/>
      <c r="PP35" s="40"/>
      <c r="PQ35" s="40"/>
      <c r="PR35" s="40"/>
      <c r="PS35" s="40"/>
      <c r="PT35" s="40"/>
      <c r="PU35" s="40"/>
      <c r="PV35" s="40"/>
      <c r="PW35" s="40"/>
      <c r="PX35" s="40"/>
      <c r="PY35" s="40"/>
      <c r="PZ35" s="40"/>
      <c r="QA35" s="40"/>
      <c r="QB35" s="40"/>
      <c r="QC35" s="40"/>
      <c r="QD35" s="40"/>
      <c r="QE35" s="40"/>
      <c r="QF35" s="40"/>
      <c r="QG35" s="40"/>
      <c r="QH35" s="40"/>
      <c r="QI35" s="40"/>
      <c r="QJ35" s="40"/>
      <c r="QK35" s="40"/>
      <c r="QL35" s="40"/>
      <c r="QM35" s="40"/>
      <c r="QN35" s="40"/>
      <c r="QO35" s="40"/>
      <c r="QP35" s="40"/>
      <c r="QQ35" s="40"/>
      <c r="QR35" s="40"/>
      <c r="QS35" s="40"/>
      <c r="QT35" s="40"/>
      <c r="QU35" s="40"/>
      <c r="QV35" s="40"/>
      <c r="QW35" s="40"/>
      <c r="QX35" s="40"/>
      <c r="QY35" s="40"/>
      <c r="QZ35" s="40"/>
      <c r="RA35" s="40"/>
      <c r="RB35" s="40"/>
      <c r="RC35" s="40"/>
      <c r="RD35" s="40"/>
      <c r="RE35" s="40"/>
      <c r="RF35" s="40"/>
      <c r="RG35" s="40"/>
      <c r="RH35" s="40"/>
      <c r="RI35" s="40"/>
      <c r="RJ35" s="40"/>
      <c r="RK35" s="40"/>
      <c r="RL35" s="40"/>
      <c r="RM35" s="40"/>
      <c r="RN35" s="40"/>
      <c r="RO35" s="40"/>
      <c r="RP35" s="40"/>
      <c r="RQ35" s="40"/>
      <c r="RR35" s="40"/>
      <c r="RS35" s="40"/>
      <c r="RT35" s="40"/>
      <c r="RU35" s="40"/>
      <c r="RV35" s="40"/>
      <c r="RW35" s="40"/>
      <c r="RX35" s="40"/>
      <c r="RY35" s="40"/>
      <c r="RZ35" s="40"/>
      <c r="SA35" s="40"/>
      <c r="SB35" s="40"/>
      <c r="SC35" s="40"/>
      <c r="SD35" s="40"/>
      <c r="SE35" s="40"/>
      <c r="SF35" s="40"/>
      <c r="SG35" s="40"/>
      <c r="SH35" s="40"/>
      <c r="SI35" s="40"/>
      <c r="SJ35" s="40"/>
      <c r="SK35" s="40"/>
      <c r="SL35" s="40"/>
      <c r="SM35" s="40"/>
      <c r="SN35" s="40"/>
      <c r="SO35" s="40"/>
      <c r="SP35" s="40"/>
      <c r="SQ35" s="40"/>
      <c r="SR35" s="40"/>
      <c r="SS35" s="40"/>
      <c r="ST35" s="40"/>
      <c r="SU35" s="40"/>
      <c r="SV35" s="40"/>
      <c r="SW35" s="40"/>
      <c r="SX35" s="40"/>
      <c r="SY35" s="40"/>
      <c r="SZ35" s="40"/>
      <c r="TA35" s="40"/>
      <c r="TB35" s="40"/>
      <c r="TC35" s="40"/>
      <c r="TD35" s="40"/>
      <c r="TE35" s="40"/>
      <c r="TF35" s="40"/>
      <c r="TG35" s="40"/>
      <c r="TH35" s="40"/>
      <c r="TI35" s="40"/>
      <c r="TJ35" s="40"/>
      <c r="TK35" s="40"/>
      <c r="TL35" s="40"/>
      <c r="TM35" s="40"/>
      <c r="TN35" s="40"/>
      <c r="TO35" s="40"/>
      <c r="TP35" s="40"/>
      <c r="TQ35" s="40"/>
      <c r="TR35" s="40"/>
      <c r="TS35" s="40"/>
      <c r="TT35" s="40"/>
      <c r="TU35" s="40"/>
      <c r="TV35" s="40"/>
      <c r="TW35" s="40"/>
      <c r="TX35" s="40"/>
      <c r="TY35" s="40"/>
      <c r="TZ35" s="40"/>
      <c r="UA35" s="40"/>
      <c r="UB35" s="40"/>
      <c r="UC35" s="40"/>
      <c r="UD35" s="40"/>
      <c r="UE35" s="40"/>
      <c r="UF35" s="40"/>
      <c r="UG35" s="40"/>
      <c r="UH35" s="40"/>
      <c r="UI35" s="40"/>
      <c r="UJ35" s="40"/>
      <c r="UK35" s="40"/>
      <c r="UL35" s="40"/>
      <c r="UM35" s="40"/>
      <c r="UN35" s="40"/>
      <c r="UO35" s="40"/>
      <c r="UP35" s="40"/>
      <c r="UQ35" s="40"/>
      <c r="UR35" s="40"/>
      <c r="US35" s="40"/>
      <c r="UT35" s="40"/>
      <c r="UU35" s="40"/>
      <c r="UV35" s="40"/>
      <c r="UW35" s="40"/>
      <c r="UX35" s="40"/>
      <c r="UY35" s="40"/>
      <c r="UZ35" s="40"/>
      <c r="VA35" s="40"/>
      <c r="VB35" s="40"/>
      <c r="VC35" s="40"/>
      <c r="VD35" s="40"/>
      <c r="VE35" s="40"/>
      <c r="VF35" s="40"/>
      <c r="VG35" s="40"/>
      <c r="VH35" s="40"/>
      <c r="VI35" s="40"/>
      <c r="VJ35" s="40"/>
      <c r="VK35" s="40"/>
      <c r="VL35" s="40"/>
      <c r="VM35" s="40"/>
      <c r="VN35" s="40"/>
      <c r="VO35" s="40"/>
      <c r="VP35" s="40"/>
      <c r="VQ35" s="40"/>
      <c r="VR35" s="40"/>
      <c r="VS35" s="40"/>
      <c r="VT35" s="40"/>
      <c r="VU35" s="40"/>
      <c r="VV35" s="40"/>
      <c r="VW35" s="40"/>
      <c r="VX35" s="40"/>
      <c r="VY35" s="40"/>
      <c r="VZ35" s="40"/>
      <c r="WA35" s="40"/>
      <c r="WB35" s="40"/>
      <c r="WC35" s="40"/>
      <c r="WD35" s="40"/>
      <c r="WE35" s="40"/>
      <c r="WF35" s="40"/>
      <c r="WG35" s="40"/>
      <c r="WH35" s="40"/>
      <c r="WI35" s="40"/>
      <c r="WJ35" s="40"/>
      <c r="WK35" s="40"/>
      <c r="WL35" s="40"/>
      <c r="WM35" s="40"/>
      <c r="WN35" s="40"/>
      <c r="WO35" s="40"/>
      <c r="WP35" s="40"/>
      <c r="WQ35" s="40"/>
      <c r="WR35" s="40"/>
      <c r="WS35" s="40"/>
      <c r="WT35" s="40"/>
      <c r="WU35" s="40"/>
      <c r="WV35" s="40"/>
      <c r="WW35" s="40"/>
      <c r="WX35" s="40"/>
      <c r="WY35" s="40"/>
      <c r="WZ35" s="40"/>
      <c r="XA35" s="40"/>
      <c r="XB35" s="40"/>
      <c r="XC35" s="40"/>
      <c r="XD35" s="40"/>
      <c r="XE35" s="40"/>
      <c r="XF35" s="40"/>
      <c r="XG35" s="40"/>
      <c r="XH35" s="40"/>
      <c r="XI35" s="40"/>
      <c r="XJ35" s="40"/>
      <c r="XK35" s="40"/>
      <c r="XL35" s="40"/>
      <c r="XM35" s="40"/>
      <c r="XN35" s="40"/>
      <c r="XO35" s="40"/>
      <c r="XP35" s="40"/>
      <c r="XQ35" s="40"/>
      <c r="XR35" s="40"/>
      <c r="XS35" s="40"/>
      <c r="XT35" s="40"/>
      <c r="XU35" s="40"/>
      <c r="XV35" s="40"/>
      <c r="XW35" s="40"/>
      <c r="XX35" s="40"/>
      <c r="XY35" s="40"/>
      <c r="XZ35" s="40"/>
      <c r="YA35" s="40"/>
      <c r="YB35" s="40"/>
      <c r="YC35" s="40"/>
      <c r="YD35" s="40"/>
      <c r="YE35" s="40"/>
      <c r="YF35" s="40"/>
      <c r="YG35" s="40"/>
      <c r="YH35" s="40"/>
      <c r="YI35" s="40"/>
      <c r="YJ35" s="40"/>
      <c r="YK35" s="40"/>
      <c r="YL35" s="40"/>
      <c r="YM35" s="40"/>
      <c r="YN35" s="40"/>
      <c r="YO35" s="40"/>
      <c r="YP35" s="40"/>
      <c r="YQ35" s="40"/>
      <c r="YR35" s="40"/>
      <c r="YS35" s="40"/>
      <c r="YT35" s="40"/>
      <c r="YU35" s="40"/>
      <c r="YV35" s="40"/>
      <c r="YW35" s="40"/>
      <c r="YX35" s="40"/>
      <c r="YY35" s="40"/>
      <c r="YZ35" s="40"/>
      <c r="ZA35" s="40"/>
      <c r="ZB35" s="40"/>
      <c r="ZC35" s="40"/>
      <c r="ZD35" s="40"/>
      <c r="ZE35" s="40"/>
      <c r="ZF35" s="40"/>
      <c r="ZG35" s="40"/>
      <c r="ZH35" s="40"/>
      <c r="ZI35" s="40"/>
      <c r="ZJ35" s="40"/>
      <c r="ZK35" s="40"/>
      <c r="ZL35" s="40"/>
      <c r="ZM35" s="40"/>
      <c r="ZN35" s="40"/>
      <c r="ZO35" s="40"/>
      <c r="ZP35" s="40"/>
      <c r="ZQ35" s="40"/>
      <c r="ZR35" s="40"/>
      <c r="ZS35" s="40"/>
      <c r="ZT35" s="40"/>
      <c r="ZU35" s="40"/>
      <c r="ZV35" s="40"/>
      <c r="ZW35" s="40"/>
      <c r="ZX35" s="40"/>
      <c r="ZY35" s="40"/>
      <c r="ZZ35" s="40"/>
      <c r="AAA35" s="40"/>
      <c r="AAB35" s="40"/>
      <c r="AAC35" s="40"/>
      <c r="AAD35" s="40"/>
      <c r="AAE35" s="40"/>
      <c r="AAF35" s="40"/>
      <c r="AAG35" s="40"/>
      <c r="AAH35" s="40"/>
      <c r="AAI35" s="40"/>
      <c r="AAJ35" s="40"/>
      <c r="AAK35" s="40"/>
      <c r="AAL35" s="40"/>
      <c r="AAM35" s="40"/>
      <c r="AAN35" s="40"/>
      <c r="AAO35" s="40"/>
      <c r="AAP35" s="40"/>
      <c r="AAQ35" s="40"/>
      <c r="AAR35" s="40"/>
      <c r="AAS35" s="40"/>
      <c r="AAT35" s="40"/>
      <c r="AAU35" s="40"/>
      <c r="AAV35" s="40"/>
      <c r="AAW35" s="40"/>
      <c r="AAX35" s="40"/>
      <c r="AAY35" s="40"/>
      <c r="AAZ35" s="40"/>
      <c r="ABA35" s="40"/>
      <c r="ABB35" s="40"/>
      <c r="ABC35" s="40"/>
      <c r="ABD35" s="40"/>
      <c r="ABE35" s="40"/>
      <c r="ABF35" s="40"/>
      <c r="ABG35" s="40"/>
      <c r="ABH35" s="40"/>
      <c r="ABI35" s="40"/>
      <c r="ABJ35" s="40"/>
      <c r="ABK35" s="40"/>
      <c r="ABL35" s="40"/>
      <c r="ABM35" s="40"/>
      <c r="ABN35" s="40"/>
      <c r="ABO35" s="40"/>
      <c r="ABP35" s="40"/>
      <c r="ABQ35" s="40"/>
      <c r="ABR35" s="40"/>
      <c r="ABS35" s="40"/>
      <c r="ABT35" s="40"/>
      <c r="ABU35" s="40"/>
      <c r="ABV35" s="40"/>
      <c r="ABW35" s="40"/>
      <c r="ABX35" s="40"/>
      <c r="ABY35" s="40"/>
      <c r="ABZ35" s="40"/>
      <c r="ACA35" s="40"/>
      <c r="ACB35" s="40"/>
      <c r="ACC35" s="40"/>
      <c r="ACD35" s="40"/>
      <c r="ACE35" s="40"/>
      <c r="ACF35" s="40"/>
      <c r="ACG35" s="40"/>
      <c r="ACH35" s="40"/>
      <c r="ACI35" s="40"/>
      <c r="ACJ35" s="40"/>
      <c r="ACK35" s="40"/>
      <c r="ACL35" s="40"/>
      <c r="ACM35" s="40"/>
      <c r="ACN35" s="40"/>
      <c r="ACO35" s="40"/>
      <c r="ACP35" s="40"/>
      <c r="ACQ35" s="40"/>
      <c r="ACR35" s="40"/>
      <c r="ACS35" s="40"/>
      <c r="ACT35" s="40"/>
      <c r="ACU35" s="40"/>
      <c r="ACV35" s="40"/>
      <c r="ACW35" s="40"/>
      <c r="ACX35" s="40"/>
      <c r="ACY35" s="40"/>
      <c r="ACZ35" s="40"/>
      <c r="ADA35" s="40"/>
      <c r="ADB35" s="40"/>
      <c r="ADC35" s="40"/>
      <c r="ADD35" s="40"/>
      <c r="ADE35" s="40"/>
      <c r="ADF35" s="40"/>
      <c r="ADG35" s="40"/>
      <c r="ADH35" s="40"/>
      <c r="ADI35" s="40"/>
      <c r="ADJ35" s="40"/>
      <c r="ADK35" s="40"/>
      <c r="ADL35" s="40"/>
      <c r="ADM35" s="40"/>
      <c r="ADN35" s="40"/>
      <c r="ADO35" s="40"/>
      <c r="ADP35" s="40"/>
      <c r="ADQ35" s="40"/>
      <c r="ADR35" s="40"/>
      <c r="ADS35" s="40"/>
      <c r="ADT35" s="40"/>
      <c r="ADU35" s="40"/>
      <c r="ADV35" s="40"/>
      <c r="ADW35" s="40"/>
      <c r="ADX35" s="40"/>
      <c r="ADY35" s="40"/>
      <c r="ADZ35" s="40"/>
      <c r="AEA35" s="40"/>
      <c r="AEB35" s="40"/>
      <c r="AEC35" s="40"/>
      <c r="AED35" s="40"/>
      <c r="AEE35" s="40"/>
      <c r="AEF35" s="40"/>
      <c r="AEG35" s="40"/>
      <c r="AEH35" s="40"/>
      <c r="AEI35" s="40"/>
      <c r="AEJ35" s="40"/>
      <c r="AEK35" s="40"/>
      <c r="AEL35" s="40"/>
      <c r="AEM35" s="40"/>
      <c r="AEN35" s="40"/>
      <c r="AEO35" s="40"/>
      <c r="AEP35" s="40"/>
      <c r="AEQ35" s="40"/>
      <c r="AER35" s="40"/>
      <c r="AES35" s="40"/>
      <c r="AET35" s="40"/>
      <c r="AEU35" s="40"/>
      <c r="AEV35" s="40"/>
      <c r="AEW35" s="40"/>
      <c r="AEX35" s="40"/>
      <c r="AEY35" s="40"/>
      <c r="AEZ35" s="40"/>
      <c r="AFA35" s="40"/>
      <c r="AFB35" s="40"/>
      <c r="AFC35" s="40"/>
      <c r="AFD35" s="40"/>
      <c r="AFE35" s="40"/>
      <c r="AFF35" s="40"/>
      <c r="AFG35" s="40"/>
      <c r="AFH35" s="40"/>
      <c r="AFI35" s="40"/>
      <c r="AFJ35" s="40"/>
      <c r="AFK35" s="40"/>
      <c r="AFL35" s="40"/>
      <c r="AFM35" s="40"/>
      <c r="AFN35" s="40"/>
      <c r="AFO35" s="40"/>
      <c r="AFP35" s="40"/>
      <c r="AFQ35" s="40"/>
      <c r="AFR35" s="40"/>
      <c r="AFS35" s="40"/>
      <c r="AFT35" s="40"/>
      <c r="AFU35" s="40"/>
      <c r="AFV35" s="40"/>
      <c r="AFW35" s="40"/>
      <c r="AFX35" s="40"/>
      <c r="AFY35" s="40"/>
      <c r="AFZ35" s="40"/>
      <c r="AGA35" s="40"/>
      <c r="AGB35" s="40"/>
      <c r="AGC35" s="40"/>
      <c r="AGD35" s="40"/>
      <c r="AGE35" s="40"/>
      <c r="AGF35" s="40"/>
      <c r="AGG35" s="40"/>
      <c r="AGH35" s="40"/>
      <c r="AGI35" s="40"/>
      <c r="AGJ35" s="40"/>
      <c r="AGK35" s="40"/>
      <c r="AGL35" s="40"/>
      <c r="AGM35" s="40"/>
      <c r="AGN35" s="40"/>
      <c r="AGO35" s="40"/>
      <c r="AGP35" s="40"/>
      <c r="AGQ35" s="40"/>
      <c r="AGR35" s="40"/>
      <c r="AGS35" s="40"/>
    </row>
    <row r="36" spans="1:877" ht="13">
      <c r="A36" s="41"/>
      <c r="B36" s="42" t="s">
        <v>21</v>
      </c>
      <c r="C36" s="43" t="s">
        <v>22</v>
      </c>
      <c r="D36" s="40"/>
      <c r="E36" s="40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>
        <f>'Project Overview'!$C$12/12</f>
        <v>270000</v>
      </c>
      <c r="AF36" s="28">
        <f>'Project Overview'!$C$12/12</f>
        <v>270000</v>
      </c>
      <c r="AG36" s="28">
        <f>'Project Overview'!$C$12/12</f>
        <v>270000</v>
      </c>
      <c r="AH36" s="28">
        <f>'Project Overview'!$C$12/12</f>
        <v>270000</v>
      </c>
      <c r="AI36" s="28">
        <f>'Project Overview'!$C$12/12</f>
        <v>270000</v>
      </c>
      <c r="AJ36" s="28">
        <f>'Project Overview'!$C$12/12</f>
        <v>270000</v>
      </c>
      <c r="AK36" s="28">
        <f>'Project Overview'!$C$12/12</f>
        <v>270000</v>
      </c>
      <c r="AL36" s="28">
        <f>'Project Overview'!$C$12/12</f>
        <v>270000</v>
      </c>
      <c r="AM36" s="28">
        <f>'Project Overview'!$C$12/12</f>
        <v>270000</v>
      </c>
      <c r="AN36" s="28">
        <f>'Project Overview'!$C$12/12</f>
        <v>270000</v>
      </c>
      <c r="AO36" s="28">
        <f>'Project Overview'!$C$12/12</f>
        <v>270000</v>
      </c>
      <c r="AP36" s="28">
        <f>'Project Overview'!$C$12/12</f>
        <v>270000</v>
      </c>
      <c r="AQ36" s="28">
        <f>'Project Overview'!$D$12/12</f>
        <v>125000</v>
      </c>
      <c r="AR36" s="28">
        <f>'Project Overview'!$D$12/12</f>
        <v>125000</v>
      </c>
      <c r="AS36" s="28">
        <f>'Project Overview'!$D$12/12</f>
        <v>125000</v>
      </c>
      <c r="AT36" s="28">
        <f>'Project Overview'!$D$12/12</f>
        <v>125000</v>
      </c>
      <c r="AU36" s="28">
        <f>'Project Overview'!$D$12/12</f>
        <v>125000</v>
      </c>
      <c r="AV36" s="28">
        <f>'Project Overview'!$D$12/12</f>
        <v>125000</v>
      </c>
      <c r="AW36" s="28">
        <f>'Project Overview'!$D$12/12</f>
        <v>125000</v>
      </c>
      <c r="AX36" s="28">
        <f>'Project Overview'!$D$12/12</f>
        <v>125000</v>
      </c>
      <c r="AY36" s="28">
        <f>'Project Overview'!$D$12/12</f>
        <v>125000</v>
      </c>
      <c r="AZ36" s="28">
        <f>'Project Overview'!$D$12/12</f>
        <v>125000</v>
      </c>
      <c r="BA36" s="28">
        <f>'Project Overview'!$D$12/12</f>
        <v>125000</v>
      </c>
      <c r="BB36" s="28">
        <f>'Project Overview'!$D$12/12</f>
        <v>125000</v>
      </c>
      <c r="BC36" s="28">
        <f>'Project Overview'!$E$12/12</f>
        <v>0</v>
      </c>
      <c r="BD36" s="28">
        <f>'Project Overview'!$E$12/12</f>
        <v>0</v>
      </c>
      <c r="BE36" s="28">
        <f>'Project Overview'!$E$12/12</f>
        <v>0</v>
      </c>
      <c r="BF36" s="28">
        <f>'Project Overview'!$E$12/12</f>
        <v>0</v>
      </c>
      <c r="BG36" s="28">
        <f>'Project Overview'!$E$12/12</f>
        <v>0</v>
      </c>
      <c r="BH36" s="28">
        <f>'Project Overview'!$E$12/12</f>
        <v>0</v>
      </c>
      <c r="BI36" s="28">
        <f>'Project Overview'!$E$12/12</f>
        <v>0</v>
      </c>
      <c r="BJ36" s="28">
        <f>'Project Overview'!$E$12/12</f>
        <v>0</v>
      </c>
      <c r="BK36" s="28">
        <f>'Project Overview'!$E$12/12</f>
        <v>0</v>
      </c>
      <c r="BL36" s="28">
        <f>'Project Overview'!$E$12/12</f>
        <v>0</v>
      </c>
      <c r="BM36" s="28">
        <f>'Project Overview'!$E$12/12</f>
        <v>0</v>
      </c>
      <c r="BN36" s="28">
        <f>'Project Overview'!$E$12/12</f>
        <v>0</v>
      </c>
      <c r="BO36" s="28">
        <f>'Project Overview'!$F$12/12</f>
        <v>0</v>
      </c>
      <c r="BP36" s="28">
        <f>'Project Overview'!$F$12/12</f>
        <v>0</v>
      </c>
      <c r="BQ36" s="28">
        <f>'Project Overview'!$F$12/12</f>
        <v>0</v>
      </c>
      <c r="BR36" s="28">
        <f>'Project Overview'!$F$12/12</f>
        <v>0</v>
      </c>
      <c r="BS36" s="28">
        <f>'Project Overview'!$F$12/12</f>
        <v>0</v>
      </c>
      <c r="BT36" s="28">
        <f>'Project Overview'!$F$12/12</f>
        <v>0</v>
      </c>
      <c r="BU36" s="28">
        <f>'Project Overview'!$F$12/12</f>
        <v>0</v>
      </c>
      <c r="BV36" s="28">
        <f>'Project Overview'!$F$12/12</f>
        <v>0</v>
      </c>
      <c r="BW36" s="28">
        <f>'Project Overview'!$F$12/12</f>
        <v>0</v>
      </c>
      <c r="BX36" s="28">
        <f>'Project Overview'!$F$12/12</f>
        <v>0</v>
      </c>
      <c r="BY36" s="28">
        <f>'Project Overview'!$F$12/12</f>
        <v>0</v>
      </c>
      <c r="BZ36" s="28">
        <f>'Project Overview'!$F$12/12</f>
        <v>0</v>
      </c>
      <c r="CA36" s="28">
        <f>'Project Overview'!$G$12/12</f>
        <v>0</v>
      </c>
      <c r="CB36" s="28">
        <f>'Project Overview'!$G$12/12</f>
        <v>0</v>
      </c>
      <c r="CC36" s="28">
        <f>'Project Overview'!$G$12/12</f>
        <v>0</v>
      </c>
      <c r="CD36" s="28">
        <f>'Project Overview'!$G$12/12</f>
        <v>0</v>
      </c>
      <c r="CE36" s="28">
        <f>'Project Overview'!$G$12/12</f>
        <v>0</v>
      </c>
      <c r="CF36" s="28">
        <f>'Project Overview'!$G$12/12</f>
        <v>0</v>
      </c>
      <c r="CG36" s="28">
        <f>'Project Overview'!$G$12/12</f>
        <v>0</v>
      </c>
      <c r="CH36" s="28">
        <f>'Project Overview'!$G$12/12</f>
        <v>0</v>
      </c>
      <c r="CI36" s="28">
        <f>'Project Overview'!$G$12/12</f>
        <v>0</v>
      </c>
      <c r="CJ36" s="28">
        <f>'Project Overview'!$G$12/12</f>
        <v>0</v>
      </c>
      <c r="CK36" s="28">
        <f>'Project Overview'!$G$12/12</f>
        <v>0</v>
      </c>
      <c r="CL36" s="28">
        <f>'Project Overview'!$G$12/12</f>
        <v>0</v>
      </c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40"/>
      <c r="DU36" s="40"/>
      <c r="DV36" s="40"/>
      <c r="DW36" s="40"/>
      <c r="DX36" s="40"/>
      <c r="DY36" s="40"/>
      <c r="DZ36" s="40"/>
      <c r="EA36" s="40"/>
      <c r="EB36" s="40"/>
      <c r="EC36" s="40"/>
      <c r="ED36" s="40"/>
      <c r="EE36" s="40"/>
      <c r="EF36" s="40"/>
      <c r="EG36" s="40"/>
      <c r="EH36" s="40"/>
      <c r="EI36" s="40"/>
      <c r="EJ36" s="40"/>
      <c r="EK36" s="40"/>
      <c r="EL36" s="40"/>
      <c r="EM36" s="40"/>
      <c r="EN36" s="40"/>
      <c r="EO36" s="40"/>
      <c r="EP36" s="40"/>
      <c r="EQ36" s="40"/>
      <c r="ER36" s="40"/>
      <c r="ES36" s="40"/>
      <c r="ET36" s="40"/>
      <c r="EU36" s="40"/>
      <c r="EV36" s="40"/>
      <c r="EW36" s="40"/>
      <c r="EX36" s="40"/>
      <c r="EY36" s="40"/>
      <c r="EZ36" s="40"/>
      <c r="FA36" s="40"/>
      <c r="FB36" s="40"/>
      <c r="FC36" s="40"/>
      <c r="FD36" s="40"/>
      <c r="FE36" s="40"/>
      <c r="FF36" s="40"/>
      <c r="FG36" s="40"/>
      <c r="FH36" s="40"/>
      <c r="FI36" s="40"/>
      <c r="FJ36" s="40"/>
      <c r="FK36" s="40"/>
      <c r="FL36" s="40"/>
      <c r="FM36" s="40"/>
      <c r="FN36" s="40"/>
      <c r="FO36" s="40"/>
      <c r="FP36" s="40"/>
      <c r="FQ36" s="40"/>
      <c r="FR36" s="40"/>
      <c r="FS36" s="40"/>
      <c r="FT36" s="40"/>
      <c r="FU36" s="40"/>
      <c r="FV36" s="40"/>
      <c r="FW36" s="40"/>
      <c r="FX36" s="40"/>
      <c r="FY36" s="40"/>
      <c r="FZ36" s="40"/>
      <c r="GA36" s="40"/>
      <c r="GB36" s="40"/>
      <c r="GC36" s="40"/>
      <c r="GD36" s="40"/>
      <c r="GE36" s="40"/>
      <c r="GF36" s="40"/>
      <c r="GG36" s="40"/>
      <c r="GH36" s="40"/>
      <c r="GI36" s="40"/>
      <c r="GJ36" s="40"/>
      <c r="GK36" s="40"/>
      <c r="GL36" s="40"/>
      <c r="GM36" s="40"/>
      <c r="GN36" s="40"/>
      <c r="GO36" s="40"/>
      <c r="GP36" s="40"/>
      <c r="GQ36" s="40"/>
      <c r="GR36" s="40"/>
      <c r="GS36" s="40"/>
      <c r="GT36" s="40"/>
      <c r="GU36" s="40"/>
      <c r="GV36" s="40"/>
      <c r="GW36" s="40"/>
      <c r="GX36" s="40"/>
      <c r="GY36" s="40"/>
      <c r="GZ36" s="40"/>
      <c r="HA36" s="40"/>
      <c r="HB36" s="40"/>
      <c r="HC36" s="40"/>
      <c r="HD36" s="40"/>
      <c r="HE36" s="40"/>
      <c r="HF36" s="40"/>
      <c r="HG36" s="40"/>
      <c r="HH36" s="40"/>
      <c r="HI36" s="40"/>
      <c r="HJ36" s="40"/>
      <c r="HK36" s="40"/>
      <c r="HL36" s="40"/>
      <c r="HM36" s="40"/>
      <c r="HN36" s="40"/>
      <c r="HO36" s="40"/>
      <c r="HP36" s="40"/>
      <c r="HQ36" s="40"/>
      <c r="HR36" s="40"/>
      <c r="HS36" s="40"/>
      <c r="HT36" s="40"/>
      <c r="HU36" s="40"/>
      <c r="HV36" s="40"/>
      <c r="HW36" s="40"/>
      <c r="HX36" s="40"/>
      <c r="HY36" s="40"/>
      <c r="HZ36" s="40"/>
      <c r="IA36" s="40"/>
      <c r="IB36" s="40"/>
      <c r="IC36" s="40"/>
      <c r="ID36" s="40"/>
      <c r="IE36" s="40"/>
      <c r="IF36" s="40"/>
      <c r="IG36" s="40"/>
      <c r="IH36" s="40"/>
      <c r="II36" s="40"/>
      <c r="IJ36" s="40"/>
      <c r="IK36" s="40"/>
      <c r="IL36" s="40"/>
      <c r="IM36" s="40"/>
      <c r="IN36" s="40"/>
      <c r="IO36" s="40"/>
      <c r="IP36" s="40"/>
      <c r="IQ36" s="40"/>
      <c r="IR36" s="40"/>
      <c r="IS36" s="40"/>
      <c r="IT36" s="40"/>
      <c r="IU36" s="40"/>
      <c r="IV36" s="40"/>
      <c r="IW36" s="40"/>
      <c r="IX36" s="40"/>
      <c r="IY36" s="40"/>
      <c r="IZ36" s="40"/>
      <c r="JA36" s="40"/>
      <c r="JB36" s="40"/>
      <c r="JC36" s="40"/>
      <c r="JD36" s="40"/>
      <c r="JE36" s="40"/>
      <c r="JF36" s="40"/>
      <c r="JG36" s="40"/>
      <c r="JH36" s="40"/>
      <c r="JI36" s="40"/>
      <c r="JJ36" s="40"/>
      <c r="JK36" s="40"/>
      <c r="JL36" s="40"/>
      <c r="JM36" s="40"/>
      <c r="JN36" s="40"/>
      <c r="JO36" s="40"/>
      <c r="JP36" s="40"/>
      <c r="JQ36" s="40"/>
      <c r="JR36" s="40"/>
      <c r="JS36" s="40"/>
      <c r="JT36" s="40"/>
      <c r="JU36" s="40"/>
      <c r="JV36" s="40"/>
      <c r="JW36" s="40"/>
      <c r="JX36" s="40"/>
      <c r="JY36" s="40"/>
      <c r="JZ36" s="40"/>
      <c r="KA36" s="40"/>
      <c r="KB36" s="40"/>
      <c r="KC36" s="40"/>
      <c r="KD36" s="40"/>
      <c r="KE36" s="40"/>
      <c r="KF36" s="40"/>
      <c r="KG36" s="40"/>
      <c r="KH36" s="40"/>
      <c r="KI36" s="40"/>
      <c r="KJ36" s="40"/>
      <c r="KK36" s="40"/>
      <c r="KL36" s="40"/>
      <c r="KM36" s="40"/>
      <c r="KN36" s="40"/>
      <c r="KO36" s="40"/>
      <c r="KP36" s="40"/>
      <c r="KQ36" s="40"/>
      <c r="KR36" s="40"/>
      <c r="KS36" s="40"/>
      <c r="KT36" s="40"/>
      <c r="KU36" s="40"/>
      <c r="KV36" s="40"/>
      <c r="KW36" s="40"/>
      <c r="KX36" s="40"/>
      <c r="KY36" s="40"/>
      <c r="KZ36" s="40"/>
      <c r="LA36" s="40"/>
      <c r="LB36" s="40"/>
      <c r="LC36" s="40"/>
      <c r="LD36" s="40"/>
      <c r="LE36" s="40"/>
      <c r="LF36" s="40"/>
      <c r="LG36" s="40"/>
      <c r="LH36" s="40"/>
      <c r="LI36" s="40"/>
      <c r="LJ36" s="40"/>
      <c r="LK36" s="40"/>
      <c r="LL36" s="40"/>
      <c r="LM36" s="40"/>
      <c r="LN36" s="40"/>
      <c r="LO36" s="40"/>
      <c r="LP36" s="40"/>
      <c r="LQ36" s="40"/>
      <c r="LR36" s="40"/>
      <c r="LS36" s="40"/>
      <c r="LT36" s="40"/>
      <c r="LU36" s="40"/>
      <c r="LV36" s="40"/>
      <c r="LW36" s="40"/>
      <c r="LX36" s="40"/>
      <c r="LY36" s="40"/>
      <c r="LZ36" s="40"/>
      <c r="MA36" s="40"/>
      <c r="MB36" s="40"/>
      <c r="MC36" s="40"/>
      <c r="MD36" s="40"/>
      <c r="ME36" s="40"/>
      <c r="MF36" s="40"/>
      <c r="MG36" s="40"/>
      <c r="MH36" s="40"/>
      <c r="MI36" s="40"/>
      <c r="MJ36" s="40"/>
      <c r="MK36" s="40"/>
      <c r="ML36" s="40"/>
      <c r="MM36" s="40"/>
      <c r="MN36" s="40"/>
      <c r="MO36" s="40"/>
      <c r="MP36" s="40"/>
      <c r="MQ36" s="40"/>
      <c r="MR36" s="40"/>
      <c r="MS36" s="40"/>
      <c r="MT36" s="40"/>
      <c r="MU36" s="40"/>
      <c r="MV36" s="40"/>
      <c r="MW36" s="40"/>
      <c r="MX36" s="40"/>
      <c r="MY36" s="40"/>
      <c r="MZ36" s="40"/>
      <c r="NA36" s="40"/>
      <c r="NB36" s="40"/>
      <c r="NC36" s="40"/>
      <c r="ND36" s="40"/>
      <c r="NE36" s="40"/>
      <c r="NF36" s="40"/>
      <c r="NG36" s="40"/>
      <c r="NH36" s="40"/>
      <c r="NI36" s="40"/>
      <c r="NJ36" s="40"/>
      <c r="NK36" s="40"/>
      <c r="NL36" s="40"/>
      <c r="NM36" s="40"/>
      <c r="NN36" s="40"/>
      <c r="NO36" s="40"/>
      <c r="NP36" s="40"/>
      <c r="NQ36" s="40"/>
      <c r="NR36" s="40"/>
      <c r="NS36" s="40"/>
      <c r="NT36" s="40"/>
      <c r="NU36" s="40"/>
      <c r="NV36" s="40"/>
      <c r="NW36" s="40"/>
      <c r="NX36" s="40"/>
      <c r="NY36" s="40"/>
      <c r="NZ36" s="40"/>
      <c r="OA36" s="40"/>
      <c r="OB36" s="40"/>
      <c r="OC36" s="40"/>
      <c r="OD36" s="40"/>
      <c r="OE36" s="40"/>
      <c r="OF36" s="40"/>
      <c r="OG36" s="40"/>
      <c r="OH36" s="40"/>
      <c r="OI36" s="40"/>
      <c r="OJ36" s="40"/>
      <c r="OK36" s="40"/>
      <c r="OL36" s="40"/>
      <c r="OM36" s="40"/>
      <c r="ON36" s="40"/>
      <c r="OO36" s="40"/>
      <c r="OP36" s="40"/>
      <c r="OQ36" s="40"/>
      <c r="OR36" s="40"/>
      <c r="OS36" s="40"/>
      <c r="OT36" s="40"/>
      <c r="OU36" s="40"/>
      <c r="OV36" s="40"/>
      <c r="OW36" s="40"/>
      <c r="OX36" s="40"/>
      <c r="OY36" s="40"/>
      <c r="OZ36" s="40"/>
      <c r="PA36" s="40"/>
      <c r="PB36" s="40"/>
      <c r="PC36" s="40"/>
      <c r="PD36" s="40"/>
      <c r="PE36" s="40"/>
      <c r="PF36" s="40"/>
      <c r="PG36" s="40"/>
      <c r="PH36" s="40"/>
      <c r="PI36" s="40"/>
      <c r="PJ36" s="40"/>
      <c r="PK36" s="40"/>
      <c r="PL36" s="40"/>
      <c r="PM36" s="40"/>
      <c r="PN36" s="40"/>
      <c r="PO36" s="40"/>
      <c r="PP36" s="40"/>
      <c r="PQ36" s="40"/>
      <c r="PR36" s="40"/>
      <c r="PS36" s="40"/>
      <c r="PT36" s="40"/>
      <c r="PU36" s="40"/>
      <c r="PV36" s="40"/>
      <c r="PW36" s="40"/>
      <c r="PX36" s="40"/>
      <c r="PY36" s="40"/>
      <c r="PZ36" s="40"/>
      <c r="QA36" s="40"/>
      <c r="QB36" s="40"/>
      <c r="QC36" s="40"/>
      <c r="QD36" s="40"/>
      <c r="QE36" s="40"/>
      <c r="QF36" s="40"/>
      <c r="QG36" s="40"/>
      <c r="QH36" s="40"/>
      <c r="QI36" s="40"/>
      <c r="QJ36" s="40"/>
      <c r="QK36" s="40"/>
      <c r="QL36" s="40"/>
      <c r="QM36" s="40"/>
      <c r="QN36" s="40"/>
      <c r="QO36" s="40"/>
      <c r="QP36" s="40"/>
      <c r="QQ36" s="40"/>
      <c r="QR36" s="40"/>
      <c r="QS36" s="40"/>
      <c r="QT36" s="40"/>
      <c r="QU36" s="40"/>
      <c r="QV36" s="40"/>
      <c r="QW36" s="40"/>
      <c r="QX36" s="40"/>
      <c r="QY36" s="40"/>
      <c r="QZ36" s="40"/>
      <c r="RA36" s="40"/>
      <c r="RB36" s="40"/>
      <c r="RC36" s="40"/>
      <c r="RD36" s="40"/>
      <c r="RE36" s="40"/>
      <c r="RF36" s="40"/>
      <c r="RG36" s="40"/>
      <c r="RH36" s="40"/>
      <c r="RI36" s="40"/>
      <c r="RJ36" s="40"/>
      <c r="RK36" s="40"/>
      <c r="RL36" s="40"/>
      <c r="RM36" s="40"/>
      <c r="RN36" s="40"/>
      <c r="RO36" s="40"/>
      <c r="RP36" s="40"/>
      <c r="RQ36" s="40"/>
      <c r="RR36" s="40"/>
      <c r="RS36" s="40"/>
      <c r="RT36" s="40"/>
      <c r="RU36" s="40"/>
      <c r="RV36" s="40"/>
      <c r="RW36" s="40"/>
      <c r="RX36" s="40"/>
      <c r="RY36" s="40"/>
      <c r="RZ36" s="40"/>
      <c r="SA36" s="40"/>
      <c r="SB36" s="40"/>
      <c r="SC36" s="40"/>
      <c r="SD36" s="40"/>
      <c r="SE36" s="40"/>
      <c r="SF36" s="40"/>
      <c r="SG36" s="40"/>
      <c r="SH36" s="40"/>
      <c r="SI36" s="40"/>
      <c r="SJ36" s="40"/>
      <c r="SK36" s="40"/>
      <c r="SL36" s="40"/>
      <c r="SM36" s="40"/>
      <c r="SN36" s="40"/>
      <c r="SO36" s="40"/>
      <c r="SP36" s="40"/>
      <c r="SQ36" s="40"/>
      <c r="SR36" s="40"/>
      <c r="SS36" s="40"/>
      <c r="ST36" s="40"/>
      <c r="SU36" s="40"/>
      <c r="SV36" s="40"/>
      <c r="SW36" s="40"/>
      <c r="SX36" s="40"/>
      <c r="SY36" s="40"/>
      <c r="SZ36" s="40"/>
      <c r="TA36" s="40"/>
      <c r="TB36" s="40"/>
      <c r="TC36" s="40"/>
      <c r="TD36" s="40"/>
      <c r="TE36" s="40"/>
      <c r="TF36" s="40"/>
      <c r="TG36" s="40"/>
      <c r="TH36" s="40"/>
      <c r="TI36" s="40"/>
      <c r="TJ36" s="40"/>
      <c r="TK36" s="40"/>
      <c r="TL36" s="40"/>
      <c r="TM36" s="40"/>
      <c r="TN36" s="40"/>
      <c r="TO36" s="40"/>
      <c r="TP36" s="40"/>
      <c r="TQ36" s="40"/>
      <c r="TR36" s="40"/>
      <c r="TS36" s="40"/>
      <c r="TT36" s="40"/>
      <c r="TU36" s="40"/>
      <c r="TV36" s="40"/>
      <c r="TW36" s="40"/>
      <c r="TX36" s="40"/>
      <c r="TY36" s="40"/>
      <c r="TZ36" s="40"/>
      <c r="UA36" s="40"/>
      <c r="UB36" s="40"/>
      <c r="UC36" s="40"/>
      <c r="UD36" s="40"/>
      <c r="UE36" s="40"/>
      <c r="UF36" s="40"/>
      <c r="UG36" s="40"/>
      <c r="UH36" s="40"/>
      <c r="UI36" s="40"/>
      <c r="UJ36" s="40"/>
      <c r="UK36" s="40"/>
      <c r="UL36" s="40"/>
      <c r="UM36" s="40"/>
      <c r="UN36" s="40"/>
      <c r="UO36" s="40"/>
      <c r="UP36" s="40"/>
      <c r="UQ36" s="40"/>
      <c r="UR36" s="40"/>
      <c r="US36" s="40"/>
      <c r="UT36" s="40"/>
      <c r="UU36" s="40"/>
      <c r="UV36" s="40"/>
      <c r="UW36" s="40"/>
      <c r="UX36" s="40"/>
      <c r="UY36" s="40"/>
      <c r="UZ36" s="40"/>
      <c r="VA36" s="40"/>
      <c r="VB36" s="40"/>
      <c r="VC36" s="40"/>
      <c r="VD36" s="40"/>
      <c r="VE36" s="40"/>
      <c r="VF36" s="40"/>
      <c r="VG36" s="40"/>
      <c r="VH36" s="40"/>
      <c r="VI36" s="40"/>
      <c r="VJ36" s="40"/>
      <c r="VK36" s="40"/>
      <c r="VL36" s="40"/>
      <c r="VM36" s="40"/>
      <c r="VN36" s="40"/>
      <c r="VO36" s="40"/>
      <c r="VP36" s="40"/>
      <c r="VQ36" s="40"/>
      <c r="VR36" s="40"/>
      <c r="VS36" s="40"/>
      <c r="VT36" s="40"/>
      <c r="VU36" s="40"/>
      <c r="VV36" s="40"/>
      <c r="VW36" s="40"/>
      <c r="VX36" s="40"/>
      <c r="VY36" s="40"/>
      <c r="VZ36" s="40"/>
      <c r="WA36" s="40"/>
      <c r="WB36" s="40"/>
      <c r="WC36" s="40"/>
      <c r="WD36" s="40"/>
      <c r="WE36" s="40"/>
      <c r="WF36" s="40"/>
      <c r="WG36" s="40"/>
      <c r="WH36" s="40"/>
      <c r="WI36" s="40"/>
      <c r="WJ36" s="40"/>
      <c r="WK36" s="40"/>
      <c r="WL36" s="40"/>
      <c r="WM36" s="40"/>
      <c r="WN36" s="40"/>
      <c r="WO36" s="40"/>
      <c r="WP36" s="40"/>
      <c r="WQ36" s="40"/>
      <c r="WR36" s="40"/>
      <c r="WS36" s="40"/>
      <c r="WT36" s="40"/>
      <c r="WU36" s="40"/>
      <c r="WV36" s="40"/>
      <c r="WW36" s="40"/>
      <c r="WX36" s="40"/>
      <c r="WY36" s="40"/>
      <c r="WZ36" s="40"/>
      <c r="XA36" s="40"/>
      <c r="XB36" s="40"/>
      <c r="XC36" s="40"/>
      <c r="XD36" s="40"/>
      <c r="XE36" s="40"/>
      <c r="XF36" s="40"/>
      <c r="XG36" s="40"/>
      <c r="XH36" s="40"/>
      <c r="XI36" s="40"/>
      <c r="XJ36" s="40"/>
      <c r="XK36" s="40"/>
      <c r="XL36" s="40"/>
      <c r="XM36" s="40"/>
      <c r="XN36" s="40"/>
      <c r="XO36" s="40"/>
      <c r="XP36" s="40"/>
      <c r="XQ36" s="40"/>
      <c r="XR36" s="40"/>
      <c r="XS36" s="40"/>
      <c r="XT36" s="40"/>
      <c r="XU36" s="40"/>
      <c r="XV36" s="40"/>
      <c r="XW36" s="40"/>
      <c r="XX36" s="40"/>
      <c r="XY36" s="40"/>
      <c r="XZ36" s="40"/>
      <c r="YA36" s="40"/>
      <c r="YB36" s="40"/>
      <c r="YC36" s="40"/>
      <c r="YD36" s="40"/>
      <c r="YE36" s="40"/>
      <c r="YF36" s="40"/>
      <c r="YG36" s="40"/>
      <c r="YH36" s="40"/>
      <c r="YI36" s="40"/>
      <c r="YJ36" s="40"/>
      <c r="YK36" s="40"/>
      <c r="YL36" s="40"/>
      <c r="YM36" s="40"/>
      <c r="YN36" s="40"/>
      <c r="YO36" s="40"/>
      <c r="YP36" s="40"/>
      <c r="YQ36" s="40"/>
      <c r="YR36" s="40"/>
      <c r="YS36" s="40"/>
      <c r="YT36" s="40"/>
      <c r="YU36" s="40"/>
      <c r="YV36" s="40"/>
      <c r="YW36" s="40"/>
      <c r="YX36" s="40"/>
      <c r="YY36" s="40"/>
      <c r="YZ36" s="40"/>
      <c r="ZA36" s="40"/>
      <c r="ZB36" s="40"/>
      <c r="ZC36" s="40"/>
      <c r="ZD36" s="40"/>
      <c r="ZE36" s="40"/>
      <c r="ZF36" s="40"/>
      <c r="ZG36" s="40"/>
      <c r="ZH36" s="40"/>
      <c r="ZI36" s="40"/>
      <c r="ZJ36" s="40"/>
      <c r="ZK36" s="40"/>
      <c r="ZL36" s="40"/>
      <c r="ZM36" s="40"/>
      <c r="ZN36" s="40"/>
      <c r="ZO36" s="40"/>
      <c r="ZP36" s="40"/>
      <c r="ZQ36" s="40"/>
      <c r="ZR36" s="40"/>
      <c r="ZS36" s="40"/>
      <c r="ZT36" s="40"/>
      <c r="ZU36" s="40"/>
      <c r="ZV36" s="40"/>
      <c r="ZW36" s="40"/>
      <c r="ZX36" s="40"/>
      <c r="ZY36" s="40"/>
      <c r="ZZ36" s="40"/>
      <c r="AAA36" s="40"/>
      <c r="AAB36" s="40"/>
      <c r="AAC36" s="40"/>
      <c r="AAD36" s="40"/>
      <c r="AAE36" s="40"/>
      <c r="AAF36" s="40"/>
      <c r="AAG36" s="40"/>
      <c r="AAH36" s="40"/>
      <c r="AAI36" s="40"/>
      <c r="AAJ36" s="40"/>
      <c r="AAK36" s="40"/>
      <c r="AAL36" s="40"/>
      <c r="AAM36" s="40"/>
      <c r="AAN36" s="40"/>
      <c r="AAO36" s="40"/>
      <c r="AAP36" s="40"/>
      <c r="AAQ36" s="40"/>
      <c r="AAR36" s="40"/>
      <c r="AAS36" s="40"/>
      <c r="AAT36" s="40"/>
      <c r="AAU36" s="40"/>
      <c r="AAV36" s="40"/>
      <c r="AAW36" s="40"/>
      <c r="AAX36" s="40"/>
      <c r="AAY36" s="40"/>
      <c r="AAZ36" s="40"/>
      <c r="ABA36" s="40"/>
      <c r="ABB36" s="40"/>
      <c r="ABC36" s="40"/>
      <c r="ABD36" s="40"/>
      <c r="ABE36" s="40"/>
      <c r="ABF36" s="40"/>
      <c r="ABG36" s="40"/>
      <c r="ABH36" s="40"/>
      <c r="ABI36" s="40"/>
      <c r="ABJ36" s="40"/>
      <c r="ABK36" s="40"/>
      <c r="ABL36" s="40"/>
      <c r="ABM36" s="40"/>
      <c r="ABN36" s="40"/>
      <c r="ABO36" s="40"/>
      <c r="ABP36" s="40"/>
      <c r="ABQ36" s="40"/>
      <c r="ABR36" s="40"/>
      <c r="ABS36" s="40"/>
      <c r="ABT36" s="40"/>
      <c r="ABU36" s="40"/>
      <c r="ABV36" s="40"/>
      <c r="ABW36" s="40"/>
      <c r="ABX36" s="40"/>
      <c r="ABY36" s="40"/>
      <c r="ABZ36" s="40"/>
      <c r="ACA36" s="40"/>
      <c r="ACB36" s="40"/>
      <c r="ACC36" s="40"/>
      <c r="ACD36" s="40"/>
      <c r="ACE36" s="40"/>
      <c r="ACF36" s="40"/>
      <c r="ACG36" s="40"/>
      <c r="ACH36" s="40"/>
      <c r="ACI36" s="40"/>
      <c r="ACJ36" s="40"/>
      <c r="ACK36" s="40"/>
      <c r="ACL36" s="40"/>
      <c r="ACM36" s="40"/>
      <c r="ACN36" s="40"/>
      <c r="ACO36" s="40"/>
      <c r="ACP36" s="40"/>
      <c r="ACQ36" s="40"/>
      <c r="ACR36" s="40"/>
      <c r="ACS36" s="40"/>
      <c r="ACT36" s="40"/>
      <c r="ACU36" s="40"/>
      <c r="ACV36" s="40"/>
      <c r="ACW36" s="40"/>
      <c r="ACX36" s="40"/>
      <c r="ACY36" s="40"/>
      <c r="ACZ36" s="40"/>
      <c r="ADA36" s="40"/>
      <c r="ADB36" s="40"/>
      <c r="ADC36" s="40"/>
      <c r="ADD36" s="40"/>
      <c r="ADE36" s="40"/>
      <c r="ADF36" s="40"/>
      <c r="ADG36" s="40"/>
      <c r="ADH36" s="40"/>
      <c r="ADI36" s="40"/>
      <c r="ADJ36" s="40"/>
      <c r="ADK36" s="40"/>
      <c r="ADL36" s="40"/>
      <c r="ADM36" s="40"/>
      <c r="ADN36" s="40"/>
      <c r="ADO36" s="40"/>
      <c r="ADP36" s="40"/>
      <c r="ADQ36" s="40"/>
      <c r="ADR36" s="40"/>
      <c r="ADS36" s="40"/>
      <c r="ADT36" s="40"/>
      <c r="ADU36" s="40"/>
      <c r="ADV36" s="40"/>
      <c r="ADW36" s="40"/>
      <c r="ADX36" s="40"/>
      <c r="ADY36" s="40"/>
      <c r="ADZ36" s="40"/>
      <c r="AEA36" s="40"/>
      <c r="AEB36" s="40"/>
      <c r="AEC36" s="40"/>
      <c r="AED36" s="40"/>
      <c r="AEE36" s="40"/>
      <c r="AEF36" s="40"/>
      <c r="AEG36" s="40"/>
      <c r="AEH36" s="40"/>
      <c r="AEI36" s="40"/>
      <c r="AEJ36" s="40"/>
      <c r="AEK36" s="40"/>
      <c r="AEL36" s="40"/>
      <c r="AEM36" s="40"/>
      <c r="AEN36" s="40"/>
      <c r="AEO36" s="40"/>
      <c r="AEP36" s="40"/>
      <c r="AEQ36" s="40"/>
      <c r="AER36" s="40"/>
      <c r="AES36" s="40"/>
      <c r="AET36" s="40"/>
      <c r="AEU36" s="40"/>
      <c r="AEV36" s="40"/>
      <c r="AEW36" s="40"/>
      <c r="AEX36" s="40"/>
      <c r="AEY36" s="40"/>
      <c r="AEZ36" s="40"/>
      <c r="AFA36" s="40"/>
      <c r="AFB36" s="40"/>
      <c r="AFC36" s="40"/>
      <c r="AFD36" s="40"/>
      <c r="AFE36" s="40"/>
      <c r="AFF36" s="40"/>
      <c r="AFG36" s="40"/>
      <c r="AFH36" s="40"/>
      <c r="AFI36" s="40"/>
      <c r="AFJ36" s="40"/>
      <c r="AFK36" s="40"/>
      <c r="AFL36" s="40"/>
      <c r="AFM36" s="40"/>
      <c r="AFN36" s="40"/>
      <c r="AFO36" s="40"/>
      <c r="AFP36" s="40"/>
      <c r="AFQ36" s="40"/>
      <c r="AFR36" s="40"/>
      <c r="AFS36" s="40"/>
      <c r="AFT36" s="40"/>
      <c r="AFU36" s="40"/>
      <c r="AFV36" s="40"/>
      <c r="AFW36" s="40"/>
      <c r="AFX36" s="40"/>
      <c r="AFY36" s="40"/>
      <c r="AFZ36" s="40"/>
      <c r="AGA36" s="40"/>
      <c r="AGB36" s="40"/>
      <c r="AGC36" s="40"/>
      <c r="AGD36" s="40"/>
      <c r="AGE36" s="40"/>
      <c r="AGF36" s="40"/>
      <c r="AGG36" s="40"/>
      <c r="AGH36" s="40"/>
      <c r="AGI36" s="40"/>
      <c r="AGJ36" s="40"/>
      <c r="AGK36" s="40"/>
      <c r="AGL36" s="40"/>
      <c r="AGM36" s="40"/>
      <c r="AGN36" s="40"/>
      <c r="AGO36" s="40"/>
      <c r="AGP36" s="40"/>
      <c r="AGQ36" s="40"/>
      <c r="AGR36" s="40"/>
      <c r="AGS36" s="40"/>
    </row>
    <row r="37" spans="1:877" ht="13">
      <c r="A37" s="41"/>
      <c r="B37" s="44">
        <f>'H2 Production Costs'!$D$9</f>
        <v>2.6198684210526317</v>
      </c>
      <c r="C37" s="43" t="s">
        <v>8</v>
      </c>
      <c r="D37" s="40"/>
      <c r="E37" s="40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>
        <f>'Project Overview'!$C$13/12</f>
        <v>68107.666666666672</v>
      </c>
      <c r="AF37" s="28">
        <f>'Project Overview'!$C$13/12</f>
        <v>68107.666666666672</v>
      </c>
      <c r="AG37" s="28">
        <f>'Project Overview'!$C$13/12</f>
        <v>68107.666666666672</v>
      </c>
      <c r="AH37" s="28">
        <f>'Project Overview'!$C$13/12</f>
        <v>68107.666666666672</v>
      </c>
      <c r="AI37" s="28">
        <f>'Project Overview'!$C$13/12</f>
        <v>68107.666666666672</v>
      </c>
      <c r="AJ37" s="28">
        <f>'Project Overview'!$C$13/12</f>
        <v>68107.666666666672</v>
      </c>
      <c r="AK37" s="28">
        <f>'Project Overview'!$C$13/12</f>
        <v>68107.666666666672</v>
      </c>
      <c r="AL37" s="28">
        <f>'Project Overview'!$C$13/12</f>
        <v>68107.666666666672</v>
      </c>
      <c r="AM37" s="28">
        <f>'Project Overview'!$C$13/12</f>
        <v>68107.666666666672</v>
      </c>
      <c r="AN37" s="28">
        <f>'Project Overview'!$C$13/12</f>
        <v>68107.666666666672</v>
      </c>
      <c r="AO37" s="28">
        <f>'Project Overview'!$C$13/12</f>
        <v>68107.666666666672</v>
      </c>
      <c r="AP37" s="28">
        <f>'Project Overview'!$C$13/12</f>
        <v>68107.666666666672</v>
      </c>
      <c r="AQ37" s="28">
        <f>'Project Overview'!$D$13/12</f>
        <v>90171.116666666654</v>
      </c>
      <c r="AR37" s="28">
        <f>'Project Overview'!$D$13/12</f>
        <v>90171.116666666654</v>
      </c>
      <c r="AS37" s="28">
        <f>'Project Overview'!$D$13/12</f>
        <v>90171.116666666654</v>
      </c>
      <c r="AT37" s="28">
        <f>'Project Overview'!$D$13/12</f>
        <v>90171.116666666654</v>
      </c>
      <c r="AU37" s="28">
        <f>'Project Overview'!$D$13/12</f>
        <v>90171.116666666654</v>
      </c>
      <c r="AV37" s="28">
        <f>'Project Overview'!$D$13/12</f>
        <v>90171.116666666654</v>
      </c>
      <c r="AW37" s="28">
        <f>'Project Overview'!$D$13/12</f>
        <v>90171.116666666654</v>
      </c>
      <c r="AX37" s="28">
        <f>'Project Overview'!$D$13/12</f>
        <v>90171.116666666654</v>
      </c>
      <c r="AY37" s="28">
        <f>'Project Overview'!$D$13/12</f>
        <v>90171.116666666654</v>
      </c>
      <c r="AZ37" s="28">
        <f>'Project Overview'!$D$13/12</f>
        <v>90171.116666666654</v>
      </c>
      <c r="BA37" s="28">
        <f>'Project Overview'!$D$13/12</f>
        <v>90171.116666666654</v>
      </c>
      <c r="BB37" s="28">
        <f>'Project Overview'!$D$13/12</f>
        <v>90171.116666666654</v>
      </c>
      <c r="BC37" s="28">
        <f>'Project Overview'!$E$13/12</f>
        <v>103696.78416666666</v>
      </c>
      <c r="BD37" s="28">
        <f>'Project Overview'!$E$13/12</f>
        <v>103696.78416666666</v>
      </c>
      <c r="BE37" s="28">
        <f>'Project Overview'!$E$13/12</f>
        <v>103696.78416666666</v>
      </c>
      <c r="BF37" s="28">
        <f>'Project Overview'!$E$13/12</f>
        <v>103696.78416666666</v>
      </c>
      <c r="BG37" s="28">
        <f>'Project Overview'!$E$13/12</f>
        <v>103696.78416666666</v>
      </c>
      <c r="BH37" s="28">
        <f>'Project Overview'!$E$13/12</f>
        <v>103696.78416666666</v>
      </c>
      <c r="BI37" s="28">
        <f>'Project Overview'!$E$13/12</f>
        <v>103696.78416666666</v>
      </c>
      <c r="BJ37" s="28">
        <f>'Project Overview'!$E$13/12</f>
        <v>103696.78416666666</v>
      </c>
      <c r="BK37" s="28">
        <f>'Project Overview'!$E$13/12</f>
        <v>103696.78416666666</v>
      </c>
      <c r="BL37" s="28">
        <f>'Project Overview'!$E$13/12</f>
        <v>103696.78416666666</v>
      </c>
      <c r="BM37" s="28">
        <f>'Project Overview'!$E$13/12</f>
        <v>103696.78416666666</v>
      </c>
      <c r="BN37" s="28">
        <f>'Project Overview'!$E$13/12</f>
        <v>103696.78416666666</v>
      </c>
      <c r="BO37" s="28">
        <f>'Project Overview'!$F$13/12</f>
        <v>119251.30179166666</v>
      </c>
      <c r="BP37" s="28">
        <f>'Project Overview'!$F$13/12</f>
        <v>119251.30179166666</v>
      </c>
      <c r="BQ37" s="28">
        <f>'Project Overview'!$F$13/12</f>
        <v>119251.30179166666</v>
      </c>
      <c r="BR37" s="28">
        <f>'Project Overview'!$F$13/12</f>
        <v>119251.30179166666</v>
      </c>
      <c r="BS37" s="28">
        <f>'Project Overview'!$F$13/12</f>
        <v>119251.30179166666</v>
      </c>
      <c r="BT37" s="28">
        <f>'Project Overview'!$F$13/12</f>
        <v>119251.30179166666</v>
      </c>
      <c r="BU37" s="28">
        <f>'Project Overview'!$F$13/12</f>
        <v>119251.30179166666</v>
      </c>
      <c r="BV37" s="28">
        <f>'Project Overview'!$F$13/12</f>
        <v>119251.30179166666</v>
      </c>
      <c r="BW37" s="28">
        <f>'Project Overview'!$F$13/12</f>
        <v>119251.30179166666</v>
      </c>
      <c r="BX37" s="28">
        <f>'Project Overview'!$F$13/12</f>
        <v>119251.30179166666</v>
      </c>
      <c r="BY37" s="28">
        <f>'Project Overview'!$F$13/12</f>
        <v>119251.30179166666</v>
      </c>
      <c r="BZ37" s="28">
        <f>'Project Overview'!$F$13/12</f>
        <v>119251.30179166666</v>
      </c>
      <c r="CA37" s="28">
        <f>'Project Overview'!$G$13/12</f>
        <v>119251.30179166666</v>
      </c>
      <c r="CB37" s="28">
        <f>'Project Overview'!$G$13/12</f>
        <v>119251.30179166666</v>
      </c>
      <c r="CC37" s="28">
        <f>'Project Overview'!$G$13/12</f>
        <v>119251.30179166666</v>
      </c>
      <c r="CD37" s="28">
        <f>'Project Overview'!$G$13/12</f>
        <v>119251.30179166666</v>
      </c>
      <c r="CE37" s="28">
        <f>'Project Overview'!$G$13/12</f>
        <v>119251.30179166666</v>
      </c>
      <c r="CF37" s="28">
        <f>'Project Overview'!$G$13/12</f>
        <v>119251.30179166666</v>
      </c>
      <c r="CG37" s="28">
        <f>'Project Overview'!$G$13/12</f>
        <v>119251.30179166666</v>
      </c>
      <c r="CH37" s="28">
        <f>'Project Overview'!$G$13/12</f>
        <v>119251.30179166666</v>
      </c>
      <c r="CI37" s="28">
        <f>'Project Overview'!$G$13/12</f>
        <v>119251.30179166666</v>
      </c>
      <c r="CJ37" s="28">
        <f>'Project Overview'!$G$13/12</f>
        <v>119251.30179166666</v>
      </c>
      <c r="CK37" s="28">
        <f>'Project Overview'!$G$13/12</f>
        <v>119251.30179166666</v>
      </c>
      <c r="CL37" s="28">
        <f>'Project Overview'!$G$13/12</f>
        <v>119251.30179166666</v>
      </c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  <c r="GB37" s="40"/>
      <c r="GC37" s="40"/>
      <c r="GD37" s="40"/>
      <c r="GE37" s="40"/>
      <c r="GF37" s="40"/>
      <c r="GG37" s="40"/>
      <c r="GH37" s="40"/>
      <c r="GI37" s="40"/>
      <c r="GJ37" s="40"/>
      <c r="GK37" s="40"/>
      <c r="GL37" s="40"/>
      <c r="GM37" s="40"/>
      <c r="GN37" s="40"/>
      <c r="GO37" s="40"/>
      <c r="GP37" s="40"/>
      <c r="GQ37" s="40"/>
      <c r="GR37" s="40"/>
      <c r="GS37" s="40"/>
      <c r="GT37" s="40"/>
      <c r="GU37" s="40"/>
      <c r="GV37" s="40"/>
      <c r="GW37" s="40"/>
      <c r="GX37" s="40"/>
      <c r="GY37" s="40"/>
      <c r="GZ37" s="40"/>
      <c r="HA37" s="40"/>
      <c r="HB37" s="40"/>
      <c r="HC37" s="40"/>
      <c r="HD37" s="40"/>
      <c r="HE37" s="40"/>
      <c r="HF37" s="40"/>
      <c r="HG37" s="40"/>
      <c r="HH37" s="40"/>
      <c r="HI37" s="40"/>
      <c r="HJ37" s="40"/>
      <c r="HK37" s="40"/>
      <c r="HL37" s="40"/>
      <c r="HM37" s="40"/>
      <c r="HN37" s="40"/>
      <c r="HO37" s="40"/>
      <c r="HP37" s="40"/>
      <c r="HQ37" s="40"/>
      <c r="HR37" s="40"/>
      <c r="HS37" s="40"/>
      <c r="HT37" s="40"/>
      <c r="HU37" s="40"/>
      <c r="HV37" s="40"/>
      <c r="HW37" s="40"/>
      <c r="HX37" s="40"/>
      <c r="HY37" s="40"/>
      <c r="HZ37" s="40"/>
      <c r="IA37" s="40"/>
      <c r="IB37" s="40"/>
      <c r="IC37" s="40"/>
      <c r="ID37" s="40"/>
      <c r="IE37" s="40"/>
      <c r="IF37" s="40"/>
      <c r="IG37" s="40"/>
      <c r="IH37" s="40"/>
      <c r="II37" s="40"/>
      <c r="IJ37" s="40"/>
      <c r="IK37" s="40"/>
      <c r="IL37" s="40"/>
      <c r="IM37" s="40"/>
      <c r="IN37" s="40"/>
      <c r="IO37" s="40"/>
      <c r="IP37" s="40"/>
      <c r="IQ37" s="40"/>
      <c r="IR37" s="40"/>
      <c r="IS37" s="40"/>
      <c r="IT37" s="40"/>
      <c r="IU37" s="40"/>
      <c r="IV37" s="40"/>
      <c r="IW37" s="40"/>
      <c r="IX37" s="40"/>
      <c r="IY37" s="40"/>
      <c r="IZ37" s="40"/>
      <c r="JA37" s="40"/>
      <c r="JB37" s="40"/>
      <c r="JC37" s="40"/>
      <c r="JD37" s="40"/>
      <c r="JE37" s="40"/>
      <c r="JF37" s="40"/>
      <c r="JG37" s="40"/>
      <c r="JH37" s="40"/>
      <c r="JI37" s="40"/>
      <c r="JJ37" s="40"/>
      <c r="JK37" s="40"/>
      <c r="JL37" s="40"/>
      <c r="JM37" s="40"/>
      <c r="JN37" s="40"/>
      <c r="JO37" s="40"/>
      <c r="JP37" s="40"/>
      <c r="JQ37" s="40"/>
      <c r="JR37" s="40"/>
      <c r="JS37" s="40"/>
      <c r="JT37" s="40"/>
      <c r="JU37" s="40"/>
      <c r="JV37" s="40"/>
      <c r="JW37" s="40"/>
      <c r="JX37" s="40"/>
      <c r="JY37" s="40"/>
      <c r="JZ37" s="40"/>
      <c r="KA37" s="40"/>
      <c r="KB37" s="40"/>
      <c r="KC37" s="40"/>
      <c r="KD37" s="40"/>
      <c r="KE37" s="40"/>
      <c r="KF37" s="40"/>
      <c r="KG37" s="40"/>
      <c r="KH37" s="40"/>
      <c r="KI37" s="40"/>
      <c r="KJ37" s="40"/>
      <c r="KK37" s="40"/>
      <c r="KL37" s="40"/>
      <c r="KM37" s="40"/>
      <c r="KN37" s="40"/>
      <c r="KO37" s="40"/>
      <c r="KP37" s="40"/>
      <c r="KQ37" s="40"/>
      <c r="KR37" s="40"/>
      <c r="KS37" s="40"/>
      <c r="KT37" s="40"/>
      <c r="KU37" s="40"/>
      <c r="KV37" s="40"/>
      <c r="KW37" s="40"/>
      <c r="KX37" s="40"/>
      <c r="KY37" s="40"/>
      <c r="KZ37" s="40"/>
      <c r="LA37" s="40"/>
      <c r="LB37" s="40"/>
      <c r="LC37" s="40"/>
      <c r="LD37" s="40"/>
      <c r="LE37" s="40"/>
      <c r="LF37" s="40"/>
      <c r="LG37" s="40"/>
      <c r="LH37" s="40"/>
      <c r="LI37" s="40"/>
      <c r="LJ37" s="40"/>
      <c r="LK37" s="40"/>
      <c r="LL37" s="40"/>
      <c r="LM37" s="40"/>
      <c r="LN37" s="40"/>
      <c r="LO37" s="40"/>
      <c r="LP37" s="40"/>
      <c r="LQ37" s="40"/>
      <c r="LR37" s="40"/>
      <c r="LS37" s="40"/>
      <c r="LT37" s="40"/>
      <c r="LU37" s="40"/>
      <c r="LV37" s="40"/>
      <c r="LW37" s="40"/>
      <c r="LX37" s="40"/>
      <c r="LY37" s="40"/>
      <c r="LZ37" s="40"/>
      <c r="MA37" s="40"/>
      <c r="MB37" s="40"/>
      <c r="MC37" s="40"/>
      <c r="MD37" s="40"/>
      <c r="ME37" s="40"/>
      <c r="MF37" s="40"/>
      <c r="MG37" s="40"/>
      <c r="MH37" s="40"/>
      <c r="MI37" s="40"/>
      <c r="MJ37" s="40"/>
      <c r="MK37" s="40"/>
      <c r="ML37" s="40"/>
      <c r="MM37" s="40"/>
      <c r="MN37" s="40"/>
      <c r="MO37" s="40"/>
      <c r="MP37" s="40"/>
      <c r="MQ37" s="40"/>
      <c r="MR37" s="40"/>
      <c r="MS37" s="40"/>
      <c r="MT37" s="40"/>
      <c r="MU37" s="40"/>
      <c r="MV37" s="40"/>
      <c r="MW37" s="40"/>
      <c r="MX37" s="40"/>
      <c r="MY37" s="40"/>
      <c r="MZ37" s="40"/>
      <c r="NA37" s="40"/>
      <c r="NB37" s="40"/>
      <c r="NC37" s="40"/>
      <c r="ND37" s="40"/>
      <c r="NE37" s="40"/>
      <c r="NF37" s="40"/>
      <c r="NG37" s="40"/>
      <c r="NH37" s="40"/>
      <c r="NI37" s="40"/>
      <c r="NJ37" s="40"/>
      <c r="NK37" s="40"/>
      <c r="NL37" s="40"/>
      <c r="NM37" s="40"/>
      <c r="NN37" s="40"/>
      <c r="NO37" s="40"/>
      <c r="NP37" s="40"/>
      <c r="NQ37" s="40"/>
      <c r="NR37" s="40"/>
      <c r="NS37" s="40"/>
      <c r="NT37" s="40"/>
      <c r="NU37" s="40"/>
      <c r="NV37" s="40"/>
      <c r="NW37" s="40"/>
      <c r="NX37" s="40"/>
      <c r="NY37" s="40"/>
      <c r="NZ37" s="40"/>
      <c r="OA37" s="40"/>
      <c r="OB37" s="40"/>
      <c r="OC37" s="40"/>
      <c r="OD37" s="40"/>
      <c r="OE37" s="40"/>
      <c r="OF37" s="40"/>
      <c r="OG37" s="40"/>
      <c r="OH37" s="40"/>
      <c r="OI37" s="40"/>
      <c r="OJ37" s="40"/>
      <c r="OK37" s="40"/>
      <c r="OL37" s="40"/>
      <c r="OM37" s="40"/>
      <c r="ON37" s="40"/>
      <c r="OO37" s="40"/>
      <c r="OP37" s="40"/>
      <c r="OQ37" s="40"/>
      <c r="OR37" s="40"/>
      <c r="OS37" s="40"/>
      <c r="OT37" s="40"/>
      <c r="OU37" s="40"/>
      <c r="OV37" s="40"/>
      <c r="OW37" s="40"/>
      <c r="OX37" s="40"/>
      <c r="OY37" s="40"/>
      <c r="OZ37" s="40"/>
      <c r="PA37" s="40"/>
      <c r="PB37" s="40"/>
      <c r="PC37" s="40"/>
      <c r="PD37" s="40"/>
      <c r="PE37" s="40"/>
      <c r="PF37" s="40"/>
      <c r="PG37" s="40"/>
      <c r="PH37" s="40"/>
      <c r="PI37" s="40"/>
      <c r="PJ37" s="40"/>
      <c r="PK37" s="40"/>
      <c r="PL37" s="40"/>
      <c r="PM37" s="40"/>
      <c r="PN37" s="40"/>
      <c r="PO37" s="40"/>
      <c r="PP37" s="40"/>
      <c r="PQ37" s="40"/>
      <c r="PR37" s="40"/>
      <c r="PS37" s="40"/>
      <c r="PT37" s="40"/>
      <c r="PU37" s="40"/>
      <c r="PV37" s="40"/>
      <c r="PW37" s="40"/>
      <c r="PX37" s="40"/>
      <c r="PY37" s="40"/>
      <c r="PZ37" s="40"/>
      <c r="QA37" s="40"/>
      <c r="QB37" s="40"/>
      <c r="QC37" s="40"/>
      <c r="QD37" s="40"/>
      <c r="QE37" s="40"/>
      <c r="QF37" s="40"/>
      <c r="QG37" s="40"/>
      <c r="QH37" s="40"/>
      <c r="QI37" s="40"/>
      <c r="QJ37" s="40"/>
      <c r="QK37" s="40"/>
      <c r="QL37" s="40"/>
      <c r="QM37" s="40"/>
      <c r="QN37" s="40"/>
      <c r="QO37" s="40"/>
      <c r="QP37" s="40"/>
      <c r="QQ37" s="40"/>
      <c r="QR37" s="40"/>
      <c r="QS37" s="40"/>
      <c r="QT37" s="40"/>
      <c r="QU37" s="40"/>
      <c r="QV37" s="40"/>
      <c r="QW37" s="40"/>
      <c r="QX37" s="40"/>
      <c r="QY37" s="40"/>
      <c r="QZ37" s="40"/>
      <c r="RA37" s="40"/>
      <c r="RB37" s="40"/>
      <c r="RC37" s="40"/>
      <c r="RD37" s="40"/>
      <c r="RE37" s="40"/>
      <c r="RF37" s="40"/>
      <c r="RG37" s="40"/>
      <c r="RH37" s="40"/>
      <c r="RI37" s="40"/>
      <c r="RJ37" s="40"/>
      <c r="RK37" s="40"/>
      <c r="RL37" s="40"/>
      <c r="RM37" s="40"/>
      <c r="RN37" s="40"/>
      <c r="RO37" s="40"/>
      <c r="RP37" s="40"/>
      <c r="RQ37" s="40"/>
      <c r="RR37" s="40"/>
      <c r="RS37" s="40"/>
      <c r="RT37" s="40"/>
      <c r="RU37" s="40"/>
      <c r="RV37" s="40"/>
      <c r="RW37" s="40"/>
      <c r="RX37" s="40"/>
      <c r="RY37" s="40"/>
      <c r="RZ37" s="40"/>
      <c r="SA37" s="40"/>
      <c r="SB37" s="40"/>
      <c r="SC37" s="40"/>
      <c r="SD37" s="40"/>
      <c r="SE37" s="40"/>
      <c r="SF37" s="40"/>
      <c r="SG37" s="40"/>
      <c r="SH37" s="40"/>
      <c r="SI37" s="40"/>
      <c r="SJ37" s="40"/>
      <c r="SK37" s="40"/>
      <c r="SL37" s="40"/>
      <c r="SM37" s="40"/>
      <c r="SN37" s="40"/>
      <c r="SO37" s="40"/>
      <c r="SP37" s="40"/>
      <c r="SQ37" s="40"/>
      <c r="SR37" s="40"/>
      <c r="SS37" s="40"/>
      <c r="ST37" s="40"/>
      <c r="SU37" s="40"/>
      <c r="SV37" s="40"/>
      <c r="SW37" s="40"/>
      <c r="SX37" s="40"/>
      <c r="SY37" s="40"/>
      <c r="SZ37" s="40"/>
      <c r="TA37" s="40"/>
      <c r="TB37" s="40"/>
      <c r="TC37" s="40"/>
      <c r="TD37" s="40"/>
      <c r="TE37" s="40"/>
      <c r="TF37" s="40"/>
      <c r="TG37" s="40"/>
      <c r="TH37" s="40"/>
      <c r="TI37" s="40"/>
      <c r="TJ37" s="40"/>
      <c r="TK37" s="40"/>
      <c r="TL37" s="40"/>
      <c r="TM37" s="40"/>
      <c r="TN37" s="40"/>
      <c r="TO37" s="40"/>
      <c r="TP37" s="40"/>
      <c r="TQ37" s="40"/>
      <c r="TR37" s="40"/>
      <c r="TS37" s="40"/>
      <c r="TT37" s="40"/>
      <c r="TU37" s="40"/>
      <c r="TV37" s="40"/>
      <c r="TW37" s="40"/>
      <c r="TX37" s="40"/>
      <c r="TY37" s="40"/>
      <c r="TZ37" s="40"/>
      <c r="UA37" s="40"/>
      <c r="UB37" s="40"/>
      <c r="UC37" s="40"/>
      <c r="UD37" s="40"/>
      <c r="UE37" s="40"/>
      <c r="UF37" s="40"/>
      <c r="UG37" s="40"/>
      <c r="UH37" s="40"/>
      <c r="UI37" s="40"/>
      <c r="UJ37" s="40"/>
      <c r="UK37" s="40"/>
      <c r="UL37" s="40"/>
      <c r="UM37" s="40"/>
      <c r="UN37" s="40"/>
      <c r="UO37" s="40"/>
      <c r="UP37" s="40"/>
      <c r="UQ37" s="40"/>
      <c r="UR37" s="40"/>
      <c r="US37" s="40"/>
      <c r="UT37" s="40"/>
      <c r="UU37" s="40"/>
      <c r="UV37" s="40"/>
      <c r="UW37" s="40"/>
      <c r="UX37" s="40"/>
      <c r="UY37" s="40"/>
      <c r="UZ37" s="40"/>
      <c r="VA37" s="40"/>
      <c r="VB37" s="40"/>
      <c r="VC37" s="40"/>
      <c r="VD37" s="40"/>
      <c r="VE37" s="40"/>
      <c r="VF37" s="40"/>
      <c r="VG37" s="40"/>
      <c r="VH37" s="40"/>
      <c r="VI37" s="40"/>
      <c r="VJ37" s="40"/>
      <c r="VK37" s="40"/>
      <c r="VL37" s="40"/>
      <c r="VM37" s="40"/>
      <c r="VN37" s="40"/>
      <c r="VO37" s="40"/>
      <c r="VP37" s="40"/>
      <c r="VQ37" s="40"/>
      <c r="VR37" s="40"/>
      <c r="VS37" s="40"/>
      <c r="VT37" s="40"/>
      <c r="VU37" s="40"/>
      <c r="VV37" s="40"/>
      <c r="VW37" s="40"/>
      <c r="VX37" s="40"/>
      <c r="VY37" s="40"/>
      <c r="VZ37" s="40"/>
      <c r="WA37" s="40"/>
      <c r="WB37" s="40"/>
      <c r="WC37" s="40"/>
      <c r="WD37" s="40"/>
      <c r="WE37" s="40"/>
      <c r="WF37" s="40"/>
      <c r="WG37" s="40"/>
      <c r="WH37" s="40"/>
      <c r="WI37" s="40"/>
      <c r="WJ37" s="40"/>
      <c r="WK37" s="40"/>
      <c r="WL37" s="40"/>
      <c r="WM37" s="40"/>
      <c r="WN37" s="40"/>
      <c r="WO37" s="40"/>
      <c r="WP37" s="40"/>
      <c r="WQ37" s="40"/>
      <c r="WR37" s="40"/>
      <c r="WS37" s="40"/>
      <c r="WT37" s="40"/>
      <c r="WU37" s="40"/>
      <c r="WV37" s="40"/>
      <c r="WW37" s="40"/>
      <c r="WX37" s="40"/>
      <c r="WY37" s="40"/>
      <c r="WZ37" s="40"/>
      <c r="XA37" s="40"/>
      <c r="XB37" s="40"/>
      <c r="XC37" s="40"/>
      <c r="XD37" s="40"/>
      <c r="XE37" s="40"/>
      <c r="XF37" s="40"/>
      <c r="XG37" s="40"/>
      <c r="XH37" s="40"/>
      <c r="XI37" s="40"/>
      <c r="XJ37" s="40"/>
      <c r="XK37" s="40"/>
      <c r="XL37" s="40"/>
      <c r="XM37" s="40"/>
      <c r="XN37" s="40"/>
      <c r="XO37" s="40"/>
      <c r="XP37" s="40"/>
      <c r="XQ37" s="40"/>
      <c r="XR37" s="40"/>
      <c r="XS37" s="40"/>
      <c r="XT37" s="40"/>
      <c r="XU37" s="40"/>
      <c r="XV37" s="40"/>
      <c r="XW37" s="40"/>
      <c r="XX37" s="40"/>
      <c r="XY37" s="40"/>
      <c r="XZ37" s="40"/>
      <c r="YA37" s="40"/>
      <c r="YB37" s="40"/>
      <c r="YC37" s="40"/>
      <c r="YD37" s="40"/>
      <c r="YE37" s="40"/>
      <c r="YF37" s="40"/>
      <c r="YG37" s="40"/>
      <c r="YH37" s="40"/>
      <c r="YI37" s="40"/>
      <c r="YJ37" s="40"/>
      <c r="YK37" s="40"/>
      <c r="YL37" s="40"/>
      <c r="YM37" s="40"/>
      <c r="YN37" s="40"/>
      <c r="YO37" s="40"/>
      <c r="YP37" s="40"/>
      <c r="YQ37" s="40"/>
      <c r="YR37" s="40"/>
      <c r="YS37" s="40"/>
      <c r="YT37" s="40"/>
      <c r="YU37" s="40"/>
      <c r="YV37" s="40"/>
      <c r="YW37" s="40"/>
      <c r="YX37" s="40"/>
      <c r="YY37" s="40"/>
      <c r="YZ37" s="40"/>
      <c r="ZA37" s="40"/>
      <c r="ZB37" s="40"/>
      <c r="ZC37" s="40"/>
      <c r="ZD37" s="40"/>
      <c r="ZE37" s="40"/>
      <c r="ZF37" s="40"/>
      <c r="ZG37" s="40"/>
      <c r="ZH37" s="40"/>
      <c r="ZI37" s="40"/>
      <c r="ZJ37" s="40"/>
      <c r="ZK37" s="40"/>
      <c r="ZL37" s="40"/>
      <c r="ZM37" s="40"/>
      <c r="ZN37" s="40"/>
      <c r="ZO37" s="40"/>
      <c r="ZP37" s="40"/>
      <c r="ZQ37" s="40"/>
      <c r="ZR37" s="40"/>
      <c r="ZS37" s="40"/>
      <c r="ZT37" s="40"/>
      <c r="ZU37" s="40"/>
      <c r="ZV37" s="40"/>
      <c r="ZW37" s="40"/>
      <c r="ZX37" s="40"/>
      <c r="ZY37" s="40"/>
      <c r="ZZ37" s="40"/>
      <c r="AAA37" s="40"/>
      <c r="AAB37" s="40"/>
      <c r="AAC37" s="40"/>
      <c r="AAD37" s="40"/>
      <c r="AAE37" s="40"/>
      <c r="AAF37" s="40"/>
      <c r="AAG37" s="40"/>
      <c r="AAH37" s="40"/>
      <c r="AAI37" s="40"/>
      <c r="AAJ37" s="40"/>
      <c r="AAK37" s="40"/>
      <c r="AAL37" s="40"/>
      <c r="AAM37" s="40"/>
      <c r="AAN37" s="40"/>
      <c r="AAO37" s="40"/>
      <c r="AAP37" s="40"/>
      <c r="AAQ37" s="40"/>
      <c r="AAR37" s="40"/>
      <c r="AAS37" s="40"/>
      <c r="AAT37" s="40"/>
      <c r="AAU37" s="40"/>
      <c r="AAV37" s="40"/>
      <c r="AAW37" s="40"/>
      <c r="AAX37" s="40"/>
      <c r="AAY37" s="40"/>
      <c r="AAZ37" s="40"/>
      <c r="ABA37" s="40"/>
      <c r="ABB37" s="40"/>
      <c r="ABC37" s="40"/>
      <c r="ABD37" s="40"/>
      <c r="ABE37" s="40"/>
      <c r="ABF37" s="40"/>
      <c r="ABG37" s="40"/>
      <c r="ABH37" s="40"/>
      <c r="ABI37" s="40"/>
      <c r="ABJ37" s="40"/>
      <c r="ABK37" s="40"/>
      <c r="ABL37" s="40"/>
      <c r="ABM37" s="40"/>
      <c r="ABN37" s="40"/>
      <c r="ABO37" s="40"/>
      <c r="ABP37" s="40"/>
      <c r="ABQ37" s="40"/>
      <c r="ABR37" s="40"/>
      <c r="ABS37" s="40"/>
      <c r="ABT37" s="40"/>
      <c r="ABU37" s="40"/>
      <c r="ABV37" s="40"/>
      <c r="ABW37" s="40"/>
      <c r="ABX37" s="40"/>
      <c r="ABY37" s="40"/>
      <c r="ABZ37" s="40"/>
      <c r="ACA37" s="40"/>
      <c r="ACB37" s="40"/>
      <c r="ACC37" s="40"/>
      <c r="ACD37" s="40"/>
      <c r="ACE37" s="40"/>
      <c r="ACF37" s="40"/>
      <c r="ACG37" s="40"/>
      <c r="ACH37" s="40"/>
      <c r="ACI37" s="40"/>
      <c r="ACJ37" s="40"/>
      <c r="ACK37" s="40"/>
      <c r="ACL37" s="40"/>
      <c r="ACM37" s="40"/>
      <c r="ACN37" s="40"/>
      <c r="ACO37" s="40"/>
      <c r="ACP37" s="40"/>
      <c r="ACQ37" s="40"/>
      <c r="ACR37" s="40"/>
      <c r="ACS37" s="40"/>
      <c r="ACT37" s="40"/>
      <c r="ACU37" s="40"/>
      <c r="ACV37" s="40"/>
      <c r="ACW37" s="40"/>
      <c r="ACX37" s="40"/>
      <c r="ACY37" s="40"/>
      <c r="ACZ37" s="40"/>
      <c r="ADA37" s="40"/>
      <c r="ADB37" s="40"/>
      <c r="ADC37" s="40"/>
      <c r="ADD37" s="40"/>
      <c r="ADE37" s="40"/>
      <c r="ADF37" s="40"/>
      <c r="ADG37" s="40"/>
      <c r="ADH37" s="40"/>
      <c r="ADI37" s="40"/>
      <c r="ADJ37" s="40"/>
      <c r="ADK37" s="40"/>
      <c r="ADL37" s="40"/>
      <c r="ADM37" s="40"/>
      <c r="ADN37" s="40"/>
      <c r="ADO37" s="40"/>
      <c r="ADP37" s="40"/>
      <c r="ADQ37" s="40"/>
      <c r="ADR37" s="40"/>
      <c r="ADS37" s="40"/>
      <c r="ADT37" s="40"/>
      <c r="ADU37" s="40"/>
      <c r="ADV37" s="40"/>
      <c r="ADW37" s="40"/>
      <c r="ADX37" s="40"/>
      <c r="ADY37" s="40"/>
      <c r="ADZ37" s="40"/>
      <c r="AEA37" s="40"/>
      <c r="AEB37" s="40"/>
      <c r="AEC37" s="40"/>
      <c r="AED37" s="40"/>
      <c r="AEE37" s="40"/>
      <c r="AEF37" s="40"/>
      <c r="AEG37" s="40"/>
      <c r="AEH37" s="40"/>
      <c r="AEI37" s="40"/>
      <c r="AEJ37" s="40"/>
      <c r="AEK37" s="40"/>
      <c r="AEL37" s="40"/>
      <c r="AEM37" s="40"/>
      <c r="AEN37" s="40"/>
      <c r="AEO37" s="40"/>
      <c r="AEP37" s="40"/>
      <c r="AEQ37" s="40"/>
      <c r="AER37" s="40"/>
      <c r="AES37" s="40"/>
      <c r="AET37" s="40"/>
      <c r="AEU37" s="40"/>
      <c r="AEV37" s="40"/>
      <c r="AEW37" s="40"/>
      <c r="AEX37" s="40"/>
      <c r="AEY37" s="40"/>
      <c r="AEZ37" s="40"/>
      <c r="AFA37" s="40"/>
      <c r="AFB37" s="40"/>
      <c r="AFC37" s="40"/>
      <c r="AFD37" s="40"/>
      <c r="AFE37" s="40"/>
      <c r="AFF37" s="40"/>
      <c r="AFG37" s="40"/>
      <c r="AFH37" s="40"/>
      <c r="AFI37" s="40"/>
      <c r="AFJ37" s="40"/>
      <c r="AFK37" s="40"/>
      <c r="AFL37" s="40"/>
      <c r="AFM37" s="40"/>
      <c r="AFN37" s="40"/>
      <c r="AFO37" s="40"/>
      <c r="AFP37" s="40"/>
      <c r="AFQ37" s="40"/>
      <c r="AFR37" s="40"/>
      <c r="AFS37" s="40"/>
      <c r="AFT37" s="40"/>
      <c r="AFU37" s="40"/>
      <c r="AFV37" s="40"/>
      <c r="AFW37" s="40"/>
      <c r="AFX37" s="40"/>
      <c r="AFY37" s="40"/>
      <c r="AFZ37" s="40"/>
      <c r="AGA37" s="40"/>
      <c r="AGB37" s="40"/>
      <c r="AGC37" s="40"/>
      <c r="AGD37" s="40"/>
      <c r="AGE37" s="40"/>
      <c r="AGF37" s="40"/>
      <c r="AGG37" s="40"/>
      <c r="AGH37" s="40"/>
      <c r="AGI37" s="40"/>
      <c r="AGJ37" s="40"/>
      <c r="AGK37" s="40"/>
      <c r="AGL37" s="40"/>
      <c r="AGM37" s="40"/>
      <c r="AGN37" s="40"/>
      <c r="AGO37" s="40"/>
      <c r="AGP37" s="40"/>
      <c r="AGQ37" s="40"/>
      <c r="AGR37" s="40"/>
      <c r="AGS37" s="40"/>
    </row>
    <row r="38" spans="1:877" ht="13">
      <c r="A38" s="45"/>
      <c r="B38" s="42" t="s">
        <v>23</v>
      </c>
      <c r="C38" s="46" t="s">
        <v>24</v>
      </c>
      <c r="D38" s="47"/>
      <c r="E38" s="4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37500</v>
      </c>
      <c r="AR38" s="28">
        <v>37500</v>
      </c>
      <c r="AS38" s="28">
        <v>37500</v>
      </c>
      <c r="AT38" s="28">
        <v>37500</v>
      </c>
      <c r="AU38" s="28">
        <v>37500</v>
      </c>
      <c r="AV38" s="28">
        <v>37500</v>
      </c>
      <c r="AW38" s="28">
        <v>37500</v>
      </c>
      <c r="AX38" s="28">
        <v>37500</v>
      </c>
      <c r="AY38" s="28">
        <v>37500</v>
      </c>
      <c r="AZ38" s="28">
        <v>37500</v>
      </c>
      <c r="BA38" s="28">
        <v>37500</v>
      </c>
      <c r="BB38" s="28">
        <v>37500</v>
      </c>
      <c r="BC38" s="28">
        <v>75000</v>
      </c>
      <c r="BD38" s="28">
        <v>75000</v>
      </c>
      <c r="BE38" s="28">
        <v>75000</v>
      </c>
      <c r="BF38" s="28">
        <v>75000</v>
      </c>
      <c r="BG38" s="28">
        <v>75000</v>
      </c>
      <c r="BH38" s="28">
        <v>75000</v>
      </c>
      <c r="BI38" s="28">
        <v>75000</v>
      </c>
      <c r="BJ38" s="28">
        <v>75000</v>
      </c>
      <c r="BK38" s="28">
        <v>75000</v>
      </c>
      <c r="BL38" s="28">
        <v>75000</v>
      </c>
      <c r="BM38" s="28">
        <v>75000</v>
      </c>
      <c r="BN38" s="28">
        <v>75000</v>
      </c>
      <c r="BO38" s="28">
        <v>75000</v>
      </c>
      <c r="BP38" s="28">
        <v>75000</v>
      </c>
      <c r="BQ38" s="28">
        <v>75000</v>
      </c>
      <c r="BR38" s="28">
        <v>75000</v>
      </c>
      <c r="BS38" s="28">
        <v>75000</v>
      </c>
      <c r="BT38" s="28">
        <v>75000</v>
      </c>
      <c r="BU38" s="28">
        <v>75000</v>
      </c>
      <c r="BV38" s="28">
        <v>75000</v>
      </c>
      <c r="BW38" s="28">
        <v>75000</v>
      </c>
      <c r="BX38" s="28">
        <v>75000</v>
      </c>
      <c r="BY38" s="28">
        <v>75000</v>
      </c>
      <c r="BZ38" s="28">
        <v>75000</v>
      </c>
      <c r="CA38" s="28">
        <v>75000</v>
      </c>
      <c r="CB38" s="28">
        <v>75000</v>
      </c>
      <c r="CC38" s="28">
        <v>75000</v>
      </c>
      <c r="CD38" s="28">
        <v>75000</v>
      </c>
      <c r="CE38" s="28">
        <v>75000</v>
      </c>
      <c r="CF38" s="28">
        <v>75000</v>
      </c>
      <c r="CG38" s="28">
        <v>75000</v>
      </c>
      <c r="CH38" s="28">
        <v>75000</v>
      </c>
      <c r="CI38" s="28">
        <v>75000</v>
      </c>
      <c r="CJ38" s="28">
        <v>75000</v>
      </c>
      <c r="CK38" s="28">
        <v>75000</v>
      </c>
      <c r="CL38" s="28">
        <v>75000</v>
      </c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  <c r="EY38" s="47"/>
      <c r="EZ38" s="47"/>
      <c r="FA38" s="47"/>
      <c r="FB38" s="47"/>
      <c r="FC38" s="47"/>
      <c r="FD38" s="47"/>
      <c r="FE38" s="47"/>
      <c r="FF38" s="47"/>
      <c r="FG38" s="47"/>
      <c r="FH38" s="47"/>
      <c r="FI38" s="47"/>
      <c r="FJ38" s="47"/>
      <c r="FK38" s="47"/>
      <c r="FL38" s="47"/>
      <c r="FM38" s="47"/>
      <c r="FN38" s="47"/>
      <c r="FO38" s="47"/>
      <c r="FP38" s="47"/>
      <c r="FQ38" s="47"/>
      <c r="FR38" s="47"/>
      <c r="FS38" s="47"/>
      <c r="FT38" s="47"/>
      <c r="FU38" s="47"/>
      <c r="FV38" s="47"/>
      <c r="FW38" s="47"/>
      <c r="FX38" s="47"/>
      <c r="FY38" s="47"/>
      <c r="FZ38" s="47"/>
      <c r="GA38" s="47"/>
      <c r="GB38" s="47"/>
      <c r="GC38" s="47"/>
      <c r="GD38" s="47"/>
      <c r="GE38" s="47"/>
      <c r="GF38" s="47"/>
      <c r="GG38" s="47"/>
      <c r="GH38" s="47"/>
      <c r="GI38" s="47"/>
      <c r="GJ38" s="47"/>
      <c r="GK38" s="47"/>
      <c r="GL38" s="47"/>
      <c r="GM38" s="47"/>
      <c r="GN38" s="47"/>
      <c r="GO38" s="47"/>
      <c r="GP38" s="47"/>
      <c r="GQ38" s="47"/>
      <c r="GR38" s="47"/>
      <c r="GS38" s="47"/>
      <c r="GT38" s="47"/>
      <c r="GU38" s="47"/>
      <c r="GV38" s="47"/>
      <c r="GW38" s="47"/>
      <c r="GX38" s="47"/>
      <c r="GY38" s="47"/>
      <c r="GZ38" s="47"/>
      <c r="HA38" s="47"/>
      <c r="HB38" s="47"/>
      <c r="HC38" s="47"/>
      <c r="HD38" s="47"/>
      <c r="HE38" s="47"/>
      <c r="HF38" s="47"/>
      <c r="HG38" s="47"/>
      <c r="HH38" s="47"/>
      <c r="HI38" s="47"/>
      <c r="HJ38" s="47"/>
      <c r="HK38" s="47"/>
      <c r="HL38" s="47"/>
      <c r="HM38" s="47"/>
      <c r="HN38" s="47"/>
      <c r="HO38" s="47"/>
      <c r="HP38" s="47"/>
      <c r="HQ38" s="47"/>
      <c r="HR38" s="47"/>
      <c r="HS38" s="47"/>
      <c r="HT38" s="47"/>
      <c r="HU38" s="47"/>
      <c r="HV38" s="47"/>
      <c r="HW38" s="47"/>
      <c r="HX38" s="47"/>
      <c r="HY38" s="47"/>
      <c r="HZ38" s="47"/>
      <c r="IA38" s="47"/>
      <c r="IB38" s="47"/>
      <c r="IC38" s="47"/>
      <c r="ID38" s="47"/>
      <c r="IE38" s="47"/>
      <c r="IF38" s="47"/>
      <c r="IG38" s="47"/>
      <c r="IH38" s="47"/>
      <c r="II38" s="47"/>
      <c r="IJ38" s="47"/>
      <c r="IK38" s="47"/>
      <c r="IL38" s="47"/>
      <c r="IM38" s="47"/>
      <c r="IN38" s="47"/>
      <c r="IO38" s="47"/>
      <c r="IP38" s="47"/>
      <c r="IQ38" s="47"/>
      <c r="IR38" s="47"/>
      <c r="IS38" s="47"/>
      <c r="IT38" s="47"/>
      <c r="IU38" s="47"/>
      <c r="IV38" s="47"/>
      <c r="IW38" s="47"/>
      <c r="IX38" s="47"/>
      <c r="IY38" s="47"/>
      <c r="IZ38" s="47"/>
      <c r="JA38" s="47"/>
      <c r="JB38" s="47"/>
      <c r="JC38" s="47"/>
      <c r="JD38" s="47"/>
      <c r="JE38" s="47"/>
      <c r="JF38" s="47"/>
      <c r="JG38" s="47"/>
      <c r="JH38" s="47"/>
      <c r="JI38" s="47"/>
      <c r="JJ38" s="47"/>
      <c r="JK38" s="47"/>
      <c r="JL38" s="47"/>
      <c r="JM38" s="47"/>
      <c r="JN38" s="47"/>
      <c r="JO38" s="47"/>
      <c r="JP38" s="47"/>
      <c r="JQ38" s="47"/>
      <c r="JR38" s="47"/>
      <c r="JS38" s="47"/>
      <c r="JT38" s="47"/>
      <c r="JU38" s="47"/>
      <c r="JV38" s="47"/>
      <c r="JW38" s="47"/>
      <c r="JX38" s="47"/>
      <c r="JY38" s="47"/>
      <c r="JZ38" s="47"/>
      <c r="KA38" s="47"/>
      <c r="KB38" s="47"/>
      <c r="KC38" s="47"/>
      <c r="KD38" s="47"/>
      <c r="KE38" s="47"/>
      <c r="KF38" s="47"/>
      <c r="KG38" s="47"/>
      <c r="KH38" s="47"/>
      <c r="KI38" s="47"/>
      <c r="KJ38" s="47"/>
      <c r="KK38" s="47"/>
      <c r="KL38" s="47"/>
      <c r="KM38" s="47"/>
      <c r="KN38" s="47"/>
      <c r="KO38" s="47"/>
      <c r="KP38" s="47"/>
      <c r="KQ38" s="47"/>
      <c r="KR38" s="47"/>
      <c r="KS38" s="47"/>
      <c r="KT38" s="47"/>
      <c r="KU38" s="47"/>
      <c r="KV38" s="47"/>
      <c r="KW38" s="47"/>
      <c r="KX38" s="47"/>
      <c r="KY38" s="47"/>
      <c r="KZ38" s="47"/>
      <c r="LA38" s="47"/>
      <c r="LB38" s="47"/>
      <c r="LC38" s="47"/>
      <c r="LD38" s="47"/>
      <c r="LE38" s="47"/>
      <c r="LF38" s="47"/>
      <c r="LG38" s="47"/>
      <c r="LH38" s="47"/>
      <c r="LI38" s="47"/>
      <c r="LJ38" s="47"/>
      <c r="LK38" s="47"/>
      <c r="LL38" s="47"/>
      <c r="LM38" s="47"/>
      <c r="LN38" s="47"/>
      <c r="LO38" s="47"/>
      <c r="LP38" s="47"/>
      <c r="LQ38" s="47"/>
      <c r="LR38" s="47"/>
      <c r="LS38" s="47"/>
      <c r="LT38" s="47"/>
      <c r="LU38" s="47"/>
      <c r="LV38" s="47"/>
      <c r="LW38" s="47"/>
      <c r="LX38" s="47"/>
      <c r="LY38" s="47"/>
      <c r="LZ38" s="47"/>
      <c r="MA38" s="47"/>
      <c r="MB38" s="47"/>
      <c r="MC38" s="47"/>
      <c r="MD38" s="47"/>
      <c r="ME38" s="47"/>
      <c r="MF38" s="47"/>
      <c r="MG38" s="47"/>
      <c r="MH38" s="47"/>
      <c r="MI38" s="47"/>
      <c r="MJ38" s="47"/>
      <c r="MK38" s="47"/>
      <c r="ML38" s="47"/>
      <c r="MM38" s="47"/>
      <c r="MN38" s="47"/>
      <c r="MO38" s="47"/>
      <c r="MP38" s="47"/>
      <c r="MQ38" s="47"/>
      <c r="MR38" s="47"/>
      <c r="MS38" s="47"/>
      <c r="MT38" s="47"/>
      <c r="MU38" s="47"/>
      <c r="MV38" s="47"/>
      <c r="MW38" s="47"/>
      <c r="MX38" s="47"/>
      <c r="MY38" s="47"/>
      <c r="MZ38" s="47"/>
      <c r="NA38" s="47"/>
      <c r="NB38" s="47"/>
      <c r="NC38" s="47"/>
      <c r="ND38" s="47"/>
      <c r="NE38" s="47"/>
      <c r="NF38" s="47"/>
      <c r="NG38" s="47"/>
      <c r="NH38" s="47"/>
      <c r="NI38" s="47"/>
      <c r="NJ38" s="47"/>
      <c r="NK38" s="47"/>
      <c r="NL38" s="47"/>
      <c r="NM38" s="47"/>
      <c r="NN38" s="47"/>
      <c r="NO38" s="47"/>
      <c r="NP38" s="47"/>
      <c r="NQ38" s="47"/>
      <c r="NR38" s="47"/>
      <c r="NS38" s="47"/>
      <c r="NT38" s="47"/>
      <c r="NU38" s="47"/>
      <c r="NV38" s="47"/>
      <c r="NW38" s="47"/>
      <c r="NX38" s="47"/>
      <c r="NY38" s="47"/>
      <c r="NZ38" s="47"/>
      <c r="OA38" s="47"/>
      <c r="OB38" s="47"/>
      <c r="OC38" s="47"/>
      <c r="OD38" s="47"/>
      <c r="OE38" s="47"/>
      <c r="OF38" s="47"/>
      <c r="OG38" s="47"/>
      <c r="OH38" s="47"/>
      <c r="OI38" s="47"/>
      <c r="OJ38" s="47"/>
      <c r="OK38" s="47"/>
      <c r="OL38" s="47"/>
      <c r="OM38" s="47"/>
      <c r="ON38" s="47"/>
      <c r="OO38" s="47"/>
      <c r="OP38" s="47"/>
      <c r="OQ38" s="47"/>
      <c r="OR38" s="47"/>
      <c r="OS38" s="47"/>
      <c r="OT38" s="47"/>
      <c r="OU38" s="47"/>
      <c r="OV38" s="47"/>
      <c r="OW38" s="47"/>
      <c r="OX38" s="47"/>
      <c r="OY38" s="47"/>
      <c r="OZ38" s="47"/>
      <c r="PA38" s="47"/>
      <c r="PB38" s="47"/>
      <c r="PC38" s="47"/>
      <c r="PD38" s="47"/>
      <c r="PE38" s="47"/>
      <c r="PF38" s="47"/>
      <c r="PG38" s="47"/>
      <c r="PH38" s="47"/>
      <c r="PI38" s="47"/>
      <c r="PJ38" s="47"/>
      <c r="PK38" s="47"/>
      <c r="PL38" s="47"/>
      <c r="PM38" s="47"/>
      <c r="PN38" s="47"/>
      <c r="PO38" s="47"/>
      <c r="PP38" s="47"/>
      <c r="PQ38" s="47"/>
      <c r="PR38" s="47"/>
      <c r="PS38" s="47"/>
      <c r="PT38" s="47"/>
      <c r="PU38" s="47"/>
      <c r="PV38" s="47"/>
      <c r="PW38" s="47"/>
      <c r="PX38" s="47"/>
      <c r="PY38" s="47"/>
      <c r="PZ38" s="47"/>
      <c r="QA38" s="47"/>
      <c r="QB38" s="47"/>
      <c r="QC38" s="47"/>
      <c r="QD38" s="47"/>
      <c r="QE38" s="47"/>
      <c r="QF38" s="47"/>
      <c r="QG38" s="47"/>
      <c r="QH38" s="47"/>
      <c r="QI38" s="47"/>
      <c r="QJ38" s="47"/>
      <c r="QK38" s="47"/>
      <c r="QL38" s="47"/>
      <c r="QM38" s="47"/>
      <c r="QN38" s="47"/>
      <c r="QO38" s="47"/>
      <c r="QP38" s="47"/>
      <c r="QQ38" s="47"/>
      <c r="QR38" s="47"/>
      <c r="QS38" s="47"/>
      <c r="QT38" s="47"/>
      <c r="QU38" s="47"/>
      <c r="QV38" s="47"/>
      <c r="QW38" s="47"/>
      <c r="QX38" s="47"/>
      <c r="QY38" s="47"/>
      <c r="QZ38" s="47"/>
      <c r="RA38" s="47"/>
      <c r="RB38" s="47"/>
      <c r="RC38" s="47"/>
      <c r="RD38" s="47"/>
      <c r="RE38" s="47"/>
      <c r="RF38" s="47"/>
      <c r="RG38" s="47"/>
      <c r="RH38" s="47"/>
      <c r="RI38" s="47"/>
      <c r="RJ38" s="47"/>
      <c r="RK38" s="47"/>
      <c r="RL38" s="47"/>
      <c r="RM38" s="47"/>
      <c r="RN38" s="47"/>
      <c r="RO38" s="47"/>
      <c r="RP38" s="47"/>
      <c r="RQ38" s="47"/>
      <c r="RR38" s="47"/>
      <c r="RS38" s="47"/>
      <c r="RT38" s="47"/>
      <c r="RU38" s="47"/>
      <c r="RV38" s="47"/>
      <c r="RW38" s="47"/>
      <c r="RX38" s="47"/>
      <c r="RY38" s="47"/>
      <c r="RZ38" s="47"/>
      <c r="SA38" s="47"/>
      <c r="SB38" s="47"/>
      <c r="SC38" s="47"/>
      <c r="SD38" s="47"/>
      <c r="SE38" s="47"/>
      <c r="SF38" s="47"/>
      <c r="SG38" s="47"/>
      <c r="SH38" s="47"/>
      <c r="SI38" s="47"/>
      <c r="SJ38" s="47"/>
      <c r="SK38" s="47"/>
      <c r="SL38" s="47"/>
      <c r="SM38" s="47"/>
      <c r="SN38" s="47"/>
      <c r="SO38" s="47"/>
      <c r="SP38" s="47"/>
      <c r="SQ38" s="47"/>
      <c r="SR38" s="47"/>
      <c r="SS38" s="47"/>
      <c r="ST38" s="47"/>
      <c r="SU38" s="47"/>
      <c r="SV38" s="47"/>
      <c r="SW38" s="47"/>
      <c r="SX38" s="47"/>
      <c r="SY38" s="47"/>
      <c r="SZ38" s="47"/>
      <c r="TA38" s="47"/>
      <c r="TB38" s="47"/>
      <c r="TC38" s="47"/>
      <c r="TD38" s="47"/>
      <c r="TE38" s="47"/>
      <c r="TF38" s="47"/>
      <c r="TG38" s="47"/>
      <c r="TH38" s="47"/>
      <c r="TI38" s="47"/>
      <c r="TJ38" s="47"/>
      <c r="TK38" s="47"/>
      <c r="TL38" s="47"/>
      <c r="TM38" s="47"/>
      <c r="TN38" s="47"/>
      <c r="TO38" s="47"/>
      <c r="TP38" s="47"/>
      <c r="TQ38" s="47"/>
      <c r="TR38" s="47"/>
      <c r="TS38" s="47"/>
      <c r="TT38" s="47"/>
      <c r="TU38" s="47"/>
      <c r="TV38" s="47"/>
      <c r="TW38" s="47"/>
      <c r="TX38" s="47"/>
      <c r="TY38" s="47"/>
      <c r="TZ38" s="47"/>
      <c r="UA38" s="47"/>
      <c r="UB38" s="47"/>
      <c r="UC38" s="47"/>
      <c r="UD38" s="47"/>
      <c r="UE38" s="47"/>
      <c r="UF38" s="47"/>
      <c r="UG38" s="47"/>
      <c r="UH38" s="47"/>
      <c r="UI38" s="47"/>
      <c r="UJ38" s="47"/>
      <c r="UK38" s="47"/>
      <c r="UL38" s="47"/>
      <c r="UM38" s="47"/>
      <c r="UN38" s="47"/>
      <c r="UO38" s="47"/>
      <c r="UP38" s="47"/>
      <c r="UQ38" s="47"/>
      <c r="UR38" s="47"/>
      <c r="US38" s="47"/>
      <c r="UT38" s="47"/>
      <c r="UU38" s="47"/>
      <c r="UV38" s="47"/>
      <c r="UW38" s="47"/>
      <c r="UX38" s="47"/>
      <c r="UY38" s="47"/>
      <c r="UZ38" s="47"/>
      <c r="VA38" s="47"/>
      <c r="VB38" s="47"/>
      <c r="VC38" s="47"/>
      <c r="VD38" s="47"/>
      <c r="VE38" s="47"/>
      <c r="VF38" s="47"/>
      <c r="VG38" s="47"/>
      <c r="VH38" s="47"/>
      <c r="VI38" s="47"/>
      <c r="VJ38" s="47"/>
      <c r="VK38" s="47"/>
      <c r="VL38" s="47"/>
      <c r="VM38" s="47"/>
      <c r="VN38" s="47"/>
      <c r="VO38" s="47"/>
      <c r="VP38" s="47"/>
      <c r="VQ38" s="47"/>
      <c r="VR38" s="47"/>
      <c r="VS38" s="47"/>
      <c r="VT38" s="47"/>
      <c r="VU38" s="47"/>
      <c r="VV38" s="47"/>
      <c r="VW38" s="47"/>
      <c r="VX38" s="47"/>
      <c r="VY38" s="47"/>
      <c r="VZ38" s="47"/>
      <c r="WA38" s="47"/>
      <c r="WB38" s="47"/>
      <c r="WC38" s="47"/>
      <c r="WD38" s="47"/>
      <c r="WE38" s="47"/>
      <c r="WF38" s="47"/>
      <c r="WG38" s="47"/>
      <c r="WH38" s="47"/>
      <c r="WI38" s="47"/>
      <c r="WJ38" s="47"/>
      <c r="WK38" s="47"/>
      <c r="WL38" s="47"/>
      <c r="WM38" s="47"/>
      <c r="WN38" s="47"/>
      <c r="WO38" s="47"/>
      <c r="WP38" s="47"/>
      <c r="WQ38" s="47"/>
      <c r="WR38" s="47"/>
      <c r="WS38" s="47"/>
      <c r="WT38" s="47"/>
      <c r="WU38" s="47"/>
      <c r="WV38" s="47"/>
      <c r="WW38" s="47"/>
      <c r="WX38" s="47"/>
      <c r="WY38" s="47"/>
      <c r="WZ38" s="47"/>
      <c r="XA38" s="47"/>
      <c r="XB38" s="47"/>
      <c r="XC38" s="47"/>
      <c r="XD38" s="47"/>
      <c r="XE38" s="47"/>
      <c r="XF38" s="47"/>
      <c r="XG38" s="47"/>
      <c r="XH38" s="47"/>
      <c r="XI38" s="47"/>
      <c r="XJ38" s="47"/>
      <c r="XK38" s="47"/>
      <c r="XL38" s="47"/>
      <c r="XM38" s="47"/>
      <c r="XN38" s="47"/>
      <c r="XO38" s="47"/>
      <c r="XP38" s="47"/>
      <c r="XQ38" s="47"/>
      <c r="XR38" s="47"/>
      <c r="XS38" s="47"/>
      <c r="XT38" s="47"/>
      <c r="XU38" s="47"/>
      <c r="XV38" s="47"/>
      <c r="XW38" s="47"/>
      <c r="XX38" s="47"/>
      <c r="XY38" s="47"/>
      <c r="XZ38" s="47"/>
      <c r="YA38" s="47"/>
      <c r="YB38" s="47"/>
      <c r="YC38" s="47"/>
      <c r="YD38" s="47"/>
      <c r="YE38" s="47"/>
      <c r="YF38" s="47"/>
      <c r="YG38" s="47"/>
      <c r="YH38" s="47"/>
      <c r="YI38" s="47"/>
      <c r="YJ38" s="47"/>
      <c r="YK38" s="47"/>
      <c r="YL38" s="47"/>
      <c r="YM38" s="47"/>
      <c r="YN38" s="47"/>
      <c r="YO38" s="47"/>
      <c r="YP38" s="47"/>
      <c r="YQ38" s="47"/>
      <c r="YR38" s="47"/>
      <c r="YS38" s="47"/>
      <c r="YT38" s="47"/>
      <c r="YU38" s="47"/>
      <c r="YV38" s="47"/>
      <c r="YW38" s="47"/>
      <c r="YX38" s="47"/>
      <c r="YY38" s="47"/>
      <c r="YZ38" s="47"/>
      <c r="ZA38" s="47"/>
      <c r="ZB38" s="47"/>
      <c r="ZC38" s="47"/>
      <c r="ZD38" s="47"/>
      <c r="ZE38" s="47"/>
      <c r="ZF38" s="47"/>
      <c r="ZG38" s="47"/>
      <c r="ZH38" s="47"/>
      <c r="ZI38" s="47"/>
      <c r="ZJ38" s="47"/>
      <c r="ZK38" s="47"/>
      <c r="ZL38" s="47"/>
      <c r="ZM38" s="47"/>
      <c r="ZN38" s="47"/>
      <c r="ZO38" s="47"/>
      <c r="ZP38" s="47"/>
      <c r="ZQ38" s="47"/>
      <c r="ZR38" s="47"/>
      <c r="ZS38" s="47"/>
      <c r="ZT38" s="47"/>
      <c r="ZU38" s="47"/>
      <c r="ZV38" s="47"/>
      <c r="ZW38" s="47"/>
      <c r="ZX38" s="47"/>
      <c r="ZY38" s="47"/>
      <c r="ZZ38" s="47"/>
      <c r="AAA38" s="47"/>
      <c r="AAB38" s="47"/>
      <c r="AAC38" s="47"/>
      <c r="AAD38" s="47"/>
      <c r="AAE38" s="47"/>
      <c r="AAF38" s="47"/>
      <c r="AAG38" s="47"/>
      <c r="AAH38" s="47"/>
      <c r="AAI38" s="47"/>
      <c r="AAJ38" s="47"/>
      <c r="AAK38" s="47"/>
      <c r="AAL38" s="47"/>
      <c r="AAM38" s="47"/>
      <c r="AAN38" s="47"/>
      <c r="AAO38" s="47"/>
      <c r="AAP38" s="47"/>
      <c r="AAQ38" s="47"/>
      <c r="AAR38" s="47"/>
      <c r="AAS38" s="47"/>
      <c r="AAT38" s="47"/>
      <c r="AAU38" s="47"/>
      <c r="AAV38" s="47"/>
      <c r="AAW38" s="47"/>
      <c r="AAX38" s="47"/>
      <c r="AAY38" s="47"/>
      <c r="AAZ38" s="47"/>
      <c r="ABA38" s="47"/>
      <c r="ABB38" s="47"/>
      <c r="ABC38" s="47"/>
      <c r="ABD38" s="47"/>
      <c r="ABE38" s="47"/>
      <c r="ABF38" s="47"/>
      <c r="ABG38" s="47"/>
      <c r="ABH38" s="47"/>
      <c r="ABI38" s="47"/>
      <c r="ABJ38" s="47"/>
      <c r="ABK38" s="47"/>
      <c r="ABL38" s="47"/>
      <c r="ABM38" s="47"/>
      <c r="ABN38" s="47"/>
      <c r="ABO38" s="47"/>
      <c r="ABP38" s="47"/>
      <c r="ABQ38" s="47"/>
      <c r="ABR38" s="47"/>
      <c r="ABS38" s="47"/>
      <c r="ABT38" s="47"/>
      <c r="ABU38" s="47"/>
      <c r="ABV38" s="47"/>
      <c r="ABW38" s="47"/>
      <c r="ABX38" s="47"/>
      <c r="ABY38" s="47"/>
      <c r="ABZ38" s="47"/>
      <c r="ACA38" s="47"/>
      <c r="ACB38" s="47"/>
      <c r="ACC38" s="47"/>
      <c r="ACD38" s="47"/>
      <c r="ACE38" s="47"/>
      <c r="ACF38" s="47"/>
      <c r="ACG38" s="47"/>
      <c r="ACH38" s="47"/>
      <c r="ACI38" s="47"/>
      <c r="ACJ38" s="47"/>
      <c r="ACK38" s="47"/>
      <c r="ACL38" s="47"/>
      <c r="ACM38" s="47"/>
      <c r="ACN38" s="47"/>
      <c r="ACO38" s="47"/>
      <c r="ACP38" s="47"/>
      <c r="ACQ38" s="47"/>
      <c r="ACR38" s="47"/>
      <c r="ACS38" s="47"/>
      <c r="ACT38" s="47"/>
      <c r="ACU38" s="47"/>
      <c r="ACV38" s="47"/>
      <c r="ACW38" s="47"/>
      <c r="ACX38" s="47"/>
      <c r="ACY38" s="47"/>
      <c r="ACZ38" s="47"/>
      <c r="ADA38" s="47"/>
      <c r="ADB38" s="47"/>
      <c r="ADC38" s="47"/>
      <c r="ADD38" s="47"/>
      <c r="ADE38" s="47"/>
      <c r="ADF38" s="47"/>
      <c r="ADG38" s="47"/>
      <c r="ADH38" s="47"/>
      <c r="ADI38" s="47"/>
      <c r="ADJ38" s="47"/>
      <c r="ADK38" s="47"/>
      <c r="ADL38" s="47"/>
      <c r="ADM38" s="47"/>
      <c r="ADN38" s="47"/>
      <c r="ADO38" s="47"/>
      <c r="ADP38" s="47"/>
      <c r="ADQ38" s="47"/>
      <c r="ADR38" s="47"/>
      <c r="ADS38" s="47"/>
      <c r="ADT38" s="47"/>
      <c r="ADU38" s="47"/>
      <c r="ADV38" s="47"/>
      <c r="ADW38" s="47"/>
      <c r="ADX38" s="47"/>
      <c r="ADY38" s="47"/>
      <c r="ADZ38" s="47"/>
      <c r="AEA38" s="47"/>
      <c r="AEB38" s="47"/>
      <c r="AEC38" s="47"/>
      <c r="AED38" s="47"/>
      <c r="AEE38" s="47"/>
      <c r="AEF38" s="47"/>
      <c r="AEG38" s="47"/>
      <c r="AEH38" s="47"/>
      <c r="AEI38" s="47"/>
      <c r="AEJ38" s="47"/>
      <c r="AEK38" s="47"/>
      <c r="AEL38" s="47"/>
      <c r="AEM38" s="47"/>
      <c r="AEN38" s="47"/>
      <c r="AEO38" s="47"/>
      <c r="AEP38" s="47"/>
      <c r="AEQ38" s="47"/>
      <c r="AER38" s="47"/>
      <c r="AES38" s="47"/>
      <c r="AET38" s="47"/>
      <c r="AEU38" s="47"/>
      <c r="AEV38" s="47"/>
      <c r="AEW38" s="47"/>
      <c r="AEX38" s="47"/>
      <c r="AEY38" s="47"/>
      <c r="AEZ38" s="47"/>
      <c r="AFA38" s="47"/>
      <c r="AFB38" s="47"/>
      <c r="AFC38" s="47"/>
      <c r="AFD38" s="47"/>
      <c r="AFE38" s="47"/>
      <c r="AFF38" s="47"/>
      <c r="AFG38" s="47"/>
      <c r="AFH38" s="47"/>
      <c r="AFI38" s="47"/>
      <c r="AFJ38" s="47"/>
      <c r="AFK38" s="47"/>
      <c r="AFL38" s="47"/>
      <c r="AFM38" s="47"/>
      <c r="AFN38" s="47"/>
      <c r="AFO38" s="47"/>
      <c r="AFP38" s="47"/>
      <c r="AFQ38" s="47"/>
      <c r="AFR38" s="47"/>
      <c r="AFS38" s="47"/>
      <c r="AFT38" s="47"/>
      <c r="AFU38" s="47"/>
      <c r="AFV38" s="47"/>
      <c r="AFW38" s="47"/>
      <c r="AFX38" s="47"/>
      <c r="AFY38" s="47"/>
      <c r="AFZ38" s="47"/>
      <c r="AGA38" s="47"/>
      <c r="AGB38" s="47"/>
      <c r="AGC38" s="47"/>
      <c r="AGD38" s="47"/>
      <c r="AGE38" s="47"/>
      <c r="AGF38" s="47"/>
      <c r="AGG38" s="47"/>
      <c r="AGH38" s="47"/>
      <c r="AGI38" s="47"/>
      <c r="AGJ38" s="47"/>
      <c r="AGK38" s="47"/>
      <c r="AGL38" s="47"/>
      <c r="AGM38" s="47"/>
      <c r="AGN38" s="47"/>
      <c r="AGO38" s="47"/>
      <c r="AGP38" s="47"/>
      <c r="AGQ38" s="47"/>
      <c r="AGR38" s="47"/>
      <c r="AGS38" s="47"/>
    </row>
    <row r="39" spans="1:877" ht="13">
      <c r="A39" s="12"/>
      <c r="B39" s="44">
        <v>25</v>
      </c>
      <c r="C39" s="51" t="s">
        <v>25</v>
      </c>
      <c r="D39" s="52"/>
      <c r="E39" s="52"/>
      <c r="F39" s="27"/>
      <c r="G39" s="27">
        <f t="shared" ref="G39:CL39" si="13">G38*$B$15</f>
        <v>0</v>
      </c>
      <c r="H39" s="27">
        <f t="shared" si="13"/>
        <v>0</v>
      </c>
      <c r="I39" s="27">
        <f t="shared" si="13"/>
        <v>0</v>
      </c>
      <c r="J39" s="27">
        <f t="shared" si="13"/>
        <v>0</v>
      </c>
      <c r="K39" s="27">
        <f t="shared" si="13"/>
        <v>0</v>
      </c>
      <c r="L39" s="27">
        <f t="shared" si="13"/>
        <v>0</v>
      </c>
      <c r="M39" s="27">
        <f t="shared" si="13"/>
        <v>0</v>
      </c>
      <c r="N39" s="27">
        <f t="shared" si="13"/>
        <v>0</v>
      </c>
      <c r="O39" s="27">
        <f t="shared" si="13"/>
        <v>0</v>
      </c>
      <c r="P39" s="27">
        <f t="shared" si="13"/>
        <v>0</v>
      </c>
      <c r="Q39" s="27">
        <f t="shared" si="13"/>
        <v>0</v>
      </c>
      <c r="R39" s="27">
        <f t="shared" si="13"/>
        <v>0</v>
      </c>
      <c r="S39" s="27">
        <f t="shared" si="13"/>
        <v>0</v>
      </c>
      <c r="T39" s="27">
        <f t="shared" si="13"/>
        <v>0</v>
      </c>
      <c r="U39" s="27">
        <f t="shared" si="13"/>
        <v>0</v>
      </c>
      <c r="V39" s="27">
        <f t="shared" si="13"/>
        <v>0</v>
      </c>
      <c r="W39" s="27">
        <f t="shared" si="13"/>
        <v>0</v>
      </c>
      <c r="X39" s="27">
        <f t="shared" si="13"/>
        <v>0</v>
      </c>
      <c r="Y39" s="27">
        <f t="shared" si="13"/>
        <v>0</v>
      </c>
      <c r="Z39" s="27">
        <f t="shared" si="13"/>
        <v>0</v>
      </c>
      <c r="AA39" s="27">
        <f t="shared" si="13"/>
        <v>0</v>
      </c>
      <c r="AB39" s="27">
        <f t="shared" si="13"/>
        <v>0</v>
      </c>
      <c r="AC39" s="27">
        <f t="shared" si="13"/>
        <v>0</v>
      </c>
      <c r="AD39" s="27">
        <f t="shared" si="13"/>
        <v>0</v>
      </c>
      <c r="AE39" s="27">
        <f t="shared" si="13"/>
        <v>0</v>
      </c>
      <c r="AF39" s="27">
        <f t="shared" si="13"/>
        <v>0</v>
      </c>
      <c r="AG39" s="27">
        <f t="shared" si="13"/>
        <v>0</v>
      </c>
      <c r="AH39" s="27">
        <f t="shared" si="13"/>
        <v>0</v>
      </c>
      <c r="AI39" s="27">
        <f t="shared" si="13"/>
        <v>0</v>
      </c>
      <c r="AJ39" s="27">
        <f t="shared" si="13"/>
        <v>0</v>
      </c>
      <c r="AK39" s="27">
        <f t="shared" si="13"/>
        <v>0</v>
      </c>
      <c r="AL39" s="27">
        <f t="shared" si="13"/>
        <v>0</v>
      </c>
      <c r="AM39" s="27">
        <f t="shared" si="13"/>
        <v>0</v>
      </c>
      <c r="AN39" s="27">
        <f t="shared" si="13"/>
        <v>0</v>
      </c>
      <c r="AO39" s="27">
        <f t="shared" si="13"/>
        <v>0</v>
      </c>
      <c r="AP39" s="27">
        <f t="shared" si="13"/>
        <v>0</v>
      </c>
      <c r="AQ39" s="27">
        <f t="shared" si="13"/>
        <v>937500</v>
      </c>
      <c r="AR39" s="27">
        <f t="shared" si="13"/>
        <v>937500</v>
      </c>
      <c r="AS39" s="27">
        <f t="shared" si="13"/>
        <v>937500</v>
      </c>
      <c r="AT39" s="27">
        <f t="shared" si="13"/>
        <v>937500</v>
      </c>
      <c r="AU39" s="27">
        <f t="shared" si="13"/>
        <v>937500</v>
      </c>
      <c r="AV39" s="27">
        <f t="shared" si="13"/>
        <v>937500</v>
      </c>
      <c r="AW39" s="27">
        <f t="shared" si="13"/>
        <v>937500</v>
      </c>
      <c r="AX39" s="27">
        <f t="shared" si="13"/>
        <v>937500</v>
      </c>
      <c r="AY39" s="27">
        <f t="shared" si="13"/>
        <v>937500</v>
      </c>
      <c r="AZ39" s="27">
        <f t="shared" si="13"/>
        <v>937500</v>
      </c>
      <c r="BA39" s="27">
        <f t="shared" si="13"/>
        <v>937500</v>
      </c>
      <c r="BB39" s="27">
        <f t="shared" si="13"/>
        <v>937500</v>
      </c>
      <c r="BC39" s="27">
        <f t="shared" si="13"/>
        <v>1875000</v>
      </c>
      <c r="BD39" s="27">
        <f t="shared" si="13"/>
        <v>1875000</v>
      </c>
      <c r="BE39" s="27">
        <f t="shared" si="13"/>
        <v>1875000</v>
      </c>
      <c r="BF39" s="27">
        <f t="shared" si="13"/>
        <v>1875000</v>
      </c>
      <c r="BG39" s="27">
        <f t="shared" si="13"/>
        <v>1875000</v>
      </c>
      <c r="BH39" s="27">
        <f t="shared" si="13"/>
        <v>1875000</v>
      </c>
      <c r="BI39" s="27">
        <f t="shared" si="13"/>
        <v>1875000</v>
      </c>
      <c r="BJ39" s="27">
        <f t="shared" si="13"/>
        <v>1875000</v>
      </c>
      <c r="BK39" s="27">
        <f t="shared" si="13"/>
        <v>1875000</v>
      </c>
      <c r="BL39" s="27">
        <f t="shared" si="13"/>
        <v>1875000</v>
      </c>
      <c r="BM39" s="27">
        <f t="shared" si="13"/>
        <v>1875000</v>
      </c>
      <c r="BN39" s="27">
        <f t="shared" si="13"/>
        <v>1875000</v>
      </c>
      <c r="BO39" s="27">
        <f t="shared" si="13"/>
        <v>1875000</v>
      </c>
      <c r="BP39" s="27">
        <f t="shared" si="13"/>
        <v>1875000</v>
      </c>
      <c r="BQ39" s="27">
        <f t="shared" si="13"/>
        <v>1875000</v>
      </c>
      <c r="BR39" s="27">
        <f t="shared" si="13"/>
        <v>1875000</v>
      </c>
      <c r="BS39" s="27">
        <f t="shared" si="13"/>
        <v>1875000</v>
      </c>
      <c r="BT39" s="27">
        <f t="shared" si="13"/>
        <v>1875000</v>
      </c>
      <c r="BU39" s="27">
        <f t="shared" si="13"/>
        <v>1875000</v>
      </c>
      <c r="BV39" s="27">
        <f t="shared" si="13"/>
        <v>1875000</v>
      </c>
      <c r="BW39" s="27">
        <f t="shared" si="13"/>
        <v>1875000</v>
      </c>
      <c r="BX39" s="27">
        <f t="shared" si="13"/>
        <v>1875000</v>
      </c>
      <c r="BY39" s="27">
        <f t="shared" si="13"/>
        <v>1875000</v>
      </c>
      <c r="BZ39" s="27">
        <f t="shared" si="13"/>
        <v>1875000</v>
      </c>
      <c r="CA39" s="27">
        <f t="shared" si="13"/>
        <v>1875000</v>
      </c>
      <c r="CB39" s="27">
        <f t="shared" si="13"/>
        <v>1875000</v>
      </c>
      <c r="CC39" s="27">
        <f t="shared" si="13"/>
        <v>1875000</v>
      </c>
      <c r="CD39" s="27">
        <f t="shared" si="13"/>
        <v>1875000</v>
      </c>
      <c r="CE39" s="27">
        <f t="shared" si="13"/>
        <v>1875000</v>
      </c>
      <c r="CF39" s="27">
        <f t="shared" si="13"/>
        <v>1875000</v>
      </c>
      <c r="CG39" s="27">
        <f t="shared" si="13"/>
        <v>1875000</v>
      </c>
      <c r="CH39" s="27">
        <f t="shared" si="13"/>
        <v>1875000</v>
      </c>
      <c r="CI39" s="27">
        <f t="shared" si="13"/>
        <v>1875000</v>
      </c>
      <c r="CJ39" s="27">
        <f t="shared" si="13"/>
        <v>1875000</v>
      </c>
      <c r="CK39" s="27">
        <f t="shared" si="13"/>
        <v>1875000</v>
      </c>
      <c r="CL39" s="27">
        <f t="shared" si="13"/>
        <v>1875000</v>
      </c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</row>
    <row r="40" spans="1:877" ht="13">
      <c r="A40" s="12"/>
      <c r="B40" s="53"/>
      <c r="C40" s="49" t="s">
        <v>26</v>
      </c>
      <c r="D40" s="52"/>
      <c r="E40" s="52"/>
      <c r="F40" s="27"/>
      <c r="G40" s="27">
        <f t="shared" ref="G40:CL40" si="14">G38*$B$13</f>
        <v>0</v>
      </c>
      <c r="H40" s="27">
        <f t="shared" si="14"/>
        <v>0</v>
      </c>
      <c r="I40" s="27">
        <f t="shared" si="14"/>
        <v>0</v>
      </c>
      <c r="J40" s="27">
        <f t="shared" si="14"/>
        <v>0</v>
      </c>
      <c r="K40" s="27">
        <f t="shared" si="14"/>
        <v>0</v>
      </c>
      <c r="L40" s="27">
        <f t="shared" si="14"/>
        <v>0</v>
      </c>
      <c r="M40" s="27">
        <f t="shared" si="14"/>
        <v>0</v>
      </c>
      <c r="N40" s="27">
        <f t="shared" si="14"/>
        <v>0</v>
      </c>
      <c r="O40" s="27">
        <f t="shared" si="14"/>
        <v>0</v>
      </c>
      <c r="P40" s="27">
        <f t="shared" si="14"/>
        <v>0</v>
      </c>
      <c r="Q40" s="27">
        <f t="shared" si="14"/>
        <v>0</v>
      </c>
      <c r="R40" s="27">
        <f t="shared" si="14"/>
        <v>0</v>
      </c>
      <c r="S40" s="27">
        <f t="shared" si="14"/>
        <v>0</v>
      </c>
      <c r="T40" s="27">
        <f t="shared" si="14"/>
        <v>0</v>
      </c>
      <c r="U40" s="27">
        <f t="shared" si="14"/>
        <v>0</v>
      </c>
      <c r="V40" s="27">
        <f t="shared" si="14"/>
        <v>0</v>
      </c>
      <c r="W40" s="27">
        <f t="shared" si="14"/>
        <v>0</v>
      </c>
      <c r="X40" s="27">
        <f t="shared" si="14"/>
        <v>0</v>
      </c>
      <c r="Y40" s="27">
        <f t="shared" si="14"/>
        <v>0</v>
      </c>
      <c r="Z40" s="27">
        <f t="shared" si="14"/>
        <v>0</v>
      </c>
      <c r="AA40" s="27">
        <f t="shared" si="14"/>
        <v>0</v>
      </c>
      <c r="AB40" s="27">
        <f t="shared" si="14"/>
        <v>0</v>
      </c>
      <c r="AC40" s="27">
        <f t="shared" si="14"/>
        <v>0</v>
      </c>
      <c r="AD40" s="27">
        <f t="shared" si="14"/>
        <v>0</v>
      </c>
      <c r="AE40" s="27">
        <f t="shared" si="14"/>
        <v>0</v>
      </c>
      <c r="AF40" s="27">
        <f t="shared" si="14"/>
        <v>0</v>
      </c>
      <c r="AG40" s="27">
        <f t="shared" si="14"/>
        <v>0</v>
      </c>
      <c r="AH40" s="27">
        <f t="shared" si="14"/>
        <v>0</v>
      </c>
      <c r="AI40" s="27">
        <f t="shared" si="14"/>
        <v>0</v>
      </c>
      <c r="AJ40" s="27">
        <f t="shared" si="14"/>
        <v>0</v>
      </c>
      <c r="AK40" s="27">
        <f t="shared" si="14"/>
        <v>0</v>
      </c>
      <c r="AL40" s="27">
        <f t="shared" si="14"/>
        <v>0</v>
      </c>
      <c r="AM40" s="27">
        <f t="shared" si="14"/>
        <v>0</v>
      </c>
      <c r="AN40" s="27">
        <f t="shared" si="14"/>
        <v>0</v>
      </c>
      <c r="AO40" s="27">
        <f t="shared" si="14"/>
        <v>0</v>
      </c>
      <c r="AP40" s="27">
        <f t="shared" si="14"/>
        <v>0</v>
      </c>
      <c r="AQ40" s="27">
        <f t="shared" si="14"/>
        <v>98245.065789473694</v>
      </c>
      <c r="AR40" s="27">
        <f t="shared" si="14"/>
        <v>98245.065789473694</v>
      </c>
      <c r="AS40" s="27">
        <f t="shared" si="14"/>
        <v>98245.065789473694</v>
      </c>
      <c r="AT40" s="27">
        <f t="shared" si="14"/>
        <v>98245.065789473694</v>
      </c>
      <c r="AU40" s="27">
        <f t="shared" si="14"/>
        <v>98245.065789473694</v>
      </c>
      <c r="AV40" s="27">
        <f t="shared" si="14"/>
        <v>98245.065789473694</v>
      </c>
      <c r="AW40" s="27">
        <f t="shared" si="14"/>
        <v>98245.065789473694</v>
      </c>
      <c r="AX40" s="27">
        <f t="shared" si="14"/>
        <v>98245.065789473694</v>
      </c>
      <c r="AY40" s="27">
        <f t="shared" si="14"/>
        <v>98245.065789473694</v>
      </c>
      <c r="AZ40" s="27">
        <f t="shared" si="14"/>
        <v>98245.065789473694</v>
      </c>
      <c r="BA40" s="27">
        <f t="shared" si="14"/>
        <v>98245.065789473694</v>
      </c>
      <c r="BB40" s="27">
        <f t="shared" si="14"/>
        <v>98245.065789473694</v>
      </c>
      <c r="BC40" s="27">
        <f t="shared" si="14"/>
        <v>196490.13157894739</v>
      </c>
      <c r="BD40" s="27">
        <f t="shared" si="14"/>
        <v>196490.13157894739</v>
      </c>
      <c r="BE40" s="27">
        <f t="shared" si="14"/>
        <v>196490.13157894739</v>
      </c>
      <c r="BF40" s="27">
        <f t="shared" si="14"/>
        <v>196490.13157894739</v>
      </c>
      <c r="BG40" s="27">
        <f t="shared" si="14"/>
        <v>196490.13157894739</v>
      </c>
      <c r="BH40" s="27">
        <f t="shared" si="14"/>
        <v>196490.13157894739</v>
      </c>
      <c r="BI40" s="27">
        <f t="shared" si="14"/>
        <v>196490.13157894739</v>
      </c>
      <c r="BJ40" s="27">
        <f t="shared" si="14"/>
        <v>196490.13157894739</v>
      </c>
      <c r="BK40" s="27">
        <f t="shared" si="14"/>
        <v>196490.13157894739</v>
      </c>
      <c r="BL40" s="27">
        <f t="shared" si="14"/>
        <v>196490.13157894739</v>
      </c>
      <c r="BM40" s="27">
        <f t="shared" si="14"/>
        <v>196490.13157894739</v>
      </c>
      <c r="BN40" s="27">
        <f t="shared" si="14"/>
        <v>196490.13157894739</v>
      </c>
      <c r="BO40" s="27">
        <f t="shared" si="14"/>
        <v>196490.13157894739</v>
      </c>
      <c r="BP40" s="27">
        <f t="shared" si="14"/>
        <v>196490.13157894739</v>
      </c>
      <c r="BQ40" s="27">
        <f t="shared" si="14"/>
        <v>196490.13157894739</v>
      </c>
      <c r="BR40" s="27">
        <f t="shared" si="14"/>
        <v>196490.13157894739</v>
      </c>
      <c r="BS40" s="27">
        <f t="shared" si="14"/>
        <v>196490.13157894739</v>
      </c>
      <c r="BT40" s="27">
        <f t="shared" si="14"/>
        <v>196490.13157894739</v>
      </c>
      <c r="BU40" s="27">
        <f t="shared" si="14"/>
        <v>196490.13157894739</v>
      </c>
      <c r="BV40" s="27">
        <f t="shared" si="14"/>
        <v>196490.13157894739</v>
      </c>
      <c r="BW40" s="27">
        <f t="shared" si="14"/>
        <v>196490.13157894739</v>
      </c>
      <c r="BX40" s="27">
        <f t="shared" si="14"/>
        <v>196490.13157894739</v>
      </c>
      <c r="BY40" s="27">
        <f t="shared" si="14"/>
        <v>196490.13157894739</v>
      </c>
      <c r="BZ40" s="27">
        <f t="shared" si="14"/>
        <v>196490.13157894739</v>
      </c>
      <c r="CA40" s="27">
        <f t="shared" si="14"/>
        <v>196490.13157894739</v>
      </c>
      <c r="CB40" s="27">
        <f t="shared" si="14"/>
        <v>196490.13157894739</v>
      </c>
      <c r="CC40" s="27">
        <f t="shared" si="14"/>
        <v>196490.13157894739</v>
      </c>
      <c r="CD40" s="27">
        <f t="shared" si="14"/>
        <v>196490.13157894739</v>
      </c>
      <c r="CE40" s="27">
        <f t="shared" si="14"/>
        <v>196490.13157894739</v>
      </c>
      <c r="CF40" s="27">
        <f t="shared" si="14"/>
        <v>196490.13157894739</v>
      </c>
      <c r="CG40" s="27">
        <f t="shared" si="14"/>
        <v>196490.13157894739</v>
      </c>
      <c r="CH40" s="27">
        <f t="shared" si="14"/>
        <v>196490.13157894739</v>
      </c>
      <c r="CI40" s="27">
        <f t="shared" si="14"/>
        <v>196490.13157894739</v>
      </c>
      <c r="CJ40" s="27">
        <f t="shared" si="14"/>
        <v>196490.13157894739</v>
      </c>
      <c r="CK40" s="27">
        <f t="shared" si="14"/>
        <v>196490.13157894739</v>
      </c>
      <c r="CL40" s="27">
        <f t="shared" si="14"/>
        <v>196490.13157894739</v>
      </c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</row>
    <row r="41" spans="1:877" ht="13">
      <c r="A41" s="25"/>
      <c r="B41" s="50"/>
      <c r="C41" s="33" t="s">
        <v>27</v>
      </c>
      <c r="D41" s="34"/>
      <c r="E41" s="34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>
        <f t="shared" ref="AE41:CL41" si="15">AE38*($B$39-$B$37)</f>
        <v>0</v>
      </c>
      <c r="AF41" s="35">
        <f t="shared" si="15"/>
        <v>0</v>
      </c>
      <c r="AG41" s="35">
        <f t="shared" si="15"/>
        <v>0</v>
      </c>
      <c r="AH41" s="35">
        <f t="shared" si="15"/>
        <v>0</v>
      </c>
      <c r="AI41" s="35">
        <f t="shared" si="15"/>
        <v>0</v>
      </c>
      <c r="AJ41" s="35">
        <f t="shared" si="15"/>
        <v>0</v>
      </c>
      <c r="AK41" s="35">
        <f t="shared" si="15"/>
        <v>0</v>
      </c>
      <c r="AL41" s="35">
        <f t="shared" si="15"/>
        <v>0</v>
      </c>
      <c r="AM41" s="35">
        <f t="shared" si="15"/>
        <v>0</v>
      </c>
      <c r="AN41" s="35">
        <f t="shared" si="15"/>
        <v>0</v>
      </c>
      <c r="AO41" s="35">
        <f t="shared" si="15"/>
        <v>0</v>
      </c>
      <c r="AP41" s="35">
        <f t="shared" si="15"/>
        <v>0</v>
      </c>
      <c r="AQ41" s="35">
        <f t="shared" si="15"/>
        <v>839254.93421052629</v>
      </c>
      <c r="AR41" s="35">
        <f t="shared" si="15"/>
        <v>839254.93421052629</v>
      </c>
      <c r="AS41" s="35">
        <f t="shared" si="15"/>
        <v>839254.93421052629</v>
      </c>
      <c r="AT41" s="35">
        <f t="shared" si="15"/>
        <v>839254.93421052629</v>
      </c>
      <c r="AU41" s="35">
        <f t="shared" si="15"/>
        <v>839254.93421052629</v>
      </c>
      <c r="AV41" s="35">
        <f t="shared" si="15"/>
        <v>839254.93421052629</v>
      </c>
      <c r="AW41" s="35">
        <f t="shared" si="15"/>
        <v>839254.93421052629</v>
      </c>
      <c r="AX41" s="35">
        <f t="shared" si="15"/>
        <v>839254.93421052629</v>
      </c>
      <c r="AY41" s="35">
        <f t="shared" si="15"/>
        <v>839254.93421052629</v>
      </c>
      <c r="AZ41" s="35">
        <f t="shared" si="15"/>
        <v>839254.93421052629</v>
      </c>
      <c r="BA41" s="35">
        <f t="shared" si="15"/>
        <v>839254.93421052629</v>
      </c>
      <c r="BB41" s="35">
        <f t="shared" si="15"/>
        <v>839254.93421052629</v>
      </c>
      <c r="BC41" s="35">
        <f t="shared" si="15"/>
        <v>1678509.8684210526</v>
      </c>
      <c r="BD41" s="35">
        <f t="shared" si="15"/>
        <v>1678509.8684210526</v>
      </c>
      <c r="BE41" s="35">
        <f t="shared" si="15"/>
        <v>1678509.8684210526</v>
      </c>
      <c r="BF41" s="35">
        <f t="shared" si="15"/>
        <v>1678509.8684210526</v>
      </c>
      <c r="BG41" s="35">
        <f t="shared" si="15"/>
        <v>1678509.8684210526</v>
      </c>
      <c r="BH41" s="35">
        <f t="shared" si="15"/>
        <v>1678509.8684210526</v>
      </c>
      <c r="BI41" s="35">
        <f t="shared" si="15"/>
        <v>1678509.8684210526</v>
      </c>
      <c r="BJ41" s="35">
        <f t="shared" si="15"/>
        <v>1678509.8684210526</v>
      </c>
      <c r="BK41" s="35">
        <f t="shared" si="15"/>
        <v>1678509.8684210526</v>
      </c>
      <c r="BL41" s="35">
        <f t="shared" si="15"/>
        <v>1678509.8684210526</v>
      </c>
      <c r="BM41" s="35">
        <f t="shared" si="15"/>
        <v>1678509.8684210526</v>
      </c>
      <c r="BN41" s="35">
        <f t="shared" si="15"/>
        <v>1678509.8684210526</v>
      </c>
      <c r="BO41" s="35">
        <f t="shared" si="15"/>
        <v>1678509.8684210526</v>
      </c>
      <c r="BP41" s="35">
        <f t="shared" si="15"/>
        <v>1678509.8684210526</v>
      </c>
      <c r="BQ41" s="35">
        <f t="shared" si="15"/>
        <v>1678509.8684210526</v>
      </c>
      <c r="BR41" s="35">
        <f t="shared" si="15"/>
        <v>1678509.8684210526</v>
      </c>
      <c r="BS41" s="35">
        <f t="shared" si="15"/>
        <v>1678509.8684210526</v>
      </c>
      <c r="BT41" s="35">
        <f t="shared" si="15"/>
        <v>1678509.8684210526</v>
      </c>
      <c r="BU41" s="35">
        <f t="shared" si="15"/>
        <v>1678509.8684210526</v>
      </c>
      <c r="BV41" s="35">
        <f t="shared" si="15"/>
        <v>1678509.8684210526</v>
      </c>
      <c r="BW41" s="35">
        <f t="shared" si="15"/>
        <v>1678509.8684210526</v>
      </c>
      <c r="BX41" s="35">
        <f t="shared" si="15"/>
        <v>1678509.8684210526</v>
      </c>
      <c r="BY41" s="35">
        <f t="shared" si="15"/>
        <v>1678509.8684210526</v>
      </c>
      <c r="BZ41" s="35">
        <f t="shared" si="15"/>
        <v>1678509.8684210526</v>
      </c>
      <c r="CA41" s="35">
        <f t="shared" si="15"/>
        <v>1678509.8684210526</v>
      </c>
      <c r="CB41" s="35">
        <f t="shared" si="15"/>
        <v>1678509.8684210526</v>
      </c>
      <c r="CC41" s="35">
        <f t="shared" si="15"/>
        <v>1678509.8684210526</v>
      </c>
      <c r="CD41" s="35">
        <f t="shared" si="15"/>
        <v>1678509.8684210526</v>
      </c>
      <c r="CE41" s="35">
        <f t="shared" si="15"/>
        <v>1678509.8684210526</v>
      </c>
      <c r="CF41" s="35">
        <f t="shared" si="15"/>
        <v>1678509.8684210526</v>
      </c>
      <c r="CG41" s="35">
        <f t="shared" si="15"/>
        <v>1678509.8684210526</v>
      </c>
      <c r="CH41" s="35">
        <f t="shared" si="15"/>
        <v>1678509.8684210526</v>
      </c>
      <c r="CI41" s="35">
        <f t="shared" si="15"/>
        <v>1678509.8684210526</v>
      </c>
      <c r="CJ41" s="35">
        <f t="shared" si="15"/>
        <v>1678509.8684210526</v>
      </c>
      <c r="CK41" s="35">
        <f t="shared" si="15"/>
        <v>1678509.8684210526</v>
      </c>
      <c r="CL41" s="35">
        <f t="shared" si="15"/>
        <v>1678509.8684210526</v>
      </c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J41" s="21"/>
      <c r="JK41" s="21"/>
      <c r="JL41" s="21"/>
      <c r="JM41" s="21"/>
      <c r="JN41" s="21"/>
      <c r="JO41" s="21"/>
      <c r="JP41" s="21"/>
      <c r="JQ41" s="21"/>
      <c r="JR41" s="21"/>
      <c r="JS41" s="21"/>
      <c r="JT41" s="21"/>
      <c r="JU41" s="21"/>
      <c r="JV41" s="21"/>
      <c r="JW41" s="21"/>
      <c r="JX41" s="21"/>
      <c r="JY41" s="21"/>
      <c r="JZ41" s="21"/>
      <c r="KA41" s="21"/>
      <c r="KB41" s="21"/>
      <c r="KC41" s="21"/>
      <c r="KD41" s="21"/>
      <c r="KE41" s="21"/>
      <c r="KF41" s="21"/>
      <c r="KG41" s="21"/>
      <c r="KH41" s="21"/>
      <c r="KI41" s="21"/>
      <c r="KJ41" s="21"/>
      <c r="KK41" s="21"/>
      <c r="KL41" s="21"/>
      <c r="KM41" s="21"/>
      <c r="KN41" s="21"/>
      <c r="KO41" s="21"/>
      <c r="KP41" s="21"/>
      <c r="KQ41" s="21"/>
      <c r="KR41" s="21"/>
      <c r="KS41" s="21"/>
      <c r="KT41" s="21"/>
      <c r="KU41" s="21"/>
      <c r="KV41" s="21"/>
      <c r="KW41" s="21"/>
      <c r="KX41" s="21"/>
      <c r="KY41" s="21"/>
      <c r="KZ41" s="21"/>
      <c r="LA41" s="21"/>
      <c r="LB41" s="21"/>
      <c r="LC41" s="21"/>
      <c r="LD41" s="21"/>
      <c r="LE41" s="21"/>
      <c r="LF41" s="21"/>
      <c r="LG41" s="21"/>
      <c r="LH41" s="21"/>
      <c r="LI41" s="21"/>
      <c r="LJ41" s="21"/>
      <c r="LK41" s="21"/>
      <c r="LL41" s="21"/>
      <c r="LM41" s="21"/>
      <c r="LN41" s="21"/>
      <c r="LO41" s="21"/>
      <c r="LP41" s="21"/>
      <c r="LQ41" s="21"/>
      <c r="LR41" s="21"/>
      <c r="LS41" s="21"/>
      <c r="LT41" s="21"/>
      <c r="LU41" s="21"/>
      <c r="LV41" s="21"/>
      <c r="LW41" s="21"/>
      <c r="LX41" s="21"/>
      <c r="LY41" s="21"/>
      <c r="LZ41" s="21"/>
      <c r="MA41" s="21"/>
      <c r="MB41" s="21"/>
      <c r="MC41" s="21"/>
      <c r="MD41" s="21"/>
      <c r="ME41" s="21"/>
      <c r="MF41" s="21"/>
      <c r="MG41" s="21"/>
      <c r="MH41" s="21"/>
      <c r="MI41" s="21"/>
      <c r="MJ41" s="21"/>
      <c r="MK41" s="21"/>
      <c r="ML41" s="21"/>
      <c r="MM41" s="21"/>
      <c r="MN41" s="21"/>
      <c r="MO41" s="21"/>
      <c r="MP41" s="21"/>
      <c r="MQ41" s="21"/>
      <c r="MR41" s="21"/>
      <c r="MS41" s="21"/>
      <c r="MT41" s="21"/>
      <c r="MU41" s="21"/>
      <c r="MV41" s="21"/>
      <c r="MW41" s="21"/>
      <c r="MX41" s="21"/>
      <c r="MY41" s="21"/>
      <c r="MZ41" s="21"/>
      <c r="NA41" s="21"/>
      <c r="NB41" s="21"/>
      <c r="NC41" s="21"/>
      <c r="ND41" s="21"/>
      <c r="NE41" s="21"/>
      <c r="NF41" s="21"/>
      <c r="NG41" s="21"/>
      <c r="NH41" s="21"/>
      <c r="NI41" s="21"/>
      <c r="NJ41" s="21"/>
      <c r="NK41" s="21"/>
      <c r="NL41" s="21"/>
      <c r="NM41" s="21"/>
      <c r="NN41" s="21"/>
      <c r="NO41" s="21"/>
      <c r="NP41" s="21"/>
      <c r="NQ41" s="21"/>
      <c r="NR41" s="21"/>
      <c r="NS41" s="21"/>
      <c r="NT41" s="21"/>
      <c r="NU41" s="21"/>
      <c r="NV41" s="21"/>
      <c r="NW41" s="21"/>
      <c r="NX41" s="21"/>
      <c r="NY41" s="21"/>
      <c r="NZ41" s="21"/>
      <c r="OA41" s="21"/>
      <c r="OB41" s="21"/>
      <c r="OC41" s="21"/>
      <c r="OD41" s="21"/>
      <c r="OE41" s="21"/>
      <c r="OF41" s="21"/>
      <c r="OG41" s="21"/>
      <c r="OH41" s="21"/>
      <c r="OI41" s="21"/>
      <c r="OJ41" s="21"/>
      <c r="OK41" s="21"/>
      <c r="OL41" s="21"/>
      <c r="OM41" s="21"/>
      <c r="ON41" s="21"/>
      <c r="OO41" s="21"/>
      <c r="OP41" s="21"/>
      <c r="OQ41" s="21"/>
      <c r="OR41" s="21"/>
      <c r="OS41" s="21"/>
      <c r="OT41" s="21"/>
      <c r="OU41" s="21"/>
      <c r="OV41" s="21"/>
      <c r="OW41" s="21"/>
      <c r="OX41" s="21"/>
      <c r="OY41" s="21"/>
      <c r="OZ41" s="21"/>
      <c r="PA41" s="21"/>
      <c r="PB41" s="21"/>
      <c r="PC41" s="21"/>
      <c r="PD41" s="21"/>
      <c r="PE41" s="21"/>
      <c r="PF41" s="21"/>
      <c r="PG41" s="21"/>
      <c r="PH41" s="21"/>
      <c r="PI41" s="21"/>
      <c r="PJ41" s="21"/>
      <c r="PK41" s="21"/>
      <c r="PL41" s="21"/>
      <c r="PM41" s="21"/>
      <c r="PN41" s="21"/>
      <c r="PO41" s="21"/>
      <c r="PP41" s="21"/>
      <c r="PQ41" s="21"/>
      <c r="PR41" s="21"/>
      <c r="PS41" s="21"/>
      <c r="PT41" s="21"/>
      <c r="PU41" s="21"/>
      <c r="PV41" s="21"/>
      <c r="PW41" s="21"/>
      <c r="PX41" s="21"/>
      <c r="PY41" s="21"/>
      <c r="PZ41" s="21"/>
      <c r="QA41" s="21"/>
      <c r="QB41" s="21"/>
      <c r="QC41" s="21"/>
      <c r="QD41" s="21"/>
      <c r="QE41" s="21"/>
      <c r="QF41" s="21"/>
      <c r="QG41" s="21"/>
      <c r="QH41" s="21"/>
      <c r="QI41" s="21"/>
      <c r="QJ41" s="21"/>
      <c r="QK41" s="21"/>
      <c r="QL41" s="21"/>
      <c r="QM41" s="21"/>
      <c r="QN41" s="21"/>
      <c r="QO41" s="21"/>
      <c r="QP41" s="21"/>
      <c r="QQ41" s="21"/>
      <c r="QR41" s="21"/>
      <c r="QS41" s="21"/>
      <c r="QT41" s="21"/>
      <c r="QU41" s="21"/>
      <c r="QV41" s="21"/>
      <c r="QW41" s="21"/>
      <c r="QX41" s="21"/>
      <c r="QY41" s="21"/>
      <c r="QZ41" s="21"/>
      <c r="RA41" s="21"/>
      <c r="RB41" s="21"/>
      <c r="RC41" s="21"/>
      <c r="RD41" s="21"/>
      <c r="RE41" s="21"/>
      <c r="RF41" s="21"/>
      <c r="RG41" s="21"/>
      <c r="RH41" s="21"/>
      <c r="RI41" s="21"/>
      <c r="RJ41" s="21"/>
      <c r="RK41" s="21"/>
      <c r="RL41" s="21"/>
      <c r="RM41" s="21"/>
      <c r="RN41" s="21"/>
      <c r="RO41" s="21"/>
      <c r="RP41" s="21"/>
      <c r="RQ41" s="21"/>
      <c r="RR41" s="21"/>
      <c r="RS41" s="21"/>
      <c r="RT41" s="21"/>
      <c r="RU41" s="21"/>
      <c r="RV41" s="21"/>
      <c r="RW41" s="21"/>
      <c r="RX41" s="21"/>
      <c r="RY41" s="21"/>
      <c r="RZ41" s="21"/>
      <c r="SA41" s="21"/>
      <c r="SB41" s="21"/>
      <c r="SC41" s="21"/>
      <c r="SD41" s="21"/>
      <c r="SE41" s="21"/>
      <c r="SF41" s="21"/>
      <c r="SG41" s="21"/>
      <c r="SH41" s="21"/>
      <c r="SI41" s="21"/>
      <c r="SJ41" s="21"/>
      <c r="SK41" s="21"/>
      <c r="SL41" s="21"/>
      <c r="SM41" s="21"/>
      <c r="SN41" s="21"/>
      <c r="SO41" s="21"/>
      <c r="SP41" s="21"/>
      <c r="SQ41" s="21"/>
      <c r="SR41" s="21"/>
      <c r="SS41" s="21"/>
      <c r="ST41" s="21"/>
      <c r="SU41" s="21"/>
      <c r="SV41" s="21"/>
      <c r="SW41" s="21"/>
      <c r="SX41" s="21"/>
      <c r="SY41" s="21"/>
      <c r="SZ41" s="21"/>
      <c r="TA41" s="21"/>
      <c r="TB41" s="21"/>
      <c r="TC41" s="21"/>
      <c r="TD41" s="21"/>
      <c r="TE41" s="21"/>
      <c r="TF41" s="21"/>
      <c r="TG41" s="21"/>
      <c r="TH41" s="21"/>
      <c r="TI41" s="21"/>
      <c r="TJ41" s="21"/>
      <c r="TK41" s="21"/>
      <c r="TL41" s="21"/>
      <c r="TM41" s="21"/>
      <c r="TN41" s="21"/>
      <c r="TO41" s="21"/>
      <c r="TP41" s="21"/>
      <c r="TQ41" s="21"/>
      <c r="TR41" s="21"/>
      <c r="TS41" s="21"/>
      <c r="TT41" s="21"/>
      <c r="TU41" s="21"/>
      <c r="TV41" s="21"/>
      <c r="TW41" s="21"/>
      <c r="TX41" s="21"/>
      <c r="TY41" s="21"/>
      <c r="TZ41" s="21"/>
      <c r="UA41" s="21"/>
      <c r="UB41" s="21"/>
      <c r="UC41" s="21"/>
      <c r="UD41" s="21"/>
      <c r="UE41" s="21"/>
      <c r="UF41" s="21"/>
      <c r="UG41" s="21"/>
      <c r="UH41" s="21"/>
      <c r="UI41" s="21"/>
      <c r="UJ41" s="21"/>
      <c r="UK41" s="21"/>
      <c r="UL41" s="21"/>
      <c r="UM41" s="21"/>
      <c r="UN41" s="21"/>
      <c r="UO41" s="21"/>
      <c r="UP41" s="21"/>
      <c r="UQ41" s="21"/>
      <c r="UR41" s="21"/>
      <c r="US41" s="21"/>
      <c r="UT41" s="21"/>
      <c r="UU41" s="21"/>
      <c r="UV41" s="21"/>
      <c r="UW41" s="21"/>
      <c r="UX41" s="21"/>
      <c r="UY41" s="21"/>
      <c r="UZ41" s="21"/>
      <c r="VA41" s="21"/>
      <c r="VB41" s="21"/>
      <c r="VC41" s="21"/>
      <c r="VD41" s="21"/>
      <c r="VE41" s="21"/>
      <c r="VF41" s="21"/>
      <c r="VG41" s="21"/>
      <c r="VH41" s="21"/>
      <c r="VI41" s="21"/>
      <c r="VJ41" s="21"/>
      <c r="VK41" s="21"/>
      <c r="VL41" s="21"/>
      <c r="VM41" s="21"/>
      <c r="VN41" s="21"/>
      <c r="VO41" s="21"/>
      <c r="VP41" s="21"/>
      <c r="VQ41" s="21"/>
      <c r="VR41" s="21"/>
      <c r="VS41" s="21"/>
      <c r="VT41" s="21"/>
      <c r="VU41" s="21"/>
      <c r="VV41" s="21"/>
      <c r="VW41" s="21"/>
      <c r="VX41" s="21"/>
      <c r="VY41" s="21"/>
      <c r="VZ41" s="21"/>
      <c r="WA41" s="21"/>
      <c r="WB41" s="21"/>
      <c r="WC41" s="21"/>
      <c r="WD41" s="21"/>
      <c r="WE41" s="21"/>
      <c r="WF41" s="21"/>
      <c r="WG41" s="21"/>
      <c r="WH41" s="21"/>
      <c r="WI41" s="21"/>
      <c r="WJ41" s="21"/>
      <c r="WK41" s="21"/>
      <c r="WL41" s="21"/>
      <c r="WM41" s="21"/>
      <c r="WN41" s="21"/>
      <c r="WO41" s="21"/>
      <c r="WP41" s="21"/>
      <c r="WQ41" s="21"/>
      <c r="WR41" s="21"/>
      <c r="WS41" s="21"/>
      <c r="WT41" s="21"/>
      <c r="WU41" s="21"/>
      <c r="WV41" s="21"/>
      <c r="WW41" s="21"/>
      <c r="WX41" s="21"/>
      <c r="WY41" s="21"/>
      <c r="WZ41" s="21"/>
      <c r="XA41" s="21"/>
      <c r="XB41" s="21"/>
      <c r="XC41" s="21"/>
      <c r="XD41" s="21"/>
      <c r="XE41" s="21"/>
      <c r="XF41" s="21"/>
      <c r="XG41" s="21"/>
      <c r="XH41" s="21"/>
      <c r="XI41" s="21"/>
      <c r="XJ41" s="21"/>
      <c r="XK41" s="21"/>
      <c r="XL41" s="21"/>
      <c r="XM41" s="21"/>
      <c r="XN41" s="21"/>
      <c r="XO41" s="21"/>
      <c r="XP41" s="21"/>
      <c r="XQ41" s="21"/>
      <c r="XR41" s="21"/>
      <c r="XS41" s="21"/>
      <c r="XT41" s="21"/>
      <c r="XU41" s="21"/>
      <c r="XV41" s="21"/>
      <c r="XW41" s="21"/>
      <c r="XX41" s="21"/>
      <c r="XY41" s="21"/>
      <c r="XZ41" s="21"/>
      <c r="YA41" s="21"/>
      <c r="YB41" s="21"/>
      <c r="YC41" s="21"/>
      <c r="YD41" s="21"/>
      <c r="YE41" s="21"/>
      <c r="YF41" s="21"/>
      <c r="YG41" s="21"/>
      <c r="YH41" s="21"/>
      <c r="YI41" s="21"/>
      <c r="YJ41" s="21"/>
      <c r="YK41" s="21"/>
      <c r="YL41" s="21"/>
      <c r="YM41" s="21"/>
      <c r="YN41" s="21"/>
      <c r="YO41" s="21"/>
      <c r="YP41" s="21"/>
      <c r="YQ41" s="21"/>
      <c r="YR41" s="21"/>
      <c r="YS41" s="21"/>
      <c r="YT41" s="21"/>
      <c r="YU41" s="21"/>
      <c r="YV41" s="21"/>
      <c r="YW41" s="21"/>
      <c r="YX41" s="21"/>
      <c r="YY41" s="21"/>
      <c r="YZ41" s="21"/>
      <c r="ZA41" s="21"/>
      <c r="ZB41" s="21"/>
      <c r="ZC41" s="21"/>
      <c r="ZD41" s="21"/>
      <c r="ZE41" s="21"/>
      <c r="ZF41" s="21"/>
      <c r="ZG41" s="21"/>
      <c r="ZH41" s="21"/>
      <c r="ZI41" s="21"/>
      <c r="ZJ41" s="21"/>
      <c r="ZK41" s="21"/>
      <c r="ZL41" s="21"/>
      <c r="ZM41" s="21"/>
      <c r="ZN41" s="21"/>
      <c r="ZO41" s="21"/>
      <c r="ZP41" s="21"/>
      <c r="ZQ41" s="21"/>
      <c r="ZR41" s="21"/>
      <c r="ZS41" s="21"/>
      <c r="ZT41" s="21"/>
      <c r="ZU41" s="21"/>
      <c r="ZV41" s="21"/>
      <c r="ZW41" s="21"/>
      <c r="ZX41" s="21"/>
      <c r="ZY41" s="21"/>
      <c r="ZZ41" s="21"/>
      <c r="AAA41" s="21"/>
      <c r="AAB41" s="21"/>
      <c r="AAC41" s="21"/>
      <c r="AAD41" s="21"/>
      <c r="AAE41" s="21"/>
      <c r="AAF41" s="21"/>
      <c r="AAG41" s="21"/>
      <c r="AAH41" s="21"/>
      <c r="AAI41" s="21"/>
      <c r="AAJ41" s="21"/>
      <c r="AAK41" s="21"/>
      <c r="AAL41" s="21"/>
      <c r="AAM41" s="21"/>
      <c r="AAN41" s="21"/>
      <c r="AAO41" s="21"/>
      <c r="AAP41" s="21"/>
      <c r="AAQ41" s="21"/>
      <c r="AAR41" s="21"/>
      <c r="AAS41" s="21"/>
      <c r="AAT41" s="21"/>
      <c r="AAU41" s="21"/>
      <c r="AAV41" s="21"/>
      <c r="AAW41" s="21"/>
      <c r="AAX41" s="21"/>
      <c r="AAY41" s="21"/>
      <c r="AAZ41" s="21"/>
      <c r="ABA41" s="21"/>
      <c r="ABB41" s="21"/>
      <c r="ABC41" s="21"/>
      <c r="ABD41" s="21"/>
      <c r="ABE41" s="21"/>
      <c r="ABF41" s="21"/>
      <c r="ABG41" s="21"/>
      <c r="ABH41" s="21"/>
      <c r="ABI41" s="21"/>
      <c r="ABJ41" s="21"/>
      <c r="ABK41" s="21"/>
      <c r="ABL41" s="21"/>
      <c r="ABM41" s="21"/>
      <c r="ABN41" s="21"/>
      <c r="ABO41" s="21"/>
      <c r="ABP41" s="21"/>
      <c r="ABQ41" s="21"/>
      <c r="ABR41" s="21"/>
      <c r="ABS41" s="21"/>
      <c r="ABT41" s="21"/>
      <c r="ABU41" s="21"/>
      <c r="ABV41" s="21"/>
      <c r="ABW41" s="21"/>
      <c r="ABX41" s="21"/>
      <c r="ABY41" s="21"/>
      <c r="ABZ41" s="21"/>
      <c r="ACA41" s="21"/>
      <c r="ACB41" s="21"/>
      <c r="ACC41" s="21"/>
      <c r="ACD41" s="21"/>
      <c r="ACE41" s="21"/>
      <c r="ACF41" s="21"/>
      <c r="ACG41" s="21"/>
      <c r="ACH41" s="21"/>
      <c r="ACI41" s="21"/>
      <c r="ACJ41" s="21"/>
      <c r="ACK41" s="21"/>
      <c r="ACL41" s="21"/>
      <c r="ACM41" s="21"/>
      <c r="ACN41" s="21"/>
      <c r="ACO41" s="21"/>
      <c r="ACP41" s="21"/>
      <c r="ACQ41" s="21"/>
      <c r="ACR41" s="21"/>
      <c r="ACS41" s="21"/>
      <c r="ACT41" s="21"/>
      <c r="ACU41" s="21"/>
      <c r="ACV41" s="21"/>
      <c r="ACW41" s="21"/>
      <c r="ACX41" s="21"/>
      <c r="ACY41" s="21"/>
      <c r="ACZ41" s="21"/>
      <c r="ADA41" s="21"/>
      <c r="ADB41" s="21"/>
      <c r="ADC41" s="21"/>
      <c r="ADD41" s="21"/>
      <c r="ADE41" s="21"/>
      <c r="ADF41" s="21"/>
      <c r="ADG41" s="21"/>
      <c r="ADH41" s="21"/>
      <c r="ADI41" s="21"/>
      <c r="ADJ41" s="21"/>
      <c r="ADK41" s="21"/>
      <c r="ADL41" s="21"/>
      <c r="ADM41" s="21"/>
      <c r="ADN41" s="21"/>
      <c r="ADO41" s="21"/>
      <c r="ADP41" s="21"/>
      <c r="ADQ41" s="21"/>
      <c r="ADR41" s="21"/>
      <c r="ADS41" s="21"/>
      <c r="ADT41" s="21"/>
      <c r="ADU41" s="21"/>
      <c r="ADV41" s="21"/>
      <c r="ADW41" s="21"/>
      <c r="ADX41" s="21"/>
      <c r="ADY41" s="21"/>
      <c r="ADZ41" s="21"/>
      <c r="AEA41" s="21"/>
      <c r="AEB41" s="21"/>
      <c r="AEC41" s="21"/>
      <c r="AED41" s="21"/>
      <c r="AEE41" s="21"/>
      <c r="AEF41" s="21"/>
      <c r="AEG41" s="21"/>
      <c r="AEH41" s="21"/>
      <c r="AEI41" s="21"/>
      <c r="AEJ41" s="21"/>
      <c r="AEK41" s="21"/>
      <c r="AEL41" s="21"/>
      <c r="AEM41" s="21"/>
      <c r="AEN41" s="21"/>
      <c r="AEO41" s="21"/>
      <c r="AEP41" s="21"/>
      <c r="AEQ41" s="21"/>
      <c r="AER41" s="21"/>
      <c r="AES41" s="21"/>
      <c r="AET41" s="21"/>
      <c r="AEU41" s="21"/>
      <c r="AEV41" s="21"/>
      <c r="AEW41" s="21"/>
      <c r="AEX41" s="21"/>
      <c r="AEY41" s="21"/>
      <c r="AEZ41" s="21"/>
      <c r="AFA41" s="21"/>
      <c r="AFB41" s="21"/>
      <c r="AFC41" s="21"/>
      <c r="AFD41" s="21"/>
      <c r="AFE41" s="21"/>
      <c r="AFF41" s="21"/>
      <c r="AFG41" s="21"/>
      <c r="AFH41" s="21"/>
      <c r="AFI41" s="21"/>
      <c r="AFJ41" s="21"/>
      <c r="AFK41" s="21"/>
      <c r="AFL41" s="21"/>
      <c r="AFM41" s="21"/>
      <c r="AFN41" s="21"/>
      <c r="AFO41" s="21"/>
      <c r="AFP41" s="21"/>
      <c r="AFQ41" s="21"/>
      <c r="AFR41" s="21"/>
      <c r="AFS41" s="21"/>
      <c r="AFT41" s="21"/>
      <c r="AFU41" s="21"/>
      <c r="AFV41" s="21"/>
      <c r="AFW41" s="21"/>
      <c r="AFX41" s="21"/>
      <c r="AFY41" s="21"/>
      <c r="AFZ41" s="21"/>
      <c r="AGA41" s="21"/>
      <c r="AGB41" s="21"/>
      <c r="AGC41" s="21"/>
      <c r="AGD41" s="21"/>
      <c r="AGE41" s="21"/>
      <c r="AGF41" s="21"/>
      <c r="AGG41" s="21"/>
      <c r="AGH41" s="21"/>
      <c r="AGI41" s="21"/>
      <c r="AGJ41" s="21"/>
      <c r="AGK41" s="21"/>
      <c r="AGL41" s="21"/>
      <c r="AGM41" s="21"/>
      <c r="AGN41" s="21"/>
      <c r="AGO41" s="21"/>
      <c r="AGP41" s="21"/>
      <c r="AGQ41" s="21"/>
      <c r="AGR41" s="21"/>
      <c r="AGS41" s="21"/>
    </row>
    <row r="42" spans="1:877" ht="13">
      <c r="A42" s="41"/>
      <c r="B42" s="41"/>
      <c r="C42" s="26"/>
      <c r="D42" s="21"/>
      <c r="E42" s="21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B42" s="21"/>
      <c r="JC42" s="21"/>
      <c r="JD42" s="21"/>
      <c r="JE42" s="21"/>
      <c r="JF42" s="21"/>
      <c r="JG42" s="21"/>
      <c r="JH42" s="21"/>
      <c r="JI42" s="21"/>
      <c r="JJ42" s="21"/>
      <c r="JK42" s="21"/>
      <c r="JL42" s="21"/>
      <c r="JM42" s="21"/>
      <c r="JN42" s="21"/>
      <c r="JO42" s="21"/>
      <c r="JP42" s="21"/>
      <c r="JQ42" s="21"/>
      <c r="JR42" s="21"/>
      <c r="JS42" s="21"/>
      <c r="JT42" s="21"/>
      <c r="JU42" s="21"/>
      <c r="JV42" s="21"/>
      <c r="JW42" s="21"/>
      <c r="JX42" s="21"/>
      <c r="JY42" s="21"/>
      <c r="JZ42" s="21"/>
      <c r="KA42" s="21"/>
      <c r="KB42" s="21"/>
      <c r="KC42" s="21"/>
      <c r="KD42" s="21"/>
      <c r="KE42" s="21"/>
      <c r="KF42" s="21"/>
      <c r="KG42" s="21"/>
      <c r="KH42" s="21"/>
      <c r="KI42" s="21"/>
      <c r="KJ42" s="21"/>
      <c r="KK42" s="21"/>
      <c r="KL42" s="21"/>
      <c r="KM42" s="21"/>
      <c r="KN42" s="21"/>
      <c r="KO42" s="21"/>
      <c r="KP42" s="21"/>
      <c r="KQ42" s="21"/>
      <c r="KR42" s="21"/>
      <c r="KS42" s="21"/>
      <c r="KT42" s="21"/>
      <c r="KU42" s="21"/>
      <c r="KV42" s="21"/>
      <c r="KW42" s="21"/>
      <c r="KX42" s="21"/>
      <c r="KY42" s="21"/>
      <c r="KZ42" s="21"/>
      <c r="LA42" s="21"/>
      <c r="LB42" s="21"/>
      <c r="LC42" s="21"/>
      <c r="LD42" s="21"/>
      <c r="LE42" s="21"/>
      <c r="LF42" s="21"/>
      <c r="LG42" s="21"/>
      <c r="LH42" s="21"/>
      <c r="LI42" s="21"/>
      <c r="LJ42" s="21"/>
      <c r="LK42" s="21"/>
      <c r="LL42" s="21"/>
      <c r="LM42" s="21"/>
      <c r="LN42" s="21"/>
      <c r="LO42" s="21"/>
      <c r="LP42" s="21"/>
      <c r="LQ42" s="21"/>
      <c r="LR42" s="21"/>
      <c r="LS42" s="21"/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1"/>
      <c r="ME42" s="21"/>
      <c r="MF42" s="21"/>
      <c r="MG42" s="21"/>
      <c r="MH42" s="21"/>
      <c r="MI42" s="21"/>
      <c r="MJ42" s="21"/>
      <c r="MK42" s="21"/>
      <c r="ML42" s="21"/>
      <c r="MM42" s="21"/>
      <c r="MN42" s="21"/>
      <c r="MO42" s="21"/>
      <c r="MP42" s="21"/>
      <c r="MQ42" s="21"/>
      <c r="MR42" s="21"/>
      <c r="MS42" s="21"/>
      <c r="MT42" s="21"/>
      <c r="MU42" s="21"/>
      <c r="MV42" s="21"/>
      <c r="MW42" s="21"/>
      <c r="MX42" s="21"/>
      <c r="MY42" s="21"/>
      <c r="MZ42" s="21"/>
      <c r="NA42" s="21"/>
      <c r="NB42" s="21"/>
      <c r="NC42" s="21"/>
      <c r="ND42" s="21"/>
      <c r="NE42" s="21"/>
      <c r="NF42" s="21"/>
      <c r="NG42" s="21"/>
      <c r="NH42" s="21"/>
      <c r="NI42" s="21"/>
      <c r="NJ42" s="21"/>
      <c r="NK42" s="21"/>
      <c r="NL42" s="21"/>
      <c r="NM42" s="21"/>
      <c r="NN42" s="21"/>
      <c r="NO42" s="21"/>
      <c r="NP42" s="21"/>
      <c r="NQ42" s="21"/>
      <c r="NR42" s="21"/>
      <c r="NS42" s="21"/>
      <c r="NT42" s="21"/>
      <c r="NU42" s="21"/>
      <c r="NV42" s="21"/>
      <c r="NW42" s="21"/>
      <c r="NX42" s="21"/>
      <c r="NY42" s="21"/>
      <c r="NZ42" s="21"/>
      <c r="OA42" s="21"/>
      <c r="OB42" s="21"/>
      <c r="OC42" s="21"/>
      <c r="OD42" s="21"/>
      <c r="OE42" s="21"/>
      <c r="OF42" s="21"/>
      <c r="OG42" s="21"/>
      <c r="OH42" s="21"/>
      <c r="OI42" s="21"/>
      <c r="OJ42" s="21"/>
      <c r="OK42" s="21"/>
      <c r="OL42" s="21"/>
      <c r="OM42" s="21"/>
      <c r="ON42" s="21"/>
      <c r="OO42" s="21"/>
      <c r="OP42" s="21"/>
      <c r="OQ42" s="21"/>
      <c r="OR42" s="21"/>
      <c r="OS42" s="21"/>
      <c r="OT42" s="21"/>
      <c r="OU42" s="21"/>
      <c r="OV42" s="21"/>
      <c r="OW42" s="21"/>
      <c r="OX42" s="21"/>
      <c r="OY42" s="21"/>
      <c r="OZ42" s="21"/>
      <c r="PA42" s="21"/>
      <c r="PB42" s="21"/>
      <c r="PC42" s="21"/>
      <c r="PD42" s="21"/>
      <c r="PE42" s="21"/>
      <c r="PF42" s="21"/>
      <c r="PG42" s="21"/>
      <c r="PH42" s="21"/>
      <c r="PI42" s="21"/>
      <c r="PJ42" s="21"/>
      <c r="PK42" s="21"/>
      <c r="PL42" s="21"/>
      <c r="PM42" s="21"/>
      <c r="PN42" s="21"/>
      <c r="PO42" s="21"/>
      <c r="PP42" s="21"/>
      <c r="PQ42" s="21"/>
      <c r="PR42" s="21"/>
      <c r="PS42" s="21"/>
      <c r="PT42" s="21"/>
      <c r="PU42" s="21"/>
      <c r="PV42" s="21"/>
      <c r="PW42" s="21"/>
      <c r="PX42" s="21"/>
      <c r="PY42" s="21"/>
      <c r="PZ42" s="21"/>
      <c r="QA42" s="21"/>
      <c r="QB42" s="21"/>
      <c r="QC42" s="21"/>
      <c r="QD42" s="21"/>
      <c r="QE42" s="21"/>
      <c r="QF42" s="21"/>
      <c r="QG42" s="21"/>
      <c r="QH42" s="21"/>
      <c r="QI42" s="21"/>
      <c r="QJ42" s="21"/>
      <c r="QK42" s="21"/>
      <c r="QL42" s="21"/>
      <c r="QM42" s="21"/>
      <c r="QN42" s="21"/>
      <c r="QO42" s="21"/>
      <c r="QP42" s="21"/>
      <c r="QQ42" s="21"/>
      <c r="QR42" s="21"/>
      <c r="QS42" s="21"/>
      <c r="QT42" s="21"/>
      <c r="QU42" s="21"/>
      <c r="QV42" s="21"/>
      <c r="QW42" s="21"/>
      <c r="QX42" s="21"/>
      <c r="QY42" s="21"/>
      <c r="QZ42" s="21"/>
      <c r="RA42" s="21"/>
      <c r="RB42" s="21"/>
      <c r="RC42" s="21"/>
      <c r="RD42" s="21"/>
      <c r="RE42" s="21"/>
      <c r="RF42" s="21"/>
      <c r="RG42" s="21"/>
      <c r="RH42" s="21"/>
      <c r="RI42" s="21"/>
      <c r="RJ42" s="21"/>
      <c r="RK42" s="21"/>
      <c r="RL42" s="21"/>
      <c r="RM42" s="21"/>
      <c r="RN42" s="21"/>
      <c r="RO42" s="21"/>
      <c r="RP42" s="21"/>
      <c r="RQ42" s="21"/>
      <c r="RR42" s="21"/>
      <c r="RS42" s="21"/>
      <c r="RT42" s="21"/>
      <c r="RU42" s="21"/>
      <c r="RV42" s="21"/>
      <c r="RW42" s="21"/>
      <c r="RX42" s="21"/>
      <c r="RY42" s="21"/>
      <c r="RZ42" s="21"/>
      <c r="SA42" s="21"/>
      <c r="SB42" s="21"/>
      <c r="SC42" s="21"/>
      <c r="SD42" s="21"/>
      <c r="SE42" s="21"/>
      <c r="SF42" s="21"/>
      <c r="SG42" s="21"/>
      <c r="SH42" s="21"/>
      <c r="SI42" s="21"/>
      <c r="SJ42" s="21"/>
      <c r="SK42" s="21"/>
      <c r="SL42" s="21"/>
      <c r="SM42" s="21"/>
      <c r="SN42" s="21"/>
      <c r="SO42" s="21"/>
      <c r="SP42" s="21"/>
      <c r="SQ42" s="21"/>
      <c r="SR42" s="21"/>
      <c r="SS42" s="21"/>
      <c r="ST42" s="21"/>
      <c r="SU42" s="21"/>
      <c r="SV42" s="21"/>
      <c r="SW42" s="21"/>
      <c r="SX42" s="21"/>
      <c r="SY42" s="21"/>
      <c r="SZ42" s="21"/>
      <c r="TA42" s="21"/>
      <c r="TB42" s="21"/>
      <c r="TC42" s="21"/>
      <c r="TD42" s="21"/>
      <c r="TE42" s="21"/>
      <c r="TF42" s="21"/>
      <c r="TG42" s="21"/>
      <c r="TH42" s="21"/>
      <c r="TI42" s="21"/>
      <c r="TJ42" s="21"/>
      <c r="TK42" s="21"/>
      <c r="TL42" s="21"/>
      <c r="TM42" s="21"/>
      <c r="TN42" s="21"/>
      <c r="TO42" s="21"/>
      <c r="TP42" s="21"/>
      <c r="TQ42" s="21"/>
      <c r="TR42" s="21"/>
      <c r="TS42" s="21"/>
      <c r="TT42" s="21"/>
      <c r="TU42" s="21"/>
      <c r="TV42" s="21"/>
      <c r="TW42" s="21"/>
      <c r="TX42" s="21"/>
      <c r="TY42" s="21"/>
      <c r="TZ42" s="21"/>
      <c r="UA42" s="21"/>
      <c r="UB42" s="21"/>
      <c r="UC42" s="21"/>
      <c r="UD42" s="21"/>
      <c r="UE42" s="21"/>
      <c r="UF42" s="21"/>
      <c r="UG42" s="21"/>
      <c r="UH42" s="21"/>
      <c r="UI42" s="21"/>
      <c r="UJ42" s="21"/>
      <c r="UK42" s="21"/>
      <c r="UL42" s="21"/>
      <c r="UM42" s="21"/>
      <c r="UN42" s="21"/>
      <c r="UO42" s="21"/>
      <c r="UP42" s="21"/>
      <c r="UQ42" s="21"/>
      <c r="UR42" s="21"/>
      <c r="US42" s="21"/>
      <c r="UT42" s="21"/>
      <c r="UU42" s="21"/>
      <c r="UV42" s="21"/>
      <c r="UW42" s="21"/>
      <c r="UX42" s="21"/>
      <c r="UY42" s="21"/>
      <c r="UZ42" s="21"/>
      <c r="VA42" s="21"/>
      <c r="VB42" s="21"/>
      <c r="VC42" s="21"/>
      <c r="VD42" s="21"/>
      <c r="VE42" s="21"/>
      <c r="VF42" s="21"/>
      <c r="VG42" s="21"/>
      <c r="VH42" s="21"/>
      <c r="VI42" s="21"/>
      <c r="VJ42" s="21"/>
      <c r="VK42" s="21"/>
      <c r="VL42" s="21"/>
      <c r="VM42" s="21"/>
      <c r="VN42" s="21"/>
      <c r="VO42" s="21"/>
      <c r="VP42" s="21"/>
      <c r="VQ42" s="21"/>
      <c r="VR42" s="21"/>
      <c r="VS42" s="21"/>
      <c r="VT42" s="21"/>
      <c r="VU42" s="21"/>
      <c r="VV42" s="21"/>
      <c r="VW42" s="21"/>
      <c r="VX42" s="21"/>
      <c r="VY42" s="21"/>
      <c r="VZ42" s="21"/>
      <c r="WA42" s="21"/>
      <c r="WB42" s="21"/>
      <c r="WC42" s="21"/>
      <c r="WD42" s="21"/>
      <c r="WE42" s="21"/>
      <c r="WF42" s="21"/>
      <c r="WG42" s="21"/>
      <c r="WH42" s="21"/>
      <c r="WI42" s="21"/>
      <c r="WJ42" s="21"/>
      <c r="WK42" s="21"/>
      <c r="WL42" s="21"/>
      <c r="WM42" s="21"/>
      <c r="WN42" s="21"/>
      <c r="WO42" s="21"/>
      <c r="WP42" s="21"/>
      <c r="WQ42" s="21"/>
      <c r="WR42" s="21"/>
      <c r="WS42" s="21"/>
      <c r="WT42" s="21"/>
      <c r="WU42" s="21"/>
      <c r="WV42" s="21"/>
      <c r="WW42" s="21"/>
      <c r="WX42" s="21"/>
      <c r="WY42" s="21"/>
      <c r="WZ42" s="21"/>
      <c r="XA42" s="21"/>
      <c r="XB42" s="21"/>
      <c r="XC42" s="21"/>
      <c r="XD42" s="21"/>
      <c r="XE42" s="21"/>
      <c r="XF42" s="21"/>
      <c r="XG42" s="21"/>
      <c r="XH42" s="21"/>
      <c r="XI42" s="21"/>
      <c r="XJ42" s="21"/>
      <c r="XK42" s="21"/>
      <c r="XL42" s="21"/>
      <c r="XM42" s="21"/>
      <c r="XN42" s="21"/>
      <c r="XO42" s="21"/>
      <c r="XP42" s="21"/>
      <c r="XQ42" s="21"/>
      <c r="XR42" s="21"/>
      <c r="XS42" s="21"/>
      <c r="XT42" s="21"/>
      <c r="XU42" s="21"/>
      <c r="XV42" s="21"/>
      <c r="XW42" s="21"/>
      <c r="XX42" s="21"/>
      <c r="XY42" s="21"/>
      <c r="XZ42" s="21"/>
      <c r="YA42" s="21"/>
      <c r="YB42" s="21"/>
      <c r="YC42" s="21"/>
      <c r="YD42" s="21"/>
      <c r="YE42" s="21"/>
      <c r="YF42" s="21"/>
      <c r="YG42" s="21"/>
      <c r="YH42" s="21"/>
      <c r="YI42" s="21"/>
      <c r="YJ42" s="21"/>
      <c r="YK42" s="21"/>
      <c r="YL42" s="21"/>
      <c r="YM42" s="21"/>
      <c r="YN42" s="21"/>
      <c r="YO42" s="21"/>
      <c r="YP42" s="21"/>
      <c r="YQ42" s="21"/>
      <c r="YR42" s="21"/>
      <c r="YS42" s="21"/>
      <c r="YT42" s="21"/>
      <c r="YU42" s="21"/>
      <c r="YV42" s="21"/>
      <c r="YW42" s="21"/>
      <c r="YX42" s="21"/>
      <c r="YY42" s="21"/>
      <c r="YZ42" s="21"/>
      <c r="ZA42" s="21"/>
      <c r="ZB42" s="21"/>
      <c r="ZC42" s="21"/>
      <c r="ZD42" s="21"/>
      <c r="ZE42" s="21"/>
      <c r="ZF42" s="21"/>
      <c r="ZG42" s="21"/>
      <c r="ZH42" s="21"/>
      <c r="ZI42" s="21"/>
      <c r="ZJ42" s="21"/>
      <c r="ZK42" s="21"/>
      <c r="ZL42" s="21"/>
      <c r="ZM42" s="21"/>
      <c r="ZN42" s="21"/>
      <c r="ZO42" s="21"/>
      <c r="ZP42" s="21"/>
      <c r="ZQ42" s="21"/>
      <c r="ZR42" s="21"/>
      <c r="ZS42" s="21"/>
      <c r="ZT42" s="21"/>
      <c r="ZU42" s="21"/>
      <c r="ZV42" s="21"/>
      <c r="ZW42" s="21"/>
      <c r="ZX42" s="21"/>
      <c r="ZY42" s="21"/>
      <c r="ZZ42" s="21"/>
      <c r="AAA42" s="21"/>
      <c r="AAB42" s="21"/>
      <c r="AAC42" s="21"/>
      <c r="AAD42" s="21"/>
      <c r="AAE42" s="21"/>
      <c r="AAF42" s="21"/>
      <c r="AAG42" s="21"/>
      <c r="AAH42" s="21"/>
      <c r="AAI42" s="21"/>
      <c r="AAJ42" s="21"/>
      <c r="AAK42" s="21"/>
      <c r="AAL42" s="21"/>
      <c r="AAM42" s="21"/>
      <c r="AAN42" s="21"/>
      <c r="AAO42" s="21"/>
      <c r="AAP42" s="21"/>
      <c r="AAQ42" s="21"/>
      <c r="AAR42" s="21"/>
      <c r="AAS42" s="21"/>
      <c r="AAT42" s="21"/>
      <c r="AAU42" s="21"/>
      <c r="AAV42" s="21"/>
      <c r="AAW42" s="21"/>
      <c r="AAX42" s="21"/>
      <c r="AAY42" s="21"/>
      <c r="AAZ42" s="21"/>
      <c r="ABA42" s="21"/>
      <c r="ABB42" s="21"/>
      <c r="ABC42" s="21"/>
      <c r="ABD42" s="21"/>
      <c r="ABE42" s="21"/>
      <c r="ABF42" s="21"/>
      <c r="ABG42" s="21"/>
      <c r="ABH42" s="21"/>
      <c r="ABI42" s="21"/>
      <c r="ABJ42" s="21"/>
      <c r="ABK42" s="21"/>
      <c r="ABL42" s="21"/>
      <c r="ABM42" s="21"/>
      <c r="ABN42" s="21"/>
      <c r="ABO42" s="21"/>
      <c r="ABP42" s="21"/>
      <c r="ABQ42" s="21"/>
      <c r="ABR42" s="21"/>
      <c r="ABS42" s="21"/>
      <c r="ABT42" s="21"/>
      <c r="ABU42" s="21"/>
      <c r="ABV42" s="21"/>
      <c r="ABW42" s="21"/>
      <c r="ABX42" s="21"/>
      <c r="ABY42" s="21"/>
      <c r="ABZ42" s="21"/>
      <c r="ACA42" s="21"/>
      <c r="ACB42" s="21"/>
      <c r="ACC42" s="21"/>
      <c r="ACD42" s="21"/>
      <c r="ACE42" s="21"/>
      <c r="ACF42" s="21"/>
      <c r="ACG42" s="21"/>
      <c r="ACH42" s="21"/>
      <c r="ACI42" s="21"/>
      <c r="ACJ42" s="21"/>
      <c r="ACK42" s="21"/>
      <c r="ACL42" s="21"/>
      <c r="ACM42" s="21"/>
      <c r="ACN42" s="21"/>
      <c r="ACO42" s="21"/>
      <c r="ACP42" s="21"/>
      <c r="ACQ42" s="21"/>
      <c r="ACR42" s="21"/>
      <c r="ACS42" s="21"/>
      <c r="ACT42" s="21"/>
      <c r="ACU42" s="21"/>
      <c r="ACV42" s="21"/>
      <c r="ACW42" s="21"/>
      <c r="ACX42" s="21"/>
      <c r="ACY42" s="21"/>
      <c r="ACZ42" s="21"/>
      <c r="ADA42" s="21"/>
      <c r="ADB42" s="21"/>
      <c r="ADC42" s="21"/>
      <c r="ADD42" s="21"/>
      <c r="ADE42" s="21"/>
      <c r="ADF42" s="21"/>
      <c r="ADG42" s="21"/>
      <c r="ADH42" s="21"/>
      <c r="ADI42" s="21"/>
      <c r="ADJ42" s="21"/>
      <c r="ADK42" s="21"/>
      <c r="ADL42" s="21"/>
      <c r="ADM42" s="21"/>
      <c r="ADN42" s="21"/>
      <c r="ADO42" s="21"/>
      <c r="ADP42" s="21"/>
      <c r="ADQ42" s="21"/>
      <c r="ADR42" s="21"/>
      <c r="ADS42" s="21"/>
      <c r="ADT42" s="21"/>
      <c r="ADU42" s="21"/>
      <c r="ADV42" s="21"/>
      <c r="ADW42" s="21"/>
      <c r="ADX42" s="21"/>
      <c r="ADY42" s="21"/>
      <c r="ADZ42" s="21"/>
      <c r="AEA42" s="21"/>
      <c r="AEB42" s="21"/>
      <c r="AEC42" s="21"/>
      <c r="AED42" s="21"/>
      <c r="AEE42" s="21"/>
      <c r="AEF42" s="21"/>
      <c r="AEG42" s="21"/>
      <c r="AEH42" s="21"/>
      <c r="AEI42" s="21"/>
      <c r="AEJ42" s="21"/>
      <c r="AEK42" s="21"/>
      <c r="AEL42" s="21"/>
      <c r="AEM42" s="21"/>
      <c r="AEN42" s="21"/>
      <c r="AEO42" s="21"/>
      <c r="AEP42" s="21"/>
      <c r="AEQ42" s="21"/>
      <c r="AER42" s="21"/>
      <c r="AES42" s="21"/>
      <c r="AET42" s="21"/>
      <c r="AEU42" s="21"/>
      <c r="AEV42" s="21"/>
      <c r="AEW42" s="21"/>
      <c r="AEX42" s="21"/>
      <c r="AEY42" s="21"/>
      <c r="AEZ42" s="21"/>
      <c r="AFA42" s="21"/>
      <c r="AFB42" s="21"/>
      <c r="AFC42" s="21"/>
      <c r="AFD42" s="21"/>
      <c r="AFE42" s="21"/>
      <c r="AFF42" s="21"/>
      <c r="AFG42" s="21"/>
      <c r="AFH42" s="21"/>
      <c r="AFI42" s="21"/>
      <c r="AFJ42" s="21"/>
      <c r="AFK42" s="21"/>
      <c r="AFL42" s="21"/>
      <c r="AFM42" s="21"/>
      <c r="AFN42" s="21"/>
      <c r="AFO42" s="21"/>
      <c r="AFP42" s="21"/>
      <c r="AFQ42" s="21"/>
      <c r="AFR42" s="21"/>
      <c r="AFS42" s="21"/>
      <c r="AFT42" s="21"/>
      <c r="AFU42" s="21"/>
      <c r="AFV42" s="21"/>
      <c r="AFW42" s="21"/>
      <c r="AFX42" s="21"/>
      <c r="AFY42" s="21"/>
      <c r="AFZ42" s="21"/>
      <c r="AGA42" s="21"/>
      <c r="AGB42" s="21"/>
      <c r="AGC42" s="21"/>
      <c r="AGD42" s="21"/>
      <c r="AGE42" s="21"/>
      <c r="AGF42" s="21"/>
      <c r="AGG42" s="21"/>
      <c r="AGH42" s="21"/>
      <c r="AGI42" s="21"/>
      <c r="AGJ42" s="21"/>
      <c r="AGK42" s="21"/>
      <c r="AGL42" s="21"/>
      <c r="AGM42" s="21"/>
      <c r="AGN42" s="21"/>
      <c r="AGO42" s="21"/>
      <c r="AGP42" s="21"/>
      <c r="AGQ42" s="21"/>
      <c r="AGR42" s="21"/>
      <c r="AGS42" s="21"/>
    </row>
    <row r="43" spans="1:877" ht="15.75" customHeight="1">
      <c r="A43" s="36"/>
      <c r="B43" s="37" t="s">
        <v>31</v>
      </c>
      <c r="C43" s="38"/>
      <c r="D43" s="39"/>
      <c r="E43" s="39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>
        <f>(AQ28+AQ36+AQ44+AQ52)*12</f>
        <v>9480000</v>
      </c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  <c r="EY43" s="40"/>
      <c r="EZ43" s="40"/>
      <c r="FA43" s="40"/>
      <c r="FB43" s="40"/>
      <c r="FC43" s="40"/>
      <c r="FD43" s="40"/>
      <c r="FE43" s="40"/>
      <c r="FF43" s="40"/>
      <c r="FG43" s="40"/>
      <c r="FH43" s="40"/>
      <c r="FI43" s="40"/>
      <c r="FJ43" s="40"/>
      <c r="FK43" s="40"/>
      <c r="FL43" s="40"/>
      <c r="FM43" s="40"/>
      <c r="FN43" s="40"/>
      <c r="FO43" s="40"/>
      <c r="FP43" s="40"/>
      <c r="FQ43" s="40"/>
      <c r="FR43" s="40"/>
      <c r="FS43" s="40"/>
      <c r="FT43" s="40"/>
      <c r="FU43" s="40"/>
      <c r="FV43" s="40"/>
      <c r="FW43" s="40"/>
      <c r="FX43" s="40"/>
      <c r="FY43" s="40"/>
      <c r="FZ43" s="40"/>
      <c r="GA43" s="40"/>
      <c r="GB43" s="40"/>
      <c r="GC43" s="40"/>
      <c r="GD43" s="40"/>
      <c r="GE43" s="40"/>
      <c r="GF43" s="40"/>
      <c r="GG43" s="40"/>
      <c r="GH43" s="40"/>
      <c r="GI43" s="40"/>
      <c r="GJ43" s="40"/>
      <c r="GK43" s="40"/>
      <c r="GL43" s="40"/>
      <c r="GM43" s="40"/>
      <c r="GN43" s="40"/>
      <c r="GO43" s="40"/>
      <c r="GP43" s="40"/>
      <c r="GQ43" s="40"/>
      <c r="GR43" s="40"/>
      <c r="GS43" s="40"/>
      <c r="GT43" s="40"/>
      <c r="GU43" s="40"/>
      <c r="GV43" s="40"/>
      <c r="GW43" s="40"/>
      <c r="GX43" s="40"/>
      <c r="GY43" s="40"/>
      <c r="GZ43" s="40"/>
      <c r="HA43" s="40"/>
      <c r="HB43" s="40"/>
      <c r="HC43" s="40"/>
      <c r="HD43" s="40"/>
      <c r="HE43" s="40"/>
      <c r="HF43" s="40"/>
      <c r="HG43" s="40"/>
      <c r="HH43" s="40"/>
      <c r="HI43" s="40"/>
      <c r="HJ43" s="40"/>
      <c r="HK43" s="40"/>
      <c r="HL43" s="40"/>
      <c r="HM43" s="40"/>
      <c r="HN43" s="40"/>
      <c r="HO43" s="40"/>
      <c r="HP43" s="40"/>
      <c r="HQ43" s="40"/>
      <c r="HR43" s="40"/>
      <c r="HS43" s="40"/>
      <c r="HT43" s="40"/>
      <c r="HU43" s="40"/>
      <c r="HV43" s="40"/>
      <c r="HW43" s="40"/>
      <c r="HX43" s="40"/>
      <c r="HY43" s="40"/>
      <c r="HZ43" s="40"/>
      <c r="IA43" s="40"/>
      <c r="IB43" s="40"/>
      <c r="IC43" s="40"/>
      <c r="ID43" s="40"/>
      <c r="IE43" s="40"/>
      <c r="IF43" s="40"/>
      <c r="IG43" s="40"/>
      <c r="IH43" s="40"/>
      <c r="II43" s="40"/>
      <c r="IJ43" s="40"/>
      <c r="IK43" s="40"/>
      <c r="IL43" s="40"/>
      <c r="IM43" s="40"/>
      <c r="IN43" s="40"/>
      <c r="IO43" s="40"/>
      <c r="IP43" s="40"/>
      <c r="IQ43" s="40"/>
      <c r="IR43" s="40"/>
      <c r="IS43" s="40"/>
      <c r="IT43" s="40"/>
      <c r="IU43" s="40"/>
      <c r="IV43" s="40"/>
      <c r="IW43" s="40"/>
      <c r="IX43" s="40"/>
      <c r="IY43" s="40"/>
      <c r="IZ43" s="40"/>
      <c r="JA43" s="40"/>
      <c r="JB43" s="40"/>
      <c r="JC43" s="40"/>
      <c r="JD43" s="40"/>
      <c r="JE43" s="40"/>
      <c r="JF43" s="40"/>
      <c r="JG43" s="40"/>
      <c r="JH43" s="40"/>
      <c r="JI43" s="40"/>
      <c r="JJ43" s="40"/>
      <c r="JK43" s="40"/>
      <c r="JL43" s="40"/>
      <c r="JM43" s="40"/>
      <c r="JN43" s="40"/>
      <c r="JO43" s="40"/>
      <c r="JP43" s="40"/>
      <c r="JQ43" s="40"/>
      <c r="JR43" s="40"/>
      <c r="JS43" s="40"/>
      <c r="JT43" s="40"/>
      <c r="JU43" s="40"/>
      <c r="JV43" s="40"/>
      <c r="JW43" s="40"/>
      <c r="JX43" s="40"/>
      <c r="JY43" s="40"/>
      <c r="JZ43" s="40"/>
      <c r="KA43" s="40"/>
      <c r="KB43" s="40"/>
      <c r="KC43" s="40"/>
      <c r="KD43" s="40"/>
      <c r="KE43" s="40"/>
      <c r="KF43" s="40"/>
      <c r="KG43" s="40"/>
      <c r="KH43" s="40"/>
      <c r="KI43" s="40"/>
      <c r="KJ43" s="40"/>
      <c r="KK43" s="40"/>
      <c r="KL43" s="40"/>
      <c r="KM43" s="40"/>
      <c r="KN43" s="40"/>
      <c r="KO43" s="40"/>
      <c r="KP43" s="40"/>
      <c r="KQ43" s="40"/>
      <c r="KR43" s="40"/>
      <c r="KS43" s="40"/>
      <c r="KT43" s="40"/>
      <c r="KU43" s="40"/>
      <c r="KV43" s="40"/>
      <c r="KW43" s="40"/>
      <c r="KX43" s="40"/>
      <c r="KY43" s="40"/>
      <c r="KZ43" s="40"/>
      <c r="LA43" s="40"/>
      <c r="LB43" s="40"/>
      <c r="LC43" s="40"/>
      <c r="LD43" s="40"/>
      <c r="LE43" s="40"/>
      <c r="LF43" s="40"/>
      <c r="LG43" s="40"/>
      <c r="LH43" s="40"/>
      <c r="LI43" s="40"/>
      <c r="LJ43" s="40"/>
      <c r="LK43" s="40"/>
      <c r="LL43" s="40"/>
      <c r="LM43" s="40"/>
      <c r="LN43" s="40"/>
      <c r="LO43" s="40"/>
      <c r="LP43" s="40"/>
      <c r="LQ43" s="40"/>
      <c r="LR43" s="40"/>
      <c r="LS43" s="40"/>
      <c r="LT43" s="40"/>
      <c r="LU43" s="40"/>
      <c r="LV43" s="40"/>
      <c r="LW43" s="40"/>
      <c r="LX43" s="40"/>
      <c r="LY43" s="40"/>
      <c r="LZ43" s="40"/>
      <c r="MA43" s="40"/>
      <c r="MB43" s="40"/>
      <c r="MC43" s="40"/>
      <c r="MD43" s="40"/>
      <c r="ME43" s="40"/>
      <c r="MF43" s="40"/>
      <c r="MG43" s="40"/>
      <c r="MH43" s="40"/>
      <c r="MI43" s="40"/>
      <c r="MJ43" s="40"/>
      <c r="MK43" s="40"/>
      <c r="ML43" s="40"/>
      <c r="MM43" s="40"/>
      <c r="MN43" s="40"/>
      <c r="MO43" s="40"/>
      <c r="MP43" s="40"/>
      <c r="MQ43" s="40"/>
      <c r="MR43" s="40"/>
      <c r="MS43" s="40"/>
      <c r="MT43" s="40"/>
      <c r="MU43" s="40"/>
      <c r="MV43" s="40"/>
      <c r="MW43" s="40"/>
      <c r="MX43" s="40"/>
      <c r="MY43" s="40"/>
      <c r="MZ43" s="40"/>
      <c r="NA43" s="40"/>
      <c r="NB43" s="40"/>
      <c r="NC43" s="40"/>
      <c r="ND43" s="40"/>
      <c r="NE43" s="40"/>
      <c r="NF43" s="40"/>
      <c r="NG43" s="40"/>
      <c r="NH43" s="40"/>
      <c r="NI43" s="40"/>
      <c r="NJ43" s="40"/>
      <c r="NK43" s="40"/>
      <c r="NL43" s="40"/>
      <c r="NM43" s="40"/>
      <c r="NN43" s="40"/>
      <c r="NO43" s="40"/>
      <c r="NP43" s="40"/>
      <c r="NQ43" s="40"/>
      <c r="NR43" s="40"/>
      <c r="NS43" s="40"/>
      <c r="NT43" s="40"/>
      <c r="NU43" s="40"/>
      <c r="NV43" s="40"/>
      <c r="NW43" s="40"/>
      <c r="NX43" s="40"/>
      <c r="NY43" s="40"/>
      <c r="NZ43" s="40"/>
      <c r="OA43" s="40"/>
      <c r="OB43" s="40"/>
      <c r="OC43" s="40"/>
      <c r="OD43" s="40"/>
      <c r="OE43" s="40"/>
      <c r="OF43" s="40"/>
      <c r="OG43" s="40"/>
      <c r="OH43" s="40"/>
      <c r="OI43" s="40"/>
      <c r="OJ43" s="40"/>
      <c r="OK43" s="40"/>
      <c r="OL43" s="40"/>
      <c r="OM43" s="40"/>
      <c r="ON43" s="40"/>
      <c r="OO43" s="40"/>
      <c r="OP43" s="40"/>
      <c r="OQ43" s="40"/>
      <c r="OR43" s="40"/>
      <c r="OS43" s="40"/>
      <c r="OT43" s="40"/>
      <c r="OU43" s="40"/>
      <c r="OV43" s="40"/>
      <c r="OW43" s="40"/>
      <c r="OX43" s="40"/>
      <c r="OY43" s="40"/>
      <c r="OZ43" s="40"/>
      <c r="PA43" s="40"/>
      <c r="PB43" s="40"/>
      <c r="PC43" s="40"/>
      <c r="PD43" s="40"/>
      <c r="PE43" s="40"/>
      <c r="PF43" s="40"/>
      <c r="PG43" s="40"/>
      <c r="PH43" s="40"/>
      <c r="PI43" s="40"/>
      <c r="PJ43" s="40"/>
      <c r="PK43" s="40"/>
      <c r="PL43" s="40"/>
      <c r="PM43" s="40"/>
      <c r="PN43" s="40"/>
      <c r="PO43" s="40"/>
      <c r="PP43" s="40"/>
      <c r="PQ43" s="40"/>
      <c r="PR43" s="40"/>
      <c r="PS43" s="40"/>
      <c r="PT43" s="40"/>
      <c r="PU43" s="40"/>
      <c r="PV43" s="40"/>
      <c r="PW43" s="40"/>
      <c r="PX43" s="40"/>
      <c r="PY43" s="40"/>
      <c r="PZ43" s="40"/>
      <c r="QA43" s="40"/>
      <c r="QB43" s="40"/>
      <c r="QC43" s="40"/>
      <c r="QD43" s="40"/>
      <c r="QE43" s="40"/>
      <c r="QF43" s="40"/>
      <c r="QG43" s="40"/>
      <c r="QH43" s="40"/>
      <c r="QI43" s="40"/>
      <c r="QJ43" s="40"/>
      <c r="QK43" s="40"/>
      <c r="QL43" s="40"/>
      <c r="QM43" s="40"/>
      <c r="QN43" s="40"/>
      <c r="QO43" s="40"/>
      <c r="QP43" s="40"/>
      <c r="QQ43" s="40"/>
      <c r="QR43" s="40"/>
      <c r="QS43" s="40"/>
      <c r="QT43" s="40"/>
      <c r="QU43" s="40"/>
      <c r="QV43" s="40"/>
      <c r="QW43" s="40"/>
      <c r="QX43" s="40"/>
      <c r="QY43" s="40"/>
      <c r="QZ43" s="40"/>
      <c r="RA43" s="40"/>
      <c r="RB43" s="40"/>
      <c r="RC43" s="40"/>
      <c r="RD43" s="40"/>
      <c r="RE43" s="40"/>
      <c r="RF43" s="40"/>
      <c r="RG43" s="40"/>
      <c r="RH43" s="40"/>
      <c r="RI43" s="40"/>
      <c r="RJ43" s="40"/>
      <c r="RK43" s="40"/>
      <c r="RL43" s="40"/>
      <c r="RM43" s="40"/>
      <c r="RN43" s="40"/>
      <c r="RO43" s="40"/>
      <c r="RP43" s="40"/>
      <c r="RQ43" s="40"/>
      <c r="RR43" s="40"/>
      <c r="RS43" s="40"/>
      <c r="RT43" s="40"/>
      <c r="RU43" s="40"/>
      <c r="RV43" s="40"/>
      <c r="RW43" s="40"/>
      <c r="RX43" s="40"/>
      <c r="RY43" s="40"/>
      <c r="RZ43" s="40"/>
      <c r="SA43" s="40"/>
      <c r="SB43" s="40"/>
      <c r="SC43" s="40"/>
      <c r="SD43" s="40"/>
      <c r="SE43" s="40"/>
      <c r="SF43" s="40"/>
      <c r="SG43" s="40"/>
      <c r="SH43" s="40"/>
      <c r="SI43" s="40"/>
      <c r="SJ43" s="40"/>
      <c r="SK43" s="40"/>
      <c r="SL43" s="40"/>
      <c r="SM43" s="40"/>
      <c r="SN43" s="40"/>
      <c r="SO43" s="40"/>
      <c r="SP43" s="40"/>
      <c r="SQ43" s="40"/>
      <c r="SR43" s="40"/>
      <c r="SS43" s="40"/>
      <c r="ST43" s="40"/>
      <c r="SU43" s="40"/>
      <c r="SV43" s="40"/>
      <c r="SW43" s="40"/>
      <c r="SX43" s="40"/>
      <c r="SY43" s="40"/>
      <c r="SZ43" s="40"/>
      <c r="TA43" s="40"/>
      <c r="TB43" s="40"/>
      <c r="TC43" s="40"/>
      <c r="TD43" s="40"/>
      <c r="TE43" s="40"/>
      <c r="TF43" s="40"/>
      <c r="TG43" s="40"/>
      <c r="TH43" s="40"/>
      <c r="TI43" s="40"/>
      <c r="TJ43" s="40"/>
      <c r="TK43" s="40"/>
      <c r="TL43" s="40"/>
      <c r="TM43" s="40"/>
      <c r="TN43" s="40"/>
      <c r="TO43" s="40"/>
      <c r="TP43" s="40"/>
      <c r="TQ43" s="40"/>
      <c r="TR43" s="40"/>
      <c r="TS43" s="40"/>
      <c r="TT43" s="40"/>
      <c r="TU43" s="40"/>
      <c r="TV43" s="40"/>
      <c r="TW43" s="40"/>
      <c r="TX43" s="40"/>
      <c r="TY43" s="40"/>
      <c r="TZ43" s="40"/>
      <c r="UA43" s="40"/>
      <c r="UB43" s="40"/>
      <c r="UC43" s="40"/>
      <c r="UD43" s="40"/>
      <c r="UE43" s="40"/>
      <c r="UF43" s="40"/>
      <c r="UG43" s="40"/>
      <c r="UH43" s="40"/>
      <c r="UI43" s="40"/>
      <c r="UJ43" s="40"/>
      <c r="UK43" s="40"/>
      <c r="UL43" s="40"/>
      <c r="UM43" s="40"/>
      <c r="UN43" s="40"/>
      <c r="UO43" s="40"/>
      <c r="UP43" s="40"/>
      <c r="UQ43" s="40"/>
      <c r="UR43" s="40"/>
      <c r="US43" s="40"/>
      <c r="UT43" s="40"/>
      <c r="UU43" s="40"/>
      <c r="UV43" s="40"/>
      <c r="UW43" s="40"/>
      <c r="UX43" s="40"/>
      <c r="UY43" s="40"/>
      <c r="UZ43" s="40"/>
      <c r="VA43" s="40"/>
      <c r="VB43" s="40"/>
      <c r="VC43" s="40"/>
      <c r="VD43" s="40"/>
      <c r="VE43" s="40"/>
      <c r="VF43" s="40"/>
      <c r="VG43" s="40"/>
      <c r="VH43" s="40"/>
      <c r="VI43" s="40"/>
      <c r="VJ43" s="40"/>
      <c r="VK43" s="40"/>
      <c r="VL43" s="40"/>
      <c r="VM43" s="40"/>
      <c r="VN43" s="40"/>
      <c r="VO43" s="40"/>
      <c r="VP43" s="40"/>
      <c r="VQ43" s="40"/>
      <c r="VR43" s="40"/>
      <c r="VS43" s="40"/>
      <c r="VT43" s="40"/>
      <c r="VU43" s="40"/>
      <c r="VV43" s="40"/>
      <c r="VW43" s="40"/>
      <c r="VX43" s="40"/>
      <c r="VY43" s="40"/>
      <c r="VZ43" s="40"/>
      <c r="WA43" s="40"/>
      <c r="WB43" s="40"/>
      <c r="WC43" s="40"/>
      <c r="WD43" s="40"/>
      <c r="WE43" s="40"/>
      <c r="WF43" s="40"/>
      <c r="WG43" s="40"/>
      <c r="WH43" s="40"/>
      <c r="WI43" s="40"/>
      <c r="WJ43" s="40"/>
      <c r="WK43" s="40"/>
      <c r="WL43" s="40"/>
      <c r="WM43" s="40"/>
      <c r="WN43" s="40"/>
      <c r="WO43" s="40"/>
      <c r="WP43" s="40"/>
      <c r="WQ43" s="40"/>
      <c r="WR43" s="40"/>
      <c r="WS43" s="40"/>
      <c r="WT43" s="40"/>
      <c r="WU43" s="40"/>
      <c r="WV43" s="40"/>
      <c r="WW43" s="40"/>
      <c r="WX43" s="40"/>
      <c r="WY43" s="40"/>
      <c r="WZ43" s="40"/>
      <c r="XA43" s="40"/>
      <c r="XB43" s="40"/>
      <c r="XC43" s="40"/>
      <c r="XD43" s="40"/>
      <c r="XE43" s="40"/>
      <c r="XF43" s="40"/>
      <c r="XG43" s="40"/>
      <c r="XH43" s="40"/>
      <c r="XI43" s="40"/>
      <c r="XJ43" s="40"/>
      <c r="XK43" s="40"/>
      <c r="XL43" s="40"/>
      <c r="XM43" s="40"/>
      <c r="XN43" s="40"/>
      <c r="XO43" s="40"/>
      <c r="XP43" s="40"/>
      <c r="XQ43" s="40"/>
      <c r="XR43" s="40"/>
      <c r="XS43" s="40"/>
      <c r="XT43" s="40"/>
      <c r="XU43" s="40"/>
      <c r="XV43" s="40"/>
      <c r="XW43" s="40"/>
      <c r="XX43" s="40"/>
      <c r="XY43" s="40"/>
      <c r="XZ43" s="40"/>
      <c r="YA43" s="40"/>
      <c r="YB43" s="40"/>
      <c r="YC43" s="40"/>
      <c r="YD43" s="40"/>
      <c r="YE43" s="40"/>
      <c r="YF43" s="40"/>
      <c r="YG43" s="40"/>
      <c r="YH43" s="40"/>
      <c r="YI43" s="40"/>
      <c r="YJ43" s="40"/>
      <c r="YK43" s="40"/>
      <c r="YL43" s="40"/>
      <c r="YM43" s="40"/>
      <c r="YN43" s="40"/>
      <c r="YO43" s="40"/>
      <c r="YP43" s="40"/>
      <c r="YQ43" s="40"/>
      <c r="YR43" s="40"/>
      <c r="YS43" s="40"/>
      <c r="YT43" s="40"/>
      <c r="YU43" s="40"/>
      <c r="YV43" s="40"/>
      <c r="YW43" s="40"/>
      <c r="YX43" s="40"/>
      <c r="YY43" s="40"/>
      <c r="YZ43" s="40"/>
      <c r="ZA43" s="40"/>
      <c r="ZB43" s="40"/>
      <c r="ZC43" s="40"/>
      <c r="ZD43" s="40"/>
      <c r="ZE43" s="40"/>
      <c r="ZF43" s="40"/>
      <c r="ZG43" s="40"/>
      <c r="ZH43" s="40"/>
      <c r="ZI43" s="40"/>
      <c r="ZJ43" s="40"/>
      <c r="ZK43" s="40"/>
      <c r="ZL43" s="40"/>
      <c r="ZM43" s="40"/>
      <c r="ZN43" s="40"/>
      <c r="ZO43" s="40"/>
      <c r="ZP43" s="40"/>
      <c r="ZQ43" s="40"/>
      <c r="ZR43" s="40"/>
      <c r="ZS43" s="40"/>
      <c r="ZT43" s="40"/>
      <c r="ZU43" s="40"/>
      <c r="ZV43" s="40"/>
      <c r="ZW43" s="40"/>
      <c r="ZX43" s="40"/>
      <c r="ZY43" s="40"/>
      <c r="ZZ43" s="40"/>
      <c r="AAA43" s="40"/>
      <c r="AAB43" s="40"/>
      <c r="AAC43" s="40"/>
      <c r="AAD43" s="40"/>
      <c r="AAE43" s="40"/>
      <c r="AAF43" s="40"/>
      <c r="AAG43" s="40"/>
      <c r="AAH43" s="40"/>
      <c r="AAI43" s="40"/>
      <c r="AAJ43" s="40"/>
      <c r="AAK43" s="40"/>
      <c r="AAL43" s="40"/>
      <c r="AAM43" s="40"/>
      <c r="AAN43" s="40"/>
      <c r="AAO43" s="40"/>
      <c r="AAP43" s="40"/>
      <c r="AAQ43" s="40"/>
      <c r="AAR43" s="40"/>
      <c r="AAS43" s="40"/>
      <c r="AAT43" s="40"/>
      <c r="AAU43" s="40"/>
      <c r="AAV43" s="40"/>
      <c r="AAW43" s="40"/>
      <c r="AAX43" s="40"/>
      <c r="AAY43" s="40"/>
      <c r="AAZ43" s="40"/>
      <c r="ABA43" s="40"/>
      <c r="ABB43" s="40"/>
      <c r="ABC43" s="40"/>
      <c r="ABD43" s="40"/>
      <c r="ABE43" s="40"/>
      <c r="ABF43" s="40"/>
      <c r="ABG43" s="40"/>
      <c r="ABH43" s="40"/>
      <c r="ABI43" s="40"/>
      <c r="ABJ43" s="40"/>
      <c r="ABK43" s="40"/>
      <c r="ABL43" s="40"/>
      <c r="ABM43" s="40"/>
      <c r="ABN43" s="40"/>
      <c r="ABO43" s="40"/>
      <c r="ABP43" s="40"/>
      <c r="ABQ43" s="40"/>
      <c r="ABR43" s="40"/>
      <c r="ABS43" s="40"/>
      <c r="ABT43" s="40"/>
      <c r="ABU43" s="40"/>
      <c r="ABV43" s="40"/>
      <c r="ABW43" s="40"/>
      <c r="ABX43" s="40"/>
      <c r="ABY43" s="40"/>
      <c r="ABZ43" s="40"/>
      <c r="ACA43" s="40"/>
      <c r="ACB43" s="40"/>
      <c r="ACC43" s="40"/>
      <c r="ACD43" s="40"/>
      <c r="ACE43" s="40"/>
      <c r="ACF43" s="40"/>
      <c r="ACG43" s="40"/>
      <c r="ACH43" s="40"/>
      <c r="ACI43" s="40"/>
      <c r="ACJ43" s="40"/>
      <c r="ACK43" s="40"/>
      <c r="ACL43" s="40"/>
      <c r="ACM43" s="40"/>
      <c r="ACN43" s="40"/>
      <c r="ACO43" s="40"/>
      <c r="ACP43" s="40"/>
      <c r="ACQ43" s="40"/>
      <c r="ACR43" s="40"/>
      <c r="ACS43" s="40"/>
      <c r="ACT43" s="40"/>
      <c r="ACU43" s="40"/>
      <c r="ACV43" s="40"/>
      <c r="ACW43" s="40"/>
      <c r="ACX43" s="40"/>
      <c r="ACY43" s="40"/>
      <c r="ACZ43" s="40"/>
      <c r="ADA43" s="40"/>
      <c r="ADB43" s="40"/>
      <c r="ADC43" s="40"/>
      <c r="ADD43" s="40"/>
      <c r="ADE43" s="40"/>
      <c r="ADF43" s="40"/>
      <c r="ADG43" s="40"/>
      <c r="ADH43" s="40"/>
      <c r="ADI43" s="40"/>
      <c r="ADJ43" s="40"/>
      <c r="ADK43" s="40"/>
      <c r="ADL43" s="40"/>
      <c r="ADM43" s="40"/>
      <c r="ADN43" s="40"/>
      <c r="ADO43" s="40"/>
      <c r="ADP43" s="40"/>
      <c r="ADQ43" s="40"/>
      <c r="ADR43" s="40"/>
      <c r="ADS43" s="40"/>
      <c r="ADT43" s="40"/>
      <c r="ADU43" s="40"/>
      <c r="ADV43" s="40"/>
      <c r="ADW43" s="40"/>
      <c r="ADX43" s="40"/>
      <c r="ADY43" s="40"/>
      <c r="ADZ43" s="40"/>
      <c r="AEA43" s="40"/>
      <c r="AEB43" s="40"/>
      <c r="AEC43" s="40"/>
      <c r="AED43" s="40"/>
      <c r="AEE43" s="40"/>
      <c r="AEF43" s="40"/>
      <c r="AEG43" s="40"/>
      <c r="AEH43" s="40"/>
      <c r="AEI43" s="40"/>
      <c r="AEJ43" s="40"/>
      <c r="AEK43" s="40"/>
      <c r="AEL43" s="40"/>
      <c r="AEM43" s="40"/>
      <c r="AEN43" s="40"/>
      <c r="AEO43" s="40"/>
      <c r="AEP43" s="40"/>
      <c r="AEQ43" s="40"/>
      <c r="AER43" s="40"/>
      <c r="AES43" s="40"/>
      <c r="AET43" s="40"/>
      <c r="AEU43" s="40"/>
      <c r="AEV43" s="40"/>
      <c r="AEW43" s="40"/>
      <c r="AEX43" s="40"/>
      <c r="AEY43" s="40"/>
      <c r="AEZ43" s="40"/>
      <c r="AFA43" s="40"/>
      <c r="AFB43" s="40"/>
      <c r="AFC43" s="40"/>
      <c r="AFD43" s="40"/>
      <c r="AFE43" s="40"/>
      <c r="AFF43" s="40"/>
      <c r="AFG43" s="40"/>
      <c r="AFH43" s="40"/>
      <c r="AFI43" s="40"/>
      <c r="AFJ43" s="40"/>
      <c r="AFK43" s="40"/>
      <c r="AFL43" s="40"/>
      <c r="AFM43" s="40"/>
      <c r="AFN43" s="40"/>
      <c r="AFO43" s="40"/>
      <c r="AFP43" s="40"/>
      <c r="AFQ43" s="40"/>
      <c r="AFR43" s="40"/>
      <c r="AFS43" s="40"/>
      <c r="AFT43" s="40"/>
      <c r="AFU43" s="40"/>
      <c r="AFV43" s="40"/>
      <c r="AFW43" s="40"/>
      <c r="AFX43" s="40"/>
      <c r="AFY43" s="40"/>
      <c r="AFZ43" s="40"/>
      <c r="AGA43" s="40"/>
      <c r="AGB43" s="40"/>
      <c r="AGC43" s="40"/>
      <c r="AGD43" s="40"/>
      <c r="AGE43" s="40"/>
      <c r="AGF43" s="40"/>
      <c r="AGG43" s="40"/>
      <c r="AGH43" s="40"/>
      <c r="AGI43" s="40"/>
      <c r="AGJ43" s="40"/>
      <c r="AGK43" s="40"/>
      <c r="AGL43" s="40"/>
      <c r="AGM43" s="40"/>
      <c r="AGN43" s="40"/>
      <c r="AGO43" s="40"/>
      <c r="AGP43" s="40"/>
      <c r="AGQ43" s="40"/>
      <c r="AGR43" s="40"/>
      <c r="AGS43" s="40"/>
    </row>
    <row r="44" spans="1:877" ht="13">
      <c r="A44" s="41"/>
      <c r="B44" s="42" t="s">
        <v>21</v>
      </c>
      <c r="C44" s="43" t="s">
        <v>22</v>
      </c>
      <c r="D44" s="40"/>
      <c r="E44" s="40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>
        <f>'Project Overview'!$C$12/12</f>
        <v>270000</v>
      </c>
      <c r="AR44" s="28">
        <f>'Project Overview'!$C$12/12</f>
        <v>270000</v>
      </c>
      <c r="AS44" s="28">
        <f>'Project Overview'!$C$12/12</f>
        <v>270000</v>
      </c>
      <c r="AT44" s="28">
        <f>'Project Overview'!$C$12/12</f>
        <v>270000</v>
      </c>
      <c r="AU44" s="28">
        <f>'Project Overview'!$C$12/12</f>
        <v>270000</v>
      </c>
      <c r="AV44" s="28">
        <f>'Project Overview'!$C$12/12</f>
        <v>270000</v>
      </c>
      <c r="AW44" s="28">
        <f>'Project Overview'!$C$12/12</f>
        <v>270000</v>
      </c>
      <c r="AX44" s="28">
        <f>'Project Overview'!$C$12/12</f>
        <v>270000</v>
      </c>
      <c r="AY44" s="28">
        <f>'Project Overview'!$C$12/12</f>
        <v>270000</v>
      </c>
      <c r="AZ44" s="28">
        <f>'Project Overview'!$C$12/12</f>
        <v>270000</v>
      </c>
      <c r="BA44" s="28">
        <f>'Project Overview'!$C$12/12</f>
        <v>270000</v>
      </c>
      <c r="BB44" s="28">
        <f>'Project Overview'!$C$12/12</f>
        <v>270000</v>
      </c>
      <c r="BC44" s="28">
        <f>'Project Overview'!$D$12/12</f>
        <v>125000</v>
      </c>
      <c r="BD44" s="28">
        <f>'Project Overview'!$D$12/12</f>
        <v>125000</v>
      </c>
      <c r="BE44" s="28">
        <f>'Project Overview'!$D$12/12</f>
        <v>125000</v>
      </c>
      <c r="BF44" s="28">
        <f>'Project Overview'!$D$12/12</f>
        <v>125000</v>
      </c>
      <c r="BG44" s="28">
        <f>'Project Overview'!$D$12/12</f>
        <v>125000</v>
      </c>
      <c r="BH44" s="28">
        <f>'Project Overview'!$D$12/12</f>
        <v>125000</v>
      </c>
      <c r="BI44" s="28">
        <f>'Project Overview'!$D$12/12</f>
        <v>125000</v>
      </c>
      <c r="BJ44" s="28">
        <f>'Project Overview'!$D$12/12</f>
        <v>125000</v>
      </c>
      <c r="BK44" s="28">
        <f>'Project Overview'!$D$12/12</f>
        <v>125000</v>
      </c>
      <c r="BL44" s="28">
        <f>'Project Overview'!$D$12/12</f>
        <v>125000</v>
      </c>
      <c r="BM44" s="28">
        <f>'Project Overview'!$D$12/12</f>
        <v>125000</v>
      </c>
      <c r="BN44" s="28">
        <f>'Project Overview'!$D$12/12</f>
        <v>125000</v>
      </c>
      <c r="BO44" s="28">
        <f>'Project Overview'!$E$12/12</f>
        <v>0</v>
      </c>
      <c r="BP44" s="28">
        <f>'Project Overview'!$E$12/12</f>
        <v>0</v>
      </c>
      <c r="BQ44" s="28">
        <f>'Project Overview'!$E$12/12</f>
        <v>0</v>
      </c>
      <c r="BR44" s="28">
        <f>'Project Overview'!$E$12/12</f>
        <v>0</v>
      </c>
      <c r="BS44" s="28">
        <f>'Project Overview'!$E$12/12</f>
        <v>0</v>
      </c>
      <c r="BT44" s="28">
        <f>'Project Overview'!$E$12/12</f>
        <v>0</v>
      </c>
      <c r="BU44" s="28">
        <f>'Project Overview'!$E$12/12</f>
        <v>0</v>
      </c>
      <c r="BV44" s="28">
        <f>'Project Overview'!$E$12/12</f>
        <v>0</v>
      </c>
      <c r="BW44" s="28">
        <f>'Project Overview'!$E$12/12</f>
        <v>0</v>
      </c>
      <c r="BX44" s="28">
        <f>'Project Overview'!$E$12/12</f>
        <v>0</v>
      </c>
      <c r="BY44" s="28">
        <f>'Project Overview'!$E$12/12</f>
        <v>0</v>
      </c>
      <c r="BZ44" s="28">
        <f>'Project Overview'!$E$12/12</f>
        <v>0</v>
      </c>
      <c r="CA44" s="28">
        <f>'Project Overview'!$G$12/12</f>
        <v>0</v>
      </c>
      <c r="CB44" s="28">
        <f>'Project Overview'!$G$12/12</f>
        <v>0</v>
      </c>
      <c r="CC44" s="28">
        <f>'Project Overview'!$G$12/12</f>
        <v>0</v>
      </c>
      <c r="CD44" s="28">
        <f>'Project Overview'!$G$12/12</f>
        <v>0</v>
      </c>
      <c r="CE44" s="28">
        <f>'Project Overview'!$G$12/12</f>
        <v>0</v>
      </c>
      <c r="CF44" s="28">
        <f>'Project Overview'!$G$12/12</f>
        <v>0</v>
      </c>
      <c r="CG44" s="28">
        <f>'Project Overview'!$G$12/12</f>
        <v>0</v>
      </c>
      <c r="CH44" s="28">
        <f>'Project Overview'!$G$12/12</f>
        <v>0</v>
      </c>
      <c r="CI44" s="28">
        <f>'Project Overview'!$G$12/12</f>
        <v>0</v>
      </c>
      <c r="CJ44" s="28">
        <f>'Project Overview'!$G$12/12</f>
        <v>0</v>
      </c>
      <c r="CK44" s="28">
        <f>'Project Overview'!$G$12/12</f>
        <v>0</v>
      </c>
      <c r="CL44" s="28">
        <f>'Project Overview'!$G$12/12</f>
        <v>0</v>
      </c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  <c r="EY44" s="40"/>
      <c r="EZ44" s="40"/>
      <c r="FA44" s="40"/>
      <c r="FB44" s="40"/>
      <c r="FC44" s="40"/>
      <c r="FD44" s="40"/>
      <c r="FE44" s="40"/>
      <c r="FF44" s="40"/>
      <c r="FG44" s="40"/>
      <c r="FH44" s="40"/>
      <c r="FI44" s="40"/>
      <c r="FJ44" s="40"/>
      <c r="FK44" s="40"/>
      <c r="FL44" s="40"/>
      <c r="FM44" s="40"/>
      <c r="FN44" s="40"/>
      <c r="FO44" s="40"/>
      <c r="FP44" s="40"/>
      <c r="FQ44" s="40"/>
      <c r="FR44" s="40"/>
      <c r="FS44" s="40"/>
      <c r="FT44" s="40"/>
      <c r="FU44" s="40"/>
      <c r="FV44" s="40"/>
      <c r="FW44" s="40"/>
      <c r="FX44" s="40"/>
      <c r="FY44" s="40"/>
      <c r="FZ44" s="40"/>
      <c r="GA44" s="40"/>
      <c r="GB44" s="40"/>
      <c r="GC44" s="40"/>
      <c r="GD44" s="40"/>
      <c r="GE44" s="40"/>
      <c r="GF44" s="40"/>
      <c r="GG44" s="40"/>
      <c r="GH44" s="40"/>
      <c r="GI44" s="40"/>
      <c r="GJ44" s="40"/>
      <c r="GK44" s="40"/>
      <c r="GL44" s="40"/>
      <c r="GM44" s="40"/>
      <c r="GN44" s="40"/>
      <c r="GO44" s="40"/>
      <c r="GP44" s="40"/>
      <c r="GQ44" s="40"/>
      <c r="GR44" s="40"/>
      <c r="GS44" s="40"/>
      <c r="GT44" s="40"/>
      <c r="GU44" s="40"/>
      <c r="GV44" s="40"/>
      <c r="GW44" s="40"/>
      <c r="GX44" s="40"/>
      <c r="GY44" s="40"/>
      <c r="GZ44" s="40"/>
      <c r="HA44" s="40"/>
      <c r="HB44" s="40"/>
      <c r="HC44" s="40"/>
      <c r="HD44" s="40"/>
      <c r="HE44" s="40"/>
      <c r="HF44" s="40"/>
      <c r="HG44" s="40"/>
      <c r="HH44" s="40"/>
      <c r="HI44" s="40"/>
      <c r="HJ44" s="40"/>
      <c r="HK44" s="40"/>
      <c r="HL44" s="40"/>
      <c r="HM44" s="40"/>
      <c r="HN44" s="40"/>
      <c r="HO44" s="40"/>
      <c r="HP44" s="40"/>
      <c r="HQ44" s="40"/>
      <c r="HR44" s="40"/>
      <c r="HS44" s="40"/>
      <c r="HT44" s="40"/>
      <c r="HU44" s="40"/>
      <c r="HV44" s="40"/>
      <c r="HW44" s="40"/>
      <c r="HX44" s="40"/>
      <c r="HY44" s="40"/>
      <c r="HZ44" s="40"/>
      <c r="IA44" s="40"/>
      <c r="IB44" s="40"/>
      <c r="IC44" s="40"/>
      <c r="ID44" s="40"/>
      <c r="IE44" s="40"/>
      <c r="IF44" s="40"/>
      <c r="IG44" s="40"/>
      <c r="IH44" s="40"/>
      <c r="II44" s="40"/>
      <c r="IJ44" s="40"/>
      <c r="IK44" s="40"/>
      <c r="IL44" s="40"/>
      <c r="IM44" s="40"/>
      <c r="IN44" s="40"/>
      <c r="IO44" s="40"/>
      <c r="IP44" s="40"/>
      <c r="IQ44" s="40"/>
      <c r="IR44" s="40"/>
      <c r="IS44" s="40"/>
      <c r="IT44" s="40"/>
      <c r="IU44" s="40"/>
      <c r="IV44" s="40"/>
      <c r="IW44" s="40"/>
      <c r="IX44" s="40"/>
      <c r="IY44" s="40"/>
      <c r="IZ44" s="40"/>
      <c r="JA44" s="40"/>
      <c r="JB44" s="40"/>
      <c r="JC44" s="40"/>
      <c r="JD44" s="40"/>
      <c r="JE44" s="40"/>
      <c r="JF44" s="40"/>
      <c r="JG44" s="40"/>
      <c r="JH44" s="40"/>
      <c r="JI44" s="40"/>
      <c r="JJ44" s="40"/>
      <c r="JK44" s="40"/>
      <c r="JL44" s="40"/>
      <c r="JM44" s="40"/>
      <c r="JN44" s="40"/>
      <c r="JO44" s="40"/>
      <c r="JP44" s="40"/>
      <c r="JQ44" s="40"/>
      <c r="JR44" s="40"/>
      <c r="JS44" s="40"/>
      <c r="JT44" s="40"/>
      <c r="JU44" s="40"/>
      <c r="JV44" s="40"/>
      <c r="JW44" s="40"/>
      <c r="JX44" s="40"/>
      <c r="JY44" s="40"/>
      <c r="JZ44" s="40"/>
      <c r="KA44" s="40"/>
      <c r="KB44" s="40"/>
      <c r="KC44" s="40"/>
      <c r="KD44" s="40"/>
      <c r="KE44" s="40"/>
      <c r="KF44" s="40"/>
      <c r="KG44" s="40"/>
      <c r="KH44" s="40"/>
      <c r="KI44" s="40"/>
      <c r="KJ44" s="40"/>
      <c r="KK44" s="40"/>
      <c r="KL44" s="40"/>
      <c r="KM44" s="40"/>
      <c r="KN44" s="40"/>
      <c r="KO44" s="40"/>
      <c r="KP44" s="40"/>
      <c r="KQ44" s="40"/>
      <c r="KR44" s="40"/>
      <c r="KS44" s="40"/>
      <c r="KT44" s="40"/>
      <c r="KU44" s="40"/>
      <c r="KV44" s="40"/>
      <c r="KW44" s="40"/>
      <c r="KX44" s="40"/>
      <c r="KY44" s="40"/>
      <c r="KZ44" s="40"/>
      <c r="LA44" s="40"/>
      <c r="LB44" s="40"/>
      <c r="LC44" s="40"/>
      <c r="LD44" s="40"/>
      <c r="LE44" s="40"/>
      <c r="LF44" s="40"/>
      <c r="LG44" s="40"/>
      <c r="LH44" s="40"/>
      <c r="LI44" s="40"/>
      <c r="LJ44" s="40"/>
      <c r="LK44" s="40"/>
      <c r="LL44" s="40"/>
      <c r="LM44" s="40"/>
      <c r="LN44" s="40"/>
      <c r="LO44" s="40"/>
      <c r="LP44" s="40"/>
      <c r="LQ44" s="40"/>
      <c r="LR44" s="40"/>
      <c r="LS44" s="40"/>
      <c r="LT44" s="40"/>
      <c r="LU44" s="40"/>
      <c r="LV44" s="40"/>
      <c r="LW44" s="40"/>
      <c r="LX44" s="40"/>
      <c r="LY44" s="40"/>
      <c r="LZ44" s="40"/>
      <c r="MA44" s="40"/>
      <c r="MB44" s="40"/>
      <c r="MC44" s="40"/>
      <c r="MD44" s="40"/>
      <c r="ME44" s="40"/>
      <c r="MF44" s="40"/>
      <c r="MG44" s="40"/>
      <c r="MH44" s="40"/>
      <c r="MI44" s="40"/>
      <c r="MJ44" s="40"/>
      <c r="MK44" s="40"/>
      <c r="ML44" s="40"/>
      <c r="MM44" s="40"/>
      <c r="MN44" s="40"/>
      <c r="MO44" s="40"/>
      <c r="MP44" s="40"/>
      <c r="MQ44" s="40"/>
      <c r="MR44" s="40"/>
      <c r="MS44" s="40"/>
      <c r="MT44" s="40"/>
      <c r="MU44" s="40"/>
      <c r="MV44" s="40"/>
      <c r="MW44" s="40"/>
      <c r="MX44" s="40"/>
      <c r="MY44" s="40"/>
      <c r="MZ44" s="40"/>
      <c r="NA44" s="40"/>
      <c r="NB44" s="40"/>
      <c r="NC44" s="40"/>
      <c r="ND44" s="40"/>
      <c r="NE44" s="40"/>
      <c r="NF44" s="40"/>
      <c r="NG44" s="40"/>
      <c r="NH44" s="40"/>
      <c r="NI44" s="40"/>
      <c r="NJ44" s="40"/>
      <c r="NK44" s="40"/>
      <c r="NL44" s="40"/>
      <c r="NM44" s="40"/>
      <c r="NN44" s="40"/>
      <c r="NO44" s="40"/>
      <c r="NP44" s="40"/>
      <c r="NQ44" s="40"/>
      <c r="NR44" s="40"/>
      <c r="NS44" s="40"/>
      <c r="NT44" s="40"/>
      <c r="NU44" s="40"/>
      <c r="NV44" s="40"/>
      <c r="NW44" s="40"/>
      <c r="NX44" s="40"/>
      <c r="NY44" s="40"/>
      <c r="NZ44" s="40"/>
      <c r="OA44" s="40"/>
      <c r="OB44" s="40"/>
      <c r="OC44" s="40"/>
      <c r="OD44" s="40"/>
      <c r="OE44" s="40"/>
      <c r="OF44" s="40"/>
      <c r="OG44" s="40"/>
      <c r="OH44" s="40"/>
      <c r="OI44" s="40"/>
      <c r="OJ44" s="40"/>
      <c r="OK44" s="40"/>
      <c r="OL44" s="40"/>
      <c r="OM44" s="40"/>
      <c r="ON44" s="40"/>
      <c r="OO44" s="40"/>
      <c r="OP44" s="40"/>
      <c r="OQ44" s="40"/>
      <c r="OR44" s="40"/>
      <c r="OS44" s="40"/>
      <c r="OT44" s="40"/>
      <c r="OU44" s="40"/>
      <c r="OV44" s="40"/>
      <c r="OW44" s="40"/>
      <c r="OX44" s="40"/>
      <c r="OY44" s="40"/>
      <c r="OZ44" s="40"/>
      <c r="PA44" s="40"/>
      <c r="PB44" s="40"/>
      <c r="PC44" s="40"/>
      <c r="PD44" s="40"/>
      <c r="PE44" s="40"/>
      <c r="PF44" s="40"/>
      <c r="PG44" s="40"/>
      <c r="PH44" s="40"/>
      <c r="PI44" s="40"/>
      <c r="PJ44" s="40"/>
      <c r="PK44" s="40"/>
      <c r="PL44" s="40"/>
      <c r="PM44" s="40"/>
      <c r="PN44" s="40"/>
      <c r="PO44" s="40"/>
      <c r="PP44" s="40"/>
      <c r="PQ44" s="40"/>
      <c r="PR44" s="40"/>
      <c r="PS44" s="40"/>
      <c r="PT44" s="40"/>
      <c r="PU44" s="40"/>
      <c r="PV44" s="40"/>
      <c r="PW44" s="40"/>
      <c r="PX44" s="40"/>
      <c r="PY44" s="40"/>
      <c r="PZ44" s="40"/>
      <c r="QA44" s="40"/>
      <c r="QB44" s="40"/>
      <c r="QC44" s="40"/>
      <c r="QD44" s="40"/>
      <c r="QE44" s="40"/>
      <c r="QF44" s="40"/>
      <c r="QG44" s="40"/>
      <c r="QH44" s="40"/>
      <c r="QI44" s="40"/>
      <c r="QJ44" s="40"/>
      <c r="QK44" s="40"/>
      <c r="QL44" s="40"/>
      <c r="QM44" s="40"/>
      <c r="QN44" s="40"/>
      <c r="QO44" s="40"/>
      <c r="QP44" s="40"/>
      <c r="QQ44" s="40"/>
      <c r="QR44" s="40"/>
      <c r="QS44" s="40"/>
      <c r="QT44" s="40"/>
      <c r="QU44" s="40"/>
      <c r="QV44" s="40"/>
      <c r="QW44" s="40"/>
      <c r="QX44" s="40"/>
      <c r="QY44" s="40"/>
      <c r="QZ44" s="40"/>
      <c r="RA44" s="40"/>
      <c r="RB44" s="40"/>
      <c r="RC44" s="40"/>
      <c r="RD44" s="40"/>
      <c r="RE44" s="40"/>
      <c r="RF44" s="40"/>
      <c r="RG44" s="40"/>
      <c r="RH44" s="40"/>
      <c r="RI44" s="40"/>
      <c r="RJ44" s="40"/>
      <c r="RK44" s="40"/>
      <c r="RL44" s="40"/>
      <c r="RM44" s="40"/>
      <c r="RN44" s="40"/>
      <c r="RO44" s="40"/>
      <c r="RP44" s="40"/>
      <c r="RQ44" s="40"/>
      <c r="RR44" s="40"/>
      <c r="RS44" s="40"/>
      <c r="RT44" s="40"/>
      <c r="RU44" s="40"/>
      <c r="RV44" s="40"/>
      <c r="RW44" s="40"/>
      <c r="RX44" s="40"/>
      <c r="RY44" s="40"/>
      <c r="RZ44" s="40"/>
      <c r="SA44" s="40"/>
      <c r="SB44" s="40"/>
      <c r="SC44" s="40"/>
      <c r="SD44" s="40"/>
      <c r="SE44" s="40"/>
      <c r="SF44" s="40"/>
      <c r="SG44" s="40"/>
      <c r="SH44" s="40"/>
      <c r="SI44" s="40"/>
      <c r="SJ44" s="40"/>
      <c r="SK44" s="40"/>
      <c r="SL44" s="40"/>
      <c r="SM44" s="40"/>
      <c r="SN44" s="40"/>
      <c r="SO44" s="40"/>
      <c r="SP44" s="40"/>
      <c r="SQ44" s="40"/>
      <c r="SR44" s="40"/>
      <c r="SS44" s="40"/>
      <c r="ST44" s="40"/>
      <c r="SU44" s="40"/>
      <c r="SV44" s="40"/>
      <c r="SW44" s="40"/>
      <c r="SX44" s="40"/>
      <c r="SY44" s="40"/>
      <c r="SZ44" s="40"/>
      <c r="TA44" s="40"/>
      <c r="TB44" s="40"/>
      <c r="TC44" s="40"/>
      <c r="TD44" s="40"/>
      <c r="TE44" s="40"/>
      <c r="TF44" s="40"/>
      <c r="TG44" s="40"/>
      <c r="TH44" s="40"/>
      <c r="TI44" s="40"/>
      <c r="TJ44" s="40"/>
      <c r="TK44" s="40"/>
      <c r="TL44" s="40"/>
      <c r="TM44" s="40"/>
      <c r="TN44" s="40"/>
      <c r="TO44" s="40"/>
      <c r="TP44" s="40"/>
      <c r="TQ44" s="40"/>
      <c r="TR44" s="40"/>
      <c r="TS44" s="40"/>
      <c r="TT44" s="40"/>
      <c r="TU44" s="40"/>
      <c r="TV44" s="40"/>
      <c r="TW44" s="40"/>
      <c r="TX44" s="40"/>
      <c r="TY44" s="40"/>
      <c r="TZ44" s="40"/>
      <c r="UA44" s="40"/>
      <c r="UB44" s="40"/>
      <c r="UC44" s="40"/>
      <c r="UD44" s="40"/>
      <c r="UE44" s="40"/>
      <c r="UF44" s="40"/>
      <c r="UG44" s="40"/>
      <c r="UH44" s="40"/>
      <c r="UI44" s="40"/>
      <c r="UJ44" s="40"/>
      <c r="UK44" s="40"/>
      <c r="UL44" s="40"/>
      <c r="UM44" s="40"/>
      <c r="UN44" s="40"/>
      <c r="UO44" s="40"/>
      <c r="UP44" s="40"/>
      <c r="UQ44" s="40"/>
      <c r="UR44" s="40"/>
      <c r="US44" s="40"/>
      <c r="UT44" s="40"/>
      <c r="UU44" s="40"/>
      <c r="UV44" s="40"/>
      <c r="UW44" s="40"/>
      <c r="UX44" s="40"/>
      <c r="UY44" s="40"/>
      <c r="UZ44" s="40"/>
      <c r="VA44" s="40"/>
      <c r="VB44" s="40"/>
      <c r="VC44" s="40"/>
      <c r="VD44" s="40"/>
      <c r="VE44" s="40"/>
      <c r="VF44" s="40"/>
      <c r="VG44" s="40"/>
      <c r="VH44" s="40"/>
      <c r="VI44" s="40"/>
      <c r="VJ44" s="40"/>
      <c r="VK44" s="40"/>
      <c r="VL44" s="40"/>
      <c r="VM44" s="40"/>
      <c r="VN44" s="40"/>
      <c r="VO44" s="40"/>
      <c r="VP44" s="40"/>
      <c r="VQ44" s="40"/>
      <c r="VR44" s="40"/>
      <c r="VS44" s="40"/>
      <c r="VT44" s="40"/>
      <c r="VU44" s="40"/>
      <c r="VV44" s="40"/>
      <c r="VW44" s="40"/>
      <c r="VX44" s="40"/>
      <c r="VY44" s="40"/>
      <c r="VZ44" s="40"/>
      <c r="WA44" s="40"/>
      <c r="WB44" s="40"/>
      <c r="WC44" s="40"/>
      <c r="WD44" s="40"/>
      <c r="WE44" s="40"/>
      <c r="WF44" s="40"/>
      <c r="WG44" s="40"/>
      <c r="WH44" s="40"/>
      <c r="WI44" s="40"/>
      <c r="WJ44" s="40"/>
      <c r="WK44" s="40"/>
      <c r="WL44" s="40"/>
      <c r="WM44" s="40"/>
      <c r="WN44" s="40"/>
      <c r="WO44" s="40"/>
      <c r="WP44" s="40"/>
      <c r="WQ44" s="40"/>
      <c r="WR44" s="40"/>
      <c r="WS44" s="40"/>
      <c r="WT44" s="40"/>
      <c r="WU44" s="40"/>
      <c r="WV44" s="40"/>
      <c r="WW44" s="40"/>
      <c r="WX44" s="40"/>
      <c r="WY44" s="40"/>
      <c r="WZ44" s="40"/>
      <c r="XA44" s="40"/>
      <c r="XB44" s="40"/>
      <c r="XC44" s="40"/>
      <c r="XD44" s="40"/>
      <c r="XE44" s="40"/>
      <c r="XF44" s="40"/>
      <c r="XG44" s="40"/>
      <c r="XH44" s="40"/>
      <c r="XI44" s="40"/>
      <c r="XJ44" s="40"/>
      <c r="XK44" s="40"/>
      <c r="XL44" s="40"/>
      <c r="XM44" s="40"/>
      <c r="XN44" s="40"/>
      <c r="XO44" s="40"/>
      <c r="XP44" s="40"/>
      <c r="XQ44" s="40"/>
      <c r="XR44" s="40"/>
      <c r="XS44" s="40"/>
      <c r="XT44" s="40"/>
      <c r="XU44" s="40"/>
      <c r="XV44" s="40"/>
      <c r="XW44" s="40"/>
      <c r="XX44" s="40"/>
      <c r="XY44" s="40"/>
      <c r="XZ44" s="40"/>
      <c r="YA44" s="40"/>
      <c r="YB44" s="40"/>
      <c r="YC44" s="40"/>
      <c r="YD44" s="40"/>
      <c r="YE44" s="40"/>
      <c r="YF44" s="40"/>
      <c r="YG44" s="40"/>
      <c r="YH44" s="40"/>
      <c r="YI44" s="40"/>
      <c r="YJ44" s="40"/>
      <c r="YK44" s="40"/>
      <c r="YL44" s="40"/>
      <c r="YM44" s="40"/>
      <c r="YN44" s="40"/>
      <c r="YO44" s="40"/>
      <c r="YP44" s="40"/>
      <c r="YQ44" s="40"/>
      <c r="YR44" s="40"/>
      <c r="YS44" s="40"/>
      <c r="YT44" s="40"/>
      <c r="YU44" s="40"/>
      <c r="YV44" s="40"/>
      <c r="YW44" s="40"/>
      <c r="YX44" s="40"/>
      <c r="YY44" s="40"/>
      <c r="YZ44" s="40"/>
      <c r="ZA44" s="40"/>
      <c r="ZB44" s="40"/>
      <c r="ZC44" s="40"/>
      <c r="ZD44" s="40"/>
      <c r="ZE44" s="40"/>
      <c r="ZF44" s="40"/>
      <c r="ZG44" s="40"/>
      <c r="ZH44" s="40"/>
      <c r="ZI44" s="40"/>
      <c r="ZJ44" s="40"/>
      <c r="ZK44" s="40"/>
      <c r="ZL44" s="40"/>
      <c r="ZM44" s="40"/>
      <c r="ZN44" s="40"/>
      <c r="ZO44" s="40"/>
      <c r="ZP44" s="40"/>
      <c r="ZQ44" s="40"/>
      <c r="ZR44" s="40"/>
      <c r="ZS44" s="40"/>
      <c r="ZT44" s="40"/>
      <c r="ZU44" s="40"/>
      <c r="ZV44" s="40"/>
      <c r="ZW44" s="40"/>
      <c r="ZX44" s="40"/>
      <c r="ZY44" s="40"/>
      <c r="ZZ44" s="40"/>
      <c r="AAA44" s="40"/>
      <c r="AAB44" s="40"/>
      <c r="AAC44" s="40"/>
      <c r="AAD44" s="40"/>
      <c r="AAE44" s="40"/>
      <c r="AAF44" s="40"/>
      <c r="AAG44" s="40"/>
      <c r="AAH44" s="40"/>
      <c r="AAI44" s="40"/>
      <c r="AAJ44" s="40"/>
      <c r="AAK44" s="40"/>
      <c r="AAL44" s="40"/>
      <c r="AAM44" s="40"/>
      <c r="AAN44" s="40"/>
      <c r="AAO44" s="40"/>
      <c r="AAP44" s="40"/>
      <c r="AAQ44" s="40"/>
      <c r="AAR44" s="40"/>
      <c r="AAS44" s="40"/>
      <c r="AAT44" s="40"/>
      <c r="AAU44" s="40"/>
      <c r="AAV44" s="40"/>
      <c r="AAW44" s="40"/>
      <c r="AAX44" s="40"/>
      <c r="AAY44" s="40"/>
      <c r="AAZ44" s="40"/>
      <c r="ABA44" s="40"/>
      <c r="ABB44" s="40"/>
      <c r="ABC44" s="40"/>
      <c r="ABD44" s="40"/>
      <c r="ABE44" s="40"/>
      <c r="ABF44" s="40"/>
      <c r="ABG44" s="40"/>
      <c r="ABH44" s="40"/>
      <c r="ABI44" s="40"/>
      <c r="ABJ44" s="40"/>
      <c r="ABK44" s="40"/>
      <c r="ABL44" s="40"/>
      <c r="ABM44" s="40"/>
      <c r="ABN44" s="40"/>
      <c r="ABO44" s="40"/>
      <c r="ABP44" s="40"/>
      <c r="ABQ44" s="40"/>
      <c r="ABR44" s="40"/>
      <c r="ABS44" s="40"/>
      <c r="ABT44" s="40"/>
      <c r="ABU44" s="40"/>
      <c r="ABV44" s="40"/>
      <c r="ABW44" s="40"/>
      <c r="ABX44" s="40"/>
      <c r="ABY44" s="40"/>
      <c r="ABZ44" s="40"/>
      <c r="ACA44" s="40"/>
      <c r="ACB44" s="40"/>
      <c r="ACC44" s="40"/>
      <c r="ACD44" s="40"/>
      <c r="ACE44" s="40"/>
      <c r="ACF44" s="40"/>
      <c r="ACG44" s="40"/>
      <c r="ACH44" s="40"/>
      <c r="ACI44" s="40"/>
      <c r="ACJ44" s="40"/>
      <c r="ACK44" s="40"/>
      <c r="ACL44" s="40"/>
      <c r="ACM44" s="40"/>
      <c r="ACN44" s="40"/>
      <c r="ACO44" s="40"/>
      <c r="ACP44" s="40"/>
      <c r="ACQ44" s="40"/>
      <c r="ACR44" s="40"/>
      <c r="ACS44" s="40"/>
      <c r="ACT44" s="40"/>
      <c r="ACU44" s="40"/>
      <c r="ACV44" s="40"/>
      <c r="ACW44" s="40"/>
      <c r="ACX44" s="40"/>
      <c r="ACY44" s="40"/>
      <c r="ACZ44" s="40"/>
      <c r="ADA44" s="40"/>
      <c r="ADB44" s="40"/>
      <c r="ADC44" s="40"/>
      <c r="ADD44" s="40"/>
      <c r="ADE44" s="40"/>
      <c r="ADF44" s="40"/>
      <c r="ADG44" s="40"/>
      <c r="ADH44" s="40"/>
      <c r="ADI44" s="40"/>
      <c r="ADJ44" s="40"/>
      <c r="ADK44" s="40"/>
      <c r="ADL44" s="40"/>
      <c r="ADM44" s="40"/>
      <c r="ADN44" s="40"/>
      <c r="ADO44" s="40"/>
      <c r="ADP44" s="40"/>
      <c r="ADQ44" s="40"/>
      <c r="ADR44" s="40"/>
      <c r="ADS44" s="40"/>
      <c r="ADT44" s="40"/>
      <c r="ADU44" s="40"/>
      <c r="ADV44" s="40"/>
      <c r="ADW44" s="40"/>
      <c r="ADX44" s="40"/>
      <c r="ADY44" s="40"/>
      <c r="ADZ44" s="40"/>
      <c r="AEA44" s="40"/>
      <c r="AEB44" s="40"/>
      <c r="AEC44" s="40"/>
      <c r="AED44" s="40"/>
      <c r="AEE44" s="40"/>
      <c r="AEF44" s="40"/>
      <c r="AEG44" s="40"/>
      <c r="AEH44" s="40"/>
      <c r="AEI44" s="40"/>
      <c r="AEJ44" s="40"/>
      <c r="AEK44" s="40"/>
      <c r="AEL44" s="40"/>
      <c r="AEM44" s="40"/>
      <c r="AEN44" s="40"/>
      <c r="AEO44" s="40"/>
      <c r="AEP44" s="40"/>
      <c r="AEQ44" s="40"/>
      <c r="AER44" s="40"/>
      <c r="AES44" s="40"/>
      <c r="AET44" s="40"/>
      <c r="AEU44" s="40"/>
      <c r="AEV44" s="40"/>
      <c r="AEW44" s="40"/>
      <c r="AEX44" s="40"/>
      <c r="AEY44" s="40"/>
      <c r="AEZ44" s="40"/>
      <c r="AFA44" s="40"/>
      <c r="AFB44" s="40"/>
      <c r="AFC44" s="40"/>
      <c r="AFD44" s="40"/>
      <c r="AFE44" s="40"/>
      <c r="AFF44" s="40"/>
      <c r="AFG44" s="40"/>
      <c r="AFH44" s="40"/>
      <c r="AFI44" s="40"/>
      <c r="AFJ44" s="40"/>
      <c r="AFK44" s="40"/>
      <c r="AFL44" s="40"/>
      <c r="AFM44" s="40"/>
      <c r="AFN44" s="40"/>
      <c r="AFO44" s="40"/>
      <c r="AFP44" s="40"/>
      <c r="AFQ44" s="40"/>
      <c r="AFR44" s="40"/>
      <c r="AFS44" s="40"/>
      <c r="AFT44" s="40"/>
      <c r="AFU44" s="40"/>
      <c r="AFV44" s="40"/>
      <c r="AFW44" s="40"/>
      <c r="AFX44" s="40"/>
      <c r="AFY44" s="40"/>
      <c r="AFZ44" s="40"/>
      <c r="AGA44" s="40"/>
      <c r="AGB44" s="40"/>
      <c r="AGC44" s="40"/>
      <c r="AGD44" s="40"/>
      <c r="AGE44" s="40"/>
      <c r="AGF44" s="40"/>
      <c r="AGG44" s="40"/>
      <c r="AGH44" s="40"/>
      <c r="AGI44" s="40"/>
      <c r="AGJ44" s="40"/>
      <c r="AGK44" s="40"/>
      <c r="AGL44" s="40"/>
      <c r="AGM44" s="40"/>
      <c r="AGN44" s="40"/>
      <c r="AGO44" s="40"/>
      <c r="AGP44" s="40"/>
      <c r="AGQ44" s="40"/>
      <c r="AGR44" s="40"/>
      <c r="AGS44" s="40"/>
    </row>
    <row r="45" spans="1:877" ht="13">
      <c r="A45" s="41"/>
      <c r="B45" s="44">
        <f>'H2 Production Costs'!$D$9</f>
        <v>2.6198684210526317</v>
      </c>
      <c r="C45" s="43" t="s">
        <v>8</v>
      </c>
      <c r="D45" s="40"/>
      <c r="E45" s="40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>
        <f>'Project Overview'!$C$13/12</f>
        <v>68107.666666666672</v>
      </c>
      <c r="AR45" s="28">
        <f>'Project Overview'!$C$13/12</f>
        <v>68107.666666666672</v>
      </c>
      <c r="AS45" s="28">
        <f>'Project Overview'!$C$13/12</f>
        <v>68107.666666666672</v>
      </c>
      <c r="AT45" s="28">
        <f>'Project Overview'!$C$13/12</f>
        <v>68107.666666666672</v>
      </c>
      <c r="AU45" s="28">
        <f>'Project Overview'!$C$13/12</f>
        <v>68107.666666666672</v>
      </c>
      <c r="AV45" s="28">
        <f>'Project Overview'!$C$13/12</f>
        <v>68107.666666666672</v>
      </c>
      <c r="AW45" s="28">
        <f>'Project Overview'!$C$13/12</f>
        <v>68107.666666666672</v>
      </c>
      <c r="AX45" s="28">
        <f>'Project Overview'!$C$13/12</f>
        <v>68107.666666666672</v>
      </c>
      <c r="AY45" s="28">
        <f>'Project Overview'!$C$13/12</f>
        <v>68107.666666666672</v>
      </c>
      <c r="AZ45" s="28">
        <f>'Project Overview'!$C$13/12</f>
        <v>68107.666666666672</v>
      </c>
      <c r="BA45" s="28">
        <f>'Project Overview'!$C$13/12</f>
        <v>68107.666666666672</v>
      </c>
      <c r="BB45" s="28">
        <f>'Project Overview'!$C$13/12</f>
        <v>68107.666666666672</v>
      </c>
      <c r="BC45" s="28">
        <f>'Project Overview'!$D$13/12</f>
        <v>90171.116666666654</v>
      </c>
      <c r="BD45" s="28">
        <f>'Project Overview'!$D$13/12</f>
        <v>90171.116666666654</v>
      </c>
      <c r="BE45" s="28">
        <f>'Project Overview'!$D$13/12</f>
        <v>90171.116666666654</v>
      </c>
      <c r="BF45" s="28">
        <f>'Project Overview'!$D$13/12</f>
        <v>90171.116666666654</v>
      </c>
      <c r="BG45" s="28">
        <f>'Project Overview'!$D$13/12</f>
        <v>90171.116666666654</v>
      </c>
      <c r="BH45" s="28">
        <f>'Project Overview'!$D$13/12</f>
        <v>90171.116666666654</v>
      </c>
      <c r="BI45" s="28">
        <f>'Project Overview'!$D$13/12</f>
        <v>90171.116666666654</v>
      </c>
      <c r="BJ45" s="28">
        <f>'Project Overview'!$D$13/12</f>
        <v>90171.116666666654</v>
      </c>
      <c r="BK45" s="28">
        <f>'Project Overview'!$D$13/12</f>
        <v>90171.116666666654</v>
      </c>
      <c r="BL45" s="28">
        <f>'Project Overview'!$D$13/12</f>
        <v>90171.116666666654</v>
      </c>
      <c r="BM45" s="28">
        <f>'Project Overview'!$D$13/12</f>
        <v>90171.116666666654</v>
      </c>
      <c r="BN45" s="28">
        <f>'Project Overview'!$D$13/12</f>
        <v>90171.116666666654</v>
      </c>
      <c r="BO45" s="28">
        <f>'Project Overview'!$E$13/12</f>
        <v>103696.78416666666</v>
      </c>
      <c r="BP45" s="28">
        <f>'Project Overview'!$E$13/12</f>
        <v>103696.78416666666</v>
      </c>
      <c r="BQ45" s="28">
        <f>'Project Overview'!$E$13/12</f>
        <v>103696.78416666666</v>
      </c>
      <c r="BR45" s="28">
        <f>'Project Overview'!$E$13/12</f>
        <v>103696.78416666666</v>
      </c>
      <c r="BS45" s="28">
        <f>'Project Overview'!$E$13/12</f>
        <v>103696.78416666666</v>
      </c>
      <c r="BT45" s="28">
        <f>'Project Overview'!$E$13/12</f>
        <v>103696.78416666666</v>
      </c>
      <c r="BU45" s="28">
        <f>'Project Overview'!$E$13/12</f>
        <v>103696.78416666666</v>
      </c>
      <c r="BV45" s="28">
        <f>'Project Overview'!$E$13/12</f>
        <v>103696.78416666666</v>
      </c>
      <c r="BW45" s="28">
        <f>'Project Overview'!$E$13/12</f>
        <v>103696.78416666666</v>
      </c>
      <c r="BX45" s="28">
        <f>'Project Overview'!$E$13/12</f>
        <v>103696.78416666666</v>
      </c>
      <c r="BY45" s="28">
        <f>'Project Overview'!$E$13/12</f>
        <v>103696.78416666666</v>
      </c>
      <c r="BZ45" s="28">
        <f>'Project Overview'!$E$13/12</f>
        <v>103696.78416666666</v>
      </c>
      <c r="CA45" s="28">
        <f>'Project Overview'!$G$13/12</f>
        <v>119251.30179166666</v>
      </c>
      <c r="CB45" s="28">
        <f>'Project Overview'!$G$13/12</f>
        <v>119251.30179166666</v>
      </c>
      <c r="CC45" s="28">
        <f>'Project Overview'!$G$13/12</f>
        <v>119251.30179166666</v>
      </c>
      <c r="CD45" s="28">
        <f>'Project Overview'!$G$13/12</f>
        <v>119251.30179166666</v>
      </c>
      <c r="CE45" s="28">
        <f>'Project Overview'!$G$13/12</f>
        <v>119251.30179166666</v>
      </c>
      <c r="CF45" s="28">
        <f>'Project Overview'!$G$13/12</f>
        <v>119251.30179166666</v>
      </c>
      <c r="CG45" s="28">
        <f>'Project Overview'!$G$13/12</f>
        <v>119251.30179166666</v>
      </c>
      <c r="CH45" s="28">
        <f>'Project Overview'!$G$13/12</f>
        <v>119251.30179166666</v>
      </c>
      <c r="CI45" s="28">
        <f>'Project Overview'!$G$13/12</f>
        <v>119251.30179166666</v>
      </c>
      <c r="CJ45" s="28">
        <f>'Project Overview'!$G$13/12</f>
        <v>119251.30179166666</v>
      </c>
      <c r="CK45" s="28">
        <f>'Project Overview'!$G$13/12</f>
        <v>119251.30179166666</v>
      </c>
      <c r="CL45" s="28">
        <f>'Project Overview'!$G$13/12</f>
        <v>119251.30179166666</v>
      </c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  <c r="EY45" s="40"/>
      <c r="EZ45" s="40"/>
      <c r="FA45" s="40"/>
      <c r="FB45" s="40"/>
      <c r="FC45" s="40"/>
      <c r="FD45" s="40"/>
      <c r="FE45" s="40"/>
      <c r="FF45" s="40"/>
      <c r="FG45" s="40"/>
      <c r="FH45" s="40"/>
      <c r="FI45" s="40"/>
      <c r="FJ45" s="40"/>
      <c r="FK45" s="40"/>
      <c r="FL45" s="40"/>
      <c r="FM45" s="40"/>
      <c r="FN45" s="40"/>
      <c r="FO45" s="40"/>
      <c r="FP45" s="40"/>
      <c r="FQ45" s="40"/>
      <c r="FR45" s="40"/>
      <c r="FS45" s="40"/>
      <c r="FT45" s="40"/>
      <c r="FU45" s="40"/>
      <c r="FV45" s="40"/>
      <c r="FW45" s="40"/>
      <c r="FX45" s="40"/>
      <c r="FY45" s="40"/>
      <c r="FZ45" s="40"/>
      <c r="GA45" s="40"/>
      <c r="GB45" s="40"/>
      <c r="GC45" s="40"/>
      <c r="GD45" s="40"/>
      <c r="GE45" s="40"/>
      <c r="GF45" s="40"/>
      <c r="GG45" s="40"/>
      <c r="GH45" s="40"/>
      <c r="GI45" s="40"/>
      <c r="GJ45" s="40"/>
      <c r="GK45" s="40"/>
      <c r="GL45" s="40"/>
      <c r="GM45" s="40"/>
      <c r="GN45" s="40"/>
      <c r="GO45" s="40"/>
      <c r="GP45" s="40"/>
      <c r="GQ45" s="40"/>
      <c r="GR45" s="40"/>
      <c r="GS45" s="40"/>
      <c r="GT45" s="40"/>
      <c r="GU45" s="40"/>
      <c r="GV45" s="40"/>
      <c r="GW45" s="40"/>
      <c r="GX45" s="40"/>
      <c r="GY45" s="40"/>
      <c r="GZ45" s="40"/>
      <c r="HA45" s="40"/>
      <c r="HB45" s="40"/>
      <c r="HC45" s="40"/>
      <c r="HD45" s="40"/>
      <c r="HE45" s="40"/>
      <c r="HF45" s="40"/>
      <c r="HG45" s="40"/>
      <c r="HH45" s="40"/>
      <c r="HI45" s="40"/>
      <c r="HJ45" s="40"/>
      <c r="HK45" s="40"/>
      <c r="HL45" s="40"/>
      <c r="HM45" s="40"/>
      <c r="HN45" s="40"/>
      <c r="HO45" s="40"/>
      <c r="HP45" s="40"/>
      <c r="HQ45" s="40"/>
      <c r="HR45" s="40"/>
      <c r="HS45" s="40"/>
      <c r="HT45" s="40"/>
      <c r="HU45" s="40"/>
      <c r="HV45" s="40"/>
      <c r="HW45" s="40"/>
      <c r="HX45" s="40"/>
      <c r="HY45" s="40"/>
      <c r="HZ45" s="40"/>
      <c r="IA45" s="40"/>
      <c r="IB45" s="40"/>
      <c r="IC45" s="40"/>
      <c r="ID45" s="40"/>
      <c r="IE45" s="40"/>
      <c r="IF45" s="40"/>
      <c r="IG45" s="40"/>
      <c r="IH45" s="40"/>
      <c r="II45" s="40"/>
      <c r="IJ45" s="40"/>
      <c r="IK45" s="40"/>
      <c r="IL45" s="40"/>
      <c r="IM45" s="40"/>
      <c r="IN45" s="40"/>
      <c r="IO45" s="40"/>
      <c r="IP45" s="40"/>
      <c r="IQ45" s="40"/>
      <c r="IR45" s="40"/>
      <c r="IS45" s="40"/>
      <c r="IT45" s="40"/>
      <c r="IU45" s="40"/>
      <c r="IV45" s="40"/>
      <c r="IW45" s="40"/>
      <c r="IX45" s="40"/>
      <c r="IY45" s="40"/>
      <c r="IZ45" s="40"/>
      <c r="JA45" s="40"/>
      <c r="JB45" s="40"/>
      <c r="JC45" s="40"/>
      <c r="JD45" s="40"/>
      <c r="JE45" s="40"/>
      <c r="JF45" s="40"/>
      <c r="JG45" s="40"/>
      <c r="JH45" s="40"/>
      <c r="JI45" s="40"/>
      <c r="JJ45" s="40"/>
      <c r="JK45" s="40"/>
      <c r="JL45" s="40"/>
      <c r="JM45" s="40"/>
      <c r="JN45" s="40"/>
      <c r="JO45" s="40"/>
      <c r="JP45" s="40"/>
      <c r="JQ45" s="40"/>
      <c r="JR45" s="40"/>
      <c r="JS45" s="40"/>
      <c r="JT45" s="40"/>
      <c r="JU45" s="40"/>
      <c r="JV45" s="40"/>
      <c r="JW45" s="40"/>
      <c r="JX45" s="40"/>
      <c r="JY45" s="40"/>
      <c r="JZ45" s="40"/>
      <c r="KA45" s="40"/>
      <c r="KB45" s="40"/>
      <c r="KC45" s="40"/>
      <c r="KD45" s="40"/>
      <c r="KE45" s="40"/>
      <c r="KF45" s="40"/>
      <c r="KG45" s="40"/>
      <c r="KH45" s="40"/>
      <c r="KI45" s="40"/>
      <c r="KJ45" s="40"/>
      <c r="KK45" s="40"/>
      <c r="KL45" s="40"/>
      <c r="KM45" s="40"/>
      <c r="KN45" s="40"/>
      <c r="KO45" s="40"/>
      <c r="KP45" s="40"/>
      <c r="KQ45" s="40"/>
      <c r="KR45" s="40"/>
      <c r="KS45" s="40"/>
      <c r="KT45" s="40"/>
      <c r="KU45" s="40"/>
      <c r="KV45" s="40"/>
      <c r="KW45" s="40"/>
      <c r="KX45" s="40"/>
      <c r="KY45" s="40"/>
      <c r="KZ45" s="40"/>
      <c r="LA45" s="40"/>
      <c r="LB45" s="40"/>
      <c r="LC45" s="40"/>
      <c r="LD45" s="40"/>
      <c r="LE45" s="40"/>
      <c r="LF45" s="40"/>
      <c r="LG45" s="40"/>
      <c r="LH45" s="40"/>
      <c r="LI45" s="40"/>
      <c r="LJ45" s="40"/>
      <c r="LK45" s="40"/>
      <c r="LL45" s="40"/>
      <c r="LM45" s="40"/>
      <c r="LN45" s="40"/>
      <c r="LO45" s="40"/>
      <c r="LP45" s="40"/>
      <c r="LQ45" s="40"/>
      <c r="LR45" s="40"/>
      <c r="LS45" s="40"/>
      <c r="LT45" s="40"/>
      <c r="LU45" s="40"/>
      <c r="LV45" s="40"/>
      <c r="LW45" s="40"/>
      <c r="LX45" s="40"/>
      <c r="LY45" s="40"/>
      <c r="LZ45" s="40"/>
      <c r="MA45" s="40"/>
      <c r="MB45" s="40"/>
      <c r="MC45" s="40"/>
      <c r="MD45" s="40"/>
      <c r="ME45" s="40"/>
      <c r="MF45" s="40"/>
      <c r="MG45" s="40"/>
      <c r="MH45" s="40"/>
      <c r="MI45" s="40"/>
      <c r="MJ45" s="40"/>
      <c r="MK45" s="40"/>
      <c r="ML45" s="40"/>
      <c r="MM45" s="40"/>
      <c r="MN45" s="40"/>
      <c r="MO45" s="40"/>
      <c r="MP45" s="40"/>
      <c r="MQ45" s="40"/>
      <c r="MR45" s="40"/>
      <c r="MS45" s="40"/>
      <c r="MT45" s="40"/>
      <c r="MU45" s="40"/>
      <c r="MV45" s="40"/>
      <c r="MW45" s="40"/>
      <c r="MX45" s="40"/>
      <c r="MY45" s="40"/>
      <c r="MZ45" s="40"/>
      <c r="NA45" s="40"/>
      <c r="NB45" s="40"/>
      <c r="NC45" s="40"/>
      <c r="ND45" s="40"/>
      <c r="NE45" s="40"/>
      <c r="NF45" s="40"/>
      <c r="NG45" s="40"/>
      <c r="NH45" s="40"/>
      <c r="NI45" s="40"/>
      <c r="NJ45" s="40"/>
      <c r="NK45" s="40"/>
      <c r="NL45" s="40"/>
      <c r="NM45" s="40"/>
      <c r="NN45" s="40"/>
      <c r="NO45" s="40"/>
      <c r="NP45" s="40"/>
      <c r="NQ45" s="40"/>
      <c r="NR45" s="40"/>
      <c r="NS45" s="40"/>
      <c r="NT45" s="40"/>
      <c r="NU45" s="40"/>
      <c r="NV45" s="40"/>
      <c r="NW45" s="40"/>
      <c r="NX45" s="40"/>
      <c r="NY45" s="40"/>
      <c r="NZ45" s="40"/>
      <c r="OA45" s="40"/>
      <c r="OB45" s="40"/>
      <c r="OC45" s="40"/>
      <c r="OD45" s="40"/>
      <c r="OE45" s="40"/>
      <c r="OF45" s="40"/>
      <c r="OG45" s="40"/>
      <c r="OH45" s="40"/>
      <c r="OI45" s="40"/>
      <c r="OJ45" s="40"/>
      <c r="OK45" s="40"/>
      <c r="OL45" s="40"/>
      <c r="OM45" s="40"/>
      <c r="ON45" s="40"/>
      <c r="OO45" s="40"/>
      <c r="OP45" s="40"/>
      <c r="OQ45" s="40"/>
      <c r="OR45" s="40"/>
      <c r="OS45" s="40"/>
      <c r="OT45" s="40"/>
      <c r="OU45" s="40"/>
      <c r="OV45" s="40"/>
      <c r="OW45" s="40"/>
      <c r="OX45" s="40"/>
      <c r="OY45" s="40"/>
      <c r="OZ45" s="40"/>
      <c r="PA45" s="40"/>
      <c r="PB45" s="40"/>
      <c r="PC45" s="40"/>
      <c r="PD45" s="40"/>
      <c r="PE45" s="40"/>
      <c r="PF45" s="40"/>
      <c r="PG45" s="40"/>
      <c r="PH45" s="40"/>
      <c r="PI45" s="40"/>
      <c r="PJ45" s="40"/>
      <c r="PK45" s="40"/>
      <c r="PL45" s="40"/>
      <c r="PM45" s="40"/>
      <c r="PN45" s="40"/>
      <c r="PO45" s="40"/>
      <c r="PP45" s="40"/>
      <c r="PQ45" s="40"/>
      <c r="PR45" s="40"/>
      <c r="PS45" s="40"/>
      <c r="PT45" s="40"/>
      <c r="PU45" s="40"/>
      <c r="PV45" s="40"/>
      <c r="PW45" s="40"/>
      <c r="PX45" s="40"/>
      <c r="PY45" s="40"/>
      <c r="PZ45" s="40"/>
      <c r="QA45" s="40"/>
      <c r="QB45" s="40"/>
      <c r="QC45" s="40"/>
      <c r="QD45" s="40"/>
      <c r="QE45" s="40"/>
      <c r="QF45" s="40"/>
      <c r="QG45" s="40"/>
      <c r="QH45" s="40"/>
      <c r="QI45" s="40"/>
      <c r="QJ45" s="40"/>
      <c r="QK45" s="40"/>
      <c r="QL45" s="40"/>
      <c r="QM45" s="40"/>
      <c r="QN45" s="40"/>
      <c r="QO45" s="40"/>
      <c r="QP45" s="40"/>
      <c r="QQ45" s="40"/>
      <c r="QR45" s="40"/>
      <c r="QS45" s="40"/>
      <c r="QT45" s="40"/>
      <c r="QU45" s="40"/>
      <c r="QV45" s="40"/>
      <c r="QW45" s="40"/>
      <c r="QX45" s="40"/>
      <c r="QY45" s="40"/>
      <c r="QZ45" s="40"/>
      <c r="RA45" s="40"/>
      <c r="RB45" s="40"/>
      <c r="RC45" s="40"/>
      <c r="RD45" s="40"/>
      <c r="RE45" s="40"/>
      <c r="RF45" s="40"/>
      <c r="RG45" s="40"/>
      <c r="RH45" s="40"/>
      <c r="RI45" s="40"/>
      <c r="RJ45" s="40"/>
      <c r="RK45" s="40"/>
      <c r="RL45" s="40"/>
      <c r="RM45" s="40"/>
      <c r="RN45" s="40"/>
      <c r="RO45" s="40"/>
      <c r="RP45" s="40"/>
      <c r="RQ45" s="40"/>
      <c r="RR45" s="40"/>
      <c r="RS45" s="40"/>
      <c r="RT45" s="40"/>
      <c r="RU45" s="40"/>
      <c r="RV45" s="40"/>
      <c r="RW45" s="40"/>
      <c r="RX45" s="40"/>
      <c r="RY45" s="40"/>
      <c r="RZ45" s="40"/>
      <c r="SA45" s="40"/>
      <c r="SB45" s="40"/>
      <c r="SC45" s="40"/>
      <c r="SD45" s="40"/>
      <c r="SE45" s="40"/>
      <c r="SF45" s="40"/>
      <c r="SG45" s="40"/>
      <c r="SH45" s="40"/>
      <c r="SI45" s="40"/>
      <c r="SJ45" s="40"/>
      <c r="SK45" s="40"/>
      <c r="SL45" s="40"/>
      <c r="SM45" s="40"/>
      <c r="SN45" s="40"/>
      <c r="SO45" s="40"/>
      <c r="SP45" s="40"/>
      <c r="SQ45" s="40"/>
      <c r="SR45" s="40"/>
      <c r="SS45" s="40"/>
      <c r="ST45" s="40"/>
      <c r="SU45" s="40"/>
      <c r="SV45" s="40"/>
      <c r="SW45" s="40"/>
      <c r="SX45" s="40"/>
      <c r="SY45" s="40"/>
      <c r="SZ45" s="40"/>
      <c r="TA45" s="40"/>
      <c r="TB45" s="40"/>
      <c r="TC45" s="40"/>
      <c r="TD45" s="40"/>
      <c r="TE45" s="40"/>
      <c r="TF45" s="40"/>
      <c r="TG45" s="40"/>
      <c r="TH45" s="40"/>
      <c r="TI45" s="40"/>
      <c r="TJ45" s="40"/>
      <c r="TK45" s="40"/>
      <c r="TL45" s="40"/>
      <c r="TM45" s="40"/>
      <c r="TN45" s="40"/>
      <c r="TO45" s="40"/>
      <c r="TP45" s="40"/>
      <c r="TQ45" s="40"/>
      <c r="TR45" s="40"/>
      <c r="TS45" s="40"/>
      <c r="TT45" s="40"/>
      <c r="TU45" s="40"/>
      <c r="TV45" s="40"/>
      <c r="TW45" s="40"/>
      <c r="TX45" s="40"/>
      <c r="TY45" s="40"/>
      <c r="TZ45" s="40"/>
      <c r="UA45" s="40"/>
      <c r="UB45" s="40"/>
      <c r="UC45" s="40"/>
      <c r="UD45" s="40"/>
      <c r="UE45" s="40"/>
      <c r="UF45" s="40"/>
      <c r="UG45" s="40"/>
      <c r="UH45" s="40"/>
      <c r="UI45" s="40"/>
      <c r="UJ45" s="40"/>
      <c r="UK45" s="40"/>
      <c r="UL45" s="40"/>
      <c r="UM45" s="40"/>
      <c r="UN45" s="40"/>
      <c r="UO45" s="40"/>
      <c r="UP45" s="40"/>
      <c r="UQ45" s="40"/>
      <c r="UR45" s="40"/>
      <c r="US45" s="40"/>
      <c r="UT45" s="40"/>
      <c r="UU45" s="40"/>
      <c r="UV45" s="40"/>
      <c r="UW45" s="40"/>
      <c r="UX45" s="40"/>
      <c r="UY45" s="40"/>
      <c r="UZ45" s="40"/>
      <c r="VA45" s="40"/>
      <c r="VB45" s="40"/>
      <c r="VC45" s="40"/>
      <c r="VD45" s="40"/>
      <c r="VE45" s="40"/>
      <c r="VF45" s="40"/>
      <c r="VG45" s="40"/>
      <c r="VH45" s="40"/>
      <c r="VI45" s="40"/>
      <c r="VJ45" s="40"/>
      <c r="VK45" s="40"/>
      <c r="VL45" s="40"/>
      <c r="VM45" s="40"/>
      <c r="VN45" s="40"/>
      <c r="VO45" s="40"/>
      <c r="VP45" s="40"/>
      <c r="VQ45" s="40"/>
      <c r="VR45" s="40"/>
      <c r="VS45" s="40"/>
      <c r="VT45" s="40"/>
      <c r="VU45" s="40"/>
      <c r="VV45" s="40"/>
      <c r="VW45" s="40"/>
      <c r="VX45" s="40"/>
      <c r="VY45" s="40"/>
      <c r="VZ45" s="40"/>
      <c r="WA45" s="40"/>
      <c r="WB45" s="40"/>
      <c r="WC45" s="40"/>
      <c r="WD45" s="40"/>
      <c r="WE45" s="40"/>
      <c r="WF45" s="40"/>
      <c r="WG45" s="40"/>
      <c r="WH45" s="40"/>
      <c r="WI45" s="40"/>
      <c r="WJ45" s="40"/>
      <c r="WK45" s="40"/>
      <c r="WL45" s="40"/>
      <c r="WM45" s="40"/>
      <c r="WN45" s="40"/>
      <c r="WO45" s="40"/>
      <c r="WP45" s="40"/>
      <c r="WQ45" s="40"/>
      <c r="WR45" s="40"/>
      <c r="WS45" s="40"/>
      <c r="WT45" s="40"/>
      <c r="WU45" s="40"/>
      <c r="WV45" s="40"/>
      <c r="WW45" s="40"/>
      <c r="WX45" s="40"/>
      <c r="WY45" s="40"/>
      <c r="WZ45" s="40"/>
      <c r="XA45" s="40"/>
      <c r="XB45" s="40"/>
      <c r="XC45" s="40"/>
      <c r="XD45" s="40"/>
      <c r="XE45" s="40"/>
      <c r="XF45" s="40"/>
      <c r="XG45" s="40"/>
      <c r="XH45" s="40"/>
      <c r="XI45" s="40"/>
      <c r="XJ45" s="40"/>
      <c r="XK45" s="40"/>
      <c r="XL45" s="40"/>
      <c r="XM45" s="40"/>
      <c r="XN45" s="40"/>
      <c r="XO45" s="40"/>
      <c r="XP45" s="40"/>
      <c r="XQ45" s="40"/>
      <c r="XR45" s="40"/>
      <c r="XS45" s="40"/>
      <c r="XT45" s="40"/>
      <c r="XU45" s="40"/>
      <c r="XV45" s="40"/>
      <c r="XW45" s="40"/>
      <c r="XX45" s="40"/>
      <c r="XY45" s="40"/>
      <c r="XZ45" s="40"/>
      <c r="YA45" s="40"/>
      <c r="YB45" s="40"/>
      <c r="YC45" s="40"/>
      <c r="YD45" s="40"/>
      <c r="YE45" s="40"/>
      <c r="YF45" s="40"/>
      <c r="YG45" s="40"/>
      <c r="YH45" s="40"/>
      <c r="YI45" s="40"/>
      <c r="YJ45" s="40"/>
      <c r="YK45" s="40"/>
      <c r="YL45" s="40"/>
      <c r="YM45" s="40"/>
      <c r="YN45" s="40"/>
      <c r="YO45" s="40"/>
      <c r="YP45" s="40"/>
      <c r="YQ45" s="40"/>
      <c r="YR45" s="40"/>
      <c r="YS45" s="40"/>
      <c r="YT45" s="40"/>
      <c r="YU45" s="40"/>
      <c r="YV45" s="40"/>
      <c r="YW45" s="40"/>
      <c r="YX45" s="40"/>
      <c r="YY45" s="40"/>
      <c r="YZ45" s="40"/>
      <c r="ZA45" s="40"/>
      <c r="ZB45" s="40"/>
      <c r="ZC45" s="40"/>
      <c r="ZD45" s="40"/>
      <c r="ZE45" s="40"/>
      <c r="ZF45" s="40"/>
      <c r="ZG45" s="40"/>
      <c r="ZH45" s="40"/>
      <c r="ZI45" s="40"/>
      <c r="ZJ45" s="40"/>
      <c r="ZK45" s="40"/>
      <c r="ZL45" s="40"/>
      <c r="ZM45" s="40"/>
      <c r="ZN45" s="40"/>
      <c r="ZO45" s="40"/>
      <c r="ZP45" s="40"/>
      <c r="ZQ45" s="40"/>
      <c r="ZR45" s="40"/>
      <c r="ZS45" s="40"/>
      <c r="ZT45" s="40"/>
      <c r="ZU45" s="40"/>
      <c r="ZV45" s="40"/>
      <c r="ZW45" s="40"/>
      <c r="ZX45" s="40"/>
      <c r="ZY45" s="40"/>
      <c r="ZZ45" s="40"/>
      <c r="AAA45" s="40"/>
      <c r="AAB45" s="40"/>
      <c r="AAC45" s="40"/>
      <c r="AAD45" s="40"/>
      <c r="AAE45" s="40"/>
      <c r="AAF45" s="40"/>
      <c r="AAG45" s="40"/>
      <c r="AAH45" s="40"/>
      <c r="AAI45" s="40"/>
      <c r="AAJ45" s="40"/>
      <c r="AAK45" s="40"/>
      <c r="AAL45" s="40"/>
      <c r="AAM45" s="40"/>
      <c r="AAN45" s="40"/>
      <c r="AAO45" s="40"/>
      <c r="AAP45" s="40"/>
      <c r="AAQ45" s="40"/>
      <c r="AAR45" s="40"/>
      <c r="AAS45" s="40"/>
      <c r="AAT45" s="40"/>
      <c r="AAU45" s="40"/>
      <c r="AAV45" s="40"/>
      <c r="AAW45" s="40"/>
      <c r="AAX45" s="40"/>
      <c r="AAY45" s="40"/>
      <c r="AAZ45" s="40"/>
      <c r="ABA45" s="40"/>
      <c r="ABB45" s="40"/>
      <c r="ABC45" s="40"/>
      <c r="ABD45" s="40"/>
      <c r="ABE45" s="40"/>
      <c r="ABF45" s="40"/>
      <c r="ABG45" s="40"/>
      <c r="ABH45" s="40"/>
      <c r="ABI45" s="40"/>
      <c r="ABJ45" s="40"/>
      <c r="ABK45" s="40"/>
      <c r="ABL45" s="40"/>
      <c r="ABM45" s="40"/>
      <c r="ABN45" s="40"/>
      <c r="ABO45" s="40"/>
      <c r="ABP45" s="40"/>
      <c r="ABQ45" s="40"/>
      <c r="ABR45" s="40"/>
      <c r="ABS45" s="40"/>
      <c r="ABT45" s="40"/>
      <c r="ABU45" s="40"/>
      <c r="ABV45" s="40"/>
      <c r="ABW45" s="40"/>
      <c r="ABX45" s="40"/>
      <c r="ABY45" s="40"/>
      <c r="ABZ45" s="40"/>
      <c r="ACA45" s="40"/>
      <c r="ACB45" s="40"/>
      <c r="ACC45" s="40"/>
      <c r="ACD45" s="40"/>
      <c r="ACE45" s="40"/>
      <c r="ACF45" s="40"/>
      <c r="ACG45" s="40"/>
      <c r="ACH45" s="40"/>
      <c r="ACI45" s="40"/>
      <c r="ACJ45" s="40"/>
      <c r="ACK45" s="40"/>
      <c r="ACL45" s="40"/>
      <c r="ACM45" s="40"/>
      <c r="ACN45" s="40"/>
      <c r="ACO45" s="40"/>
      <c r="ACP45" s="40"/>
      <c r="ACQ45" s="40"/>
      <c r="ACR45" s="40"/>
      <c r="ACS45" s="40"/>
      <c r="ACT45" s="40"/>
      <c r="ACU45" s="40"/>
      <c r="ACV45" s="40"/>
      <c r="ACW45" s="40"/>
      <c r="ACX45" s="40"/>
      <c r="ACY45" s="40"/>
      <c r="ACZ45" s="40"/>
      <c r="ADA45" s="40"/>
      <c r="ADB45" s="40"/>
      <c r="ADC45" s="40"/>
      <c r="ADD45" s="40"/>
      <c r="ADE45" s="40"/>
      <c r="ADF45" s="40"/>
      <c r="ADG45" s="40"/>
      <c r="ADH45" s="40"/>
      <c r="ADI45" s="40"/>
      <c r="ADJ45" s="40"/>
      <c r="ADK45" s="40"/>
      <c r="ADL45" s="40"/>
      <c r="ADM45" s="40"/>
      <c r="ADN45" s="40"/>
      <c r="ADO45" s="40"/>
      <c r="ADP45" s="40"/>
      <c r="ADQ45" s="40"/>
      <c r="ADR45" s="40"/>
      <c r="ADS45" s="40"/>
      <c r="ADT45" s="40"/>
      <c r="ADU45" s="40"/>
      <c r="ADV45" s="40"/>
      <c r="ADW45" s="40"/>
      <c r="ADX45" s="40"/>
      <c r="ADY45" s="40"/>
      <c r="ADZ45" s="40"/>
      <c r="AEA45" s="40"/>
      <c r="AEB45" s="40"/>
      <c r="AEC45" s="40"/>
      <c r="AED45" s="40"/>
      <c r="AEE45" s="40"/>
      <c r="AEF45" s="40"/>
      <c r="AEG45" s="40"/>
      <c r="AEH45" s="40"/>
      <c r="AEI45" s="40"/>
      <c r="AEJ45" s="40"/>
      <c r="AEK45" s="40"/>
      <c r="AEL45" s="40"/>
      <c r="AEM45" s="40"/>
      <c r="AEN45" s="40"/>
      <c r="AEO45" s="40"/>
      <c r="AEP45" s="40"/>
      <c r="AEQ45" s="40"/>
      <c r="AER45" s="40"/>
      <c r="AES45" s="40"/>
      <c r="AET45" s="40"/>
      <c r="AEU45" s="40"/>
      <c r="AEV45" s="40"/>
      <c r="AEW45" s="40"/>
      <c r="AEX45" s="40"/>
      <c r="AEY45" s="40"/>
      <c r="AEZ45" s="40"/>
      <c r="AFA45" s="40"/>
      <c r="AFB45" s="40"/>
      <c r="AFC45" s="40"/>
      <c r="AFD45" s="40"/>
      <c r="AFE45" s="40"/>
      <c r="AFF45" s="40"/>
      <c r="AFG45" s="40"/>
      <c r="AFH45" s="40"/>
      <c r="AFI45" s="40"/>
      <c r="AFJ45" s="40"/>
      <c r="AFK45" s="40"/>
      <c r="AFL45" s="40"/>
      <c r="AFM45" s="40"/>
      <c r="AFN45" s="40"/>
      <c r="AFO45" s="40"/>
      <c r="AFP45" s="40"/>
      <c r="AFQ45" s="40"/>
      <c r="AFR45" s="40"/>
      <c r="AFS45" s="40"/>
      <c r="AFT45" s="40"/>
      <c r="AFU45" s="40"/>
      <c r="AFV45" s="40"/>
      <c r="AFW45" s="40"/>
      <c r="AFX45" s="40"/>
      <c r="AFY45" s="40"/>
      <c r="AFZ45" s="40"/>
      <c r="AGA45" s="40"/>
      <c r="AGB45" s="40"/>
      <c r="AGC45" s="40"/>
      <c r="AGD45" s="40"/>
      <c r="AGE45" s="40"/>
      <c r="AGF45" s="40"/>
      <c r="AGG45" s="40"/>
      <c r="AGH45" s="40"/>
      <c r="AGI45" s="40"/>
      <c r="AGJ45" s="40"/>
      <c r="AGK45" s="40"/>
      <c r="AGL45" s="40"/>
      <c r="AGM45" s="40"/>
      <c r="AGN45" s="40"/>
      <c r="AGO45" s="40"/>
      <c r="AGP45" s="40"/>
      <c r="AGQ45" s="40"/>
      <c r="AGR45" s="40"/>
      <c r="AGS45" s="40"/>
    </row>
    <row r="46" spans="1:877" ht="13">
      <c r="A46" s="45"/>
      <c r="B46" s="42" t="s">
        <v>23</v>
      </c>
      <c r="C46" s="46" t="s">
        <v>24</v>
      </c>
      <c r="D46" s="47"/>
      <c r="E46" s="4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37500</v>
      </c>
      <c r="BD46" s="28">
        <v>37500</v>
      </c>
      <c r="BE46" s="28">
        <v>37500</v>
      </c>
      <c r="BF46" s="28">
        <v>37500</v>
      </c>
      <c r="BG46" s="28">
        <v>37500</v>
      </c>
      <c r="BH46" s="28">
        <v>37500</v>
      </c>
      <c r="BI46" s="28">
        <v>37500</v>
      </c>
      <c r="BJ46" s="28">
        <v>37500</v>
      </c>
      <c r="BK46" s="28">
        <v>37500</v>
      </c>
      <c r="BL46" s="28">
        <v>37500</v>
      </c>
      <c r="BM46" s="28">
        <v>37500</v>
      </c>
      <c r="BN46" s="28">
        <v>37500</v>
      </c>
      <c r="BO46" s="28">
        <v>75000</v>
      </c>
      <c r="BP46" s="28">
        <v>75000</v>
      </c>
      <c r="BQ46" s="28">
        <v>75000</v>
      </c>
      <c r="BR46" s="28">
        <v>75000</v>
      </c>
      <c r="BS46" s="28">
        <v>75000</v>
      </c>
      <c r="BT46" s="28">
        <v>75000</v>
      </c>
      <c r="BU46" s="28">
        <v>75000</v>
      </c>
      <c r="BV46" s="28">
        <v>75000</v>
      </c>
      <c r="BW46" s="28">
        <v>75000</v>
      </c>
      <c r="BX46" s="28">
        <v>75000</v>
      </c>
      <c r="BY46" s="28">
        <v>75000</v>
      </c>
      <c r="BZ46" s="28">
        <v>75000</v>
      </c>
      <c r="CA46" s="28">
        <v>75000</v>
      </c>
      <c r="CB46" s="28">
        <v>75000</v>
      </c>
      <c r="CC46" s="28">
        <v>75000</v>
      </c>
      <c r="CD46" s="28">
        <v>75000</v>
      </c>
      <c r="CE46" s="28">
        <v>75000</v>
      </c>
      <c r="CF46" s="28">
        <v>75000</v>
      </c>
      <c r="CG46" s="28">
        <v>75000</v>
      </c>
      <c r="CH46" s="28">
        <v>75000</v>
      </c>
      <c r="CI46" s="28">
        <v>75000</v>
      </c>
      <c r="CJ46" s="28">
        <v>75000</v>
      </c>
      <c r="CK46" s="28">
        <v>75000</v>
      </c>
      <c r="CL46" s="28">
        <v>75000</v>
      </c>
      <c r="CM46" s="47"/>
      <c r="CN46" s="47"/>
      <c r="CO46" s="47"/>
      <c r="CP46" s="47"/>
      <c r="CQ46" s="47"/>
      <c r="CR46" s="47"/>
      <c r="CS46" s="47"/>
      <c r="CT46" s="47"/>
      <c r="CU46" s="47"/>
      <c r="CV46" s="47"/>
      <c r="CW46" s="47"/>
      <c r="CX46" s="47"/>
      <c r="CY46" s="47"/>
      <c r="CZ46" s="47"/>
      <c r="DA46" s="47"/>
      <c r="DB46" s="47"/>
      <c r="DC46" s="47"/>
      <c r="DD46" s="47"/>
      <c r="DE46" s="47"/>
      <c r="DF46" s="47"/>
      <c r="DG46" s="47"/>
      <c r="DH46" s="47"/>
      <c r="DI46" s="47"/>
      <c r="DJ46" s="47"/>
      <c r="DK46" s="47"/>
      <c r="DL46" s="47"/>
      <c r="DM46" s="47"/>
      <c r="DN46" s="47"/>
      <c r="DO46" s="47"/>
      <c r="DP46" s="47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47"/>
      <c r="FG46" s="47"/>
      <c r="FH46" s="47"/>
      <c r="FI46" s="47"/>
      <c r="FJ46" s="47"/>
      <c r="FK46" s="47"/>
      <c r="FL46" s="47"/>
      <c r="FM46" s="47"/>
      <c r="FN46" s="47"/>
      <c r="FO46" s="47"/>
      <c r="FP46" s="47"/>
      <c r="FQ46" s="47"/>
      <c r="FR46" s="47"/>
      <c r="FS46" s="47"/>
      <c r="FT46" s="47"/>
      <c r="FU46" s="47"/>
      <c r="FV46" s="47"/>
      <c r="FW46" s="47"/>
      <c r="FX46" s="47"/>
      <c r="FY46" s="47"/>
      <c r="FZ46" s="47"/>
      <c r="GA46" s="47"/>
      <c r="GB46" s="47"/>
      <c r="GC46" s="47"/>
      <c r="GD46" s="47"/>
      <c r="GE46" s="47"/>
      <c r="GF46" s="47"/>
      <c r="GG46" s="47"/>
      <c r="GH46" s="47"/>
      <c r="GI46" s="47"/>
      <c r="GJ46" s="47"/>
      <c r="GK46" s="47"/>
      <c r="GL46" s="47"/>
      <c r="GM46" s="47"/>
      <c r="GN46" s="47"/>
      <c r="GO46" s="47"/>
      <c r="GP46" s="47"/>
      <c r="GQ46" s="47"/>
      <c r="GR46" s="47"/>
      <c r="GS46" s="47"/>
      <c r="GT46" s="47"/>
      <c r="GU46" s="47"/>
      <c r="GV46" s="47"/>
      <c r="GW46" s="47"/>
      <c r="GX46" s="47"/>
      <c r="GY46" s="47"/>
      <c r="GZ46" s="47"/>
      <c r="HA46" s="47"/>
      <c r="HB46" s="47"/>
      <c r="HC46" s="47"/>
      <c r="HD46" s="47"/>
      <c r="HE46" s="47"/>
      <c r="HF46" s="47"/>
      <c r="HG46" s="47"/>
      <c r="HH46" s="47"/>
      <c r="HI46" s="47"/>
      <c r="HJ46" s="47"/>
      <c r="HK46" s="47"/>
      <c r="HL46" s="47"/>
      <c r="HM46" s="47"/>
      <c r="HN46" s="47"/>
      <c r="HO46" s="47"/>
      <c r="HP46" s="47"/>
      <c r="HQ46" s="47"/>
      <c r="HR46" s="47"/>
      <c r="HS46" s="47"/>
      <c r="HT46" s="47"/>
      <c r="HU46" s="47"/>
      <c r="HV46" s="47"/>
      <c r="HW46" s="47"/>
      <c r="HX46" s="47"/>
      <c r="HY46" s="47"/>
      <c r="HZ46" s="47"/>
      <c r="IA46" s="47"/>
      <c r="IB46" s="47"/>
      <c r="IC46" s="47"/>
      <c r="ID46" s="47"/>
      <c r="IE46" s="47"/>
      <c r="IF46" s="47"/>
      <c r="IG46" s="47"/>
      <c r="IH46" s="47"/>
      <c r="II46" s="47"/>
      <c r="IJ46" s="47"/>
      <c r="IK46" s="47"/>
      <c r="IL46" s="47"/>
      <c r="IM46" s="47"/>
      <c r="IN46" s="47"/>
      <c r="IO46" s="47"/>
      <c r="IP46" s="47"/>
      <c r="IQ46" s="47"/>
      <c r="IR46" s="47"/>
      <c r="IS46" s="47"/>
      <c r="IT46" s="47"/>
      <c r="IU46" s="47"/>
      <c r="IV46" s="47"/>
      <c r="IW46" s="47"/>
      <c r="IX46" s="47"/>
      <c r="IY46" s="47"/>
      <c r="IZ46" s="47"/>
      <c r="JA46" s="47"/>
      <c r="JB46" s="47"/>
      <c r="JC46" s="47"/>
      <c r="JD46" s="47"/>
      <c r="JE46" s="47"/>
      <c r="JF46" s="47"/>
      <c r="JG46" s="47"/>
      <c r="JH46" s="47"/>
      <c r="JI46" s="47"/>
      <c r="JJ46" s="47"/>
      <c r="JK46" s="47"/>
      <c r="JL46" s="47"/>
      <c r="JM46" s="47"/>
      <c r="JN46" s="47"/>
      <c r="JO46" s="47"/>
      <c r="JP46" s="47"/>
      <c r="JQ46" s="47"/>
      <c r="JR46" s="47"/>
      <c r="JS46" s="47"/>
      <c r="JT46" s="47"/>
      <c r="JU46" s="47"/>
      <c r="JV46" s="47"/>
      <c r="JW46" s="47"/>
      <c r="JX46" s="47"/>
      <c r="JY46" s="47"/>
      <c r="JZ46" s="47"/>
      <c r="KA46" s="47"/>
      <c r="KB46" s="47"/>
      <c r="KC46" s="47"/>
      <c r="KD46" s="47"/>
      <c r="KE46" s="47"/>
      <c r="KF46" s="47"/>
      <c r="KG46" s="47"/>
      <c r="KH46" s="47"/>
      <c r="KI46" s="47"/>
      <c r="KJ46" s="47"/>
      <c r="KK46" s="47"/>
      <c r="KL46" s="47"/>
      <c r="KM46" s="47"/>
      <c r="KN46" s="47"/>
      <c r="KO46" s="47"/>
      <c r="KP46" s="47"/>
      <c r="KQ46" s="47"/>
      <c r="KR46" s="47"/>
      <c r="KS46" s="47"/>
      <c r="KT46" s="47"/>
      <c r="KU46" s="47"/>
      <c r="KV46" s="47"/>
      <c r="KW46" s="47"/>
      <c r="KX46" s="47"/>
      <c r="KY46" s="47"/>
      <c r="KZ46" s="47"/>
      <c r="LA46" s="47"/>
      <c r="LB46" s="47"/>
      <c r="LC46" s="47"/>
      <c r="LD46" s="47"/>
      <c r="LE46" s="47"/>
      <c r="LF46" s="47"/>
      <c r="LG46" s="47"/>
      <c r="LH46" s="47"/>
      <c r="LI46" s="47"/>
      <c r="LJ46" s="47"/>
      <c r="LK46" s="47"/>
      <c r="LL46" s="47"/>
      <c r="LM46" s="47"/>
      <c r="LN46" s="47"/>
      <c r="LO46" s="47"/>
      <c r="LP46" s="47"/>
      <c r="LQ46" s="47"/>
      <c r="LR46" s="47"/>
      <c r="LS46" s="47"/>
      <c r="LT46" s="47"/>
      <c r="LU46" s="47"/>
      <c r="LV46" s="47"/>
      <c r="LW46" s="47"/>
      <c r="LX46" s="47"/>
      <c r="LY46" s="47"/>
      <c r="LZ46" s="47"/>
      <c r="MA46" s="47"/>
      <c r="MB46" s="47"/>
      <c r="MC46" s="47"/>
      <c r="MD46" s="47"/>
      <c r="ME46" s="47"/>
      <c r="MF46" s="47"/>
      <c r="MG46" s="47"/>
      <c r="MH46" s="47"/>
      <c r="MI46" s="47"/>
      <c r="MJ46" s="47"/>
      <c r="MK46" s="47"/>
      <c r="ML46" s="47"/>
      <c r="MM46" s="47"/>
      <c r="MN46" s="47"/>
      <c r="MO46" s="47"/>
      <c r="MP46" s="47"/>
      <c r="MQ46" s="47"/>
      <c r="MR46" s="47"/>
      <c r="MS46" s="47"/>
      <c r="MT46" s="47"/>
      <c r="MU46" s="47"/>
      <c r="MV46" s="47"/>
      <c r="MW46" s="47"/>
      <c r="MX46" s="47"/>
      <c r="MY46" s="47"/>
      <c r="MZ46" s="47"/>
      <c r="NA46" s="47"/>
      <c r="NB46" s="47"/>
      <c r="NC46" s="47"/>
      <c r="ND46" s="47"/>
      <c r="NE46" s="47"/>
      <c r="NF46" s="47"/>
      <c r="NG46" s="47"/>
      <c r="NH46" s="47"/>
      <c r="NI46" s="47"/>
      <c r="NJ46" s="47"/>
      <c r="NK46" s="47"/>
      <c r="NL46" s="47"/>
      <c r="NM46" s="47"/>
      <c r="NN46" s="47"/>
      <c r="NO46" s="47"/>
      <c r="NP46" s="47"/>
      <c r="NQ46" s="47"/>
      <c r="NR46" s="47"/>
      <c r="NS46" s="47"/>
      <c r="NT46" s="47"/>
      <c r="NU46" s="47"/>
      <c r="NV46" s="47"/>
      <c r="NW46" s="47"/>
      <c r="NX46" s="47"/>
      <c r="NY46" s="47"/>
      <c r="NZ46" s="47"/>
      <c r="OA46" s="47"/>
      <c r="OB46" s="47"/>
      <c r="OC46" s="47"/>
      <c r="OD46" s="47"/>
      <c r="OE46" s="47"/>
      <c r="OF46" s="47"/>
      <c r="OG46" s="47"/>
      <c r="OH46" s="47"/>
      <c r="OI46" s="47"/>
      <c r="OJ46" s="47"/>
      <c r="OK46" s="47"/>
      <c r="OL46" s="47"/>
      <c r="OM46" s="47"/>
      <c r="ON46" s="47"/>
      <c r="OO46" s="47"/>
      <c r="OP46" s="47"/>
      <c r="OQ46" s="47"/>
      <c r="OR46" s="47"/>
      <c r="OS46" s="47"/>
      <c r="OT46" s="47"/>
      <c r="OU46" s="47"/>
      <c r="OV46" s="47"/>
      <c r="OW46" s="47"/>
      <c r="OX46" s="47"/>
      <c r="OY46" s="47"/>
      <c r="OZ46" s="47"/>
      <c r="PA46" s="47"/>
      <c r="PB46" s="47"/>
      <c r="PC46" s="47"/>
      <c r="PD46" s="47"/>
      <c r="PE46" s="47"/>
      <c r="PF46" s="47"/>
      <c r="PG46" s="47"/>
      <c r="PH46" s="47"/>
      <c r="PI46" s="47"/>
      <c r="PJ46" s="47"/>
      <c r="PK46" s="47"/>
      <c r="PL46" s="47"/>
      <c r="PM46" s="47"/>
      <c r="PN46" s="47"/>
      <c r="PO46" s="47"/>
      <c r="PP46" s="47"/>
      <c r="PQ46" s="47"/>
      <c r="PR46" s="47"/>
      <c r="PS46" s="47"/>
      <c r="PT46" s="47"/>
      <c r="PU46" s="47"/>
      <c r="PV46" s="47"/>
      <c r="PW46" s="47"/>
      <c r="PX46" s="47"/>
      <c r="PY46" s="47"/>
      <c r="PZ46" s="47"/>
      <c r="QA46" s="47"/>
      <c r="QB46" s="47"/>
      <c r="QC46" s="47"/>
      <c r="QD46" s="47"/>
      <c r="QE46" s="47"/>
      <c r="QF46" s="47"/>
      <c r="QG46" s="47"/>
      <c r="QH46" s="47"/>
      <c r="QI46" s="47"/>
      <c r="QJ46" s="47"/>
      <c r="QK46" s="47"/>
      <c r="QL46" s="47"/>
      <c r="QM46" s="47"/>
      <c r="QN46" s="47"/>
      <c r="QO46" s="47"/>
      <c r="QP46" s="47"/>
      <c r="QQ46" s="47"/>
      <c r="QR46" s="47"/>
      <c r="QS46" s="47"/>
      <c r="QT46" s="47"/>
      <c r="QU46" s="47"/>
      <c r="QV46" s="47"/>
      <c r="QW46" s="47"/>
      <c r="QX46" s="47"/>
      <c r="QY46" s="47"/>
      <c r="QZ46" s="47"/>
      <c r="RA46" s="47"/>
      <c r="RB46" s="47"/>
      <c r="RC46" s="47"/>
      <c r="RD46" s="47"/>
      <c r="RE46" s="47"/>
      <c r="RF46" s="47"/>
      <c r="RG46" s="47"/>
      <c r="RH46" s="47"/>
      <c r="RI46" s="47"/>
      <c r="RJ46" s="47"/>
      <c r="RK46" s="47"/>
      <c r="RL46" s="47"/>
      <c r="RM46" s="47"/>
      <c r="RN46" s="47"/>
      <c r="RO46" s="47"/>
      <c r="RP46" s="47"/>
      <c r="RQ46" s="47"/>
      <c r="RR46" s="47"/>
      <c r="RS46" s="47"/>
      <c r="RT46" s="47"/>
      <c r="RU46" s="47"/>
      <c r="RV46" s="47"/>
      <c r="RW46" s="47"/>
      <c r="RX46" s="47"/>
      <c r="RY46" s="47"/>
      <c r="RZ46" s="47"/>
      <c r="SA46" s="47"/>
      <c r="SB46" s="47"/>
      <c r="SC46" s="47"/>
      <c r="SD46" s="47"/>
      <c r="SE46" s="47"/>
      <c r="SF46" s="47"/>
      <c r="SG46" s="47"/>
      <c r="SH46" s="47"/>
      <c r="SI46" s="47"/>
      <c r="SJ46" s="47"/>
      <c r="SK46" s="47"/>
      <c r="SL46" s="47"/>
      <c r="SM46" s="47"/>
      <c r="SN46" s="47"/>
      <c r="SO46" s="47"/>
      <c r="SP46" s="47"/>
      <c r="SQ46" s="47"/>
      <c r="SR46" s="47"/>
      <c r="SS46" s="47"/>
      <c r="ST46" s="47"/>
      <c r="SU46" s="47"/>
      <c r="SV46" s="47"/>
      <c r="SW46" s="47"/>
      <c r="SX46" s="47"/>
      <c r="SY46" s="47"/>
      <c r="SZ46" s="47"/>
      <c r="TA46" s="47"/>
      <c r="TB46" s="47"/>
      <c r="TC46" s="47"/>
      <c r="TD46" s="47"/>
      <c r="TE46" s="47"/>
      <c r="TF46" s="47"/>
      <c r="TG46" s="47"/>
      <c r="TH46" s="47"/>
      <c r="TI46" s="47"/>
      <c r="TJ46" s="47"/>
      <c r="TK46" s="47"/>
      <c r="TL46" s="47"/>
      <c r="TM46" s="47"/>
      <c r="TN46" s="47"/>
      <c r="TO46" s="47"/>
      <c r="TP46" s="47"/>
      <c r="TQ46" s="47"/>
      <c r="TR46" s="47"/>
      <c r="TS46" s="47"/>
      <c r="TT46" s="47"/>
      <c r="TU46" s="47"/>
      <c r="TV46" s="47"/>
      <c r="TW46" s="47"/>
      <c r="TX46" s="47"/>
      <c r="TY46" s="47"/>
      <c r="TZ46" s="47"/>
      <c r="UA46" s="47"/>
      <c r="UB46" s="47"/>
      <c r="UC46" s="47"/>
      <c r="UD46" s="47"/>
      <c r="UE46" s="47"/>
      <c r="UF46" s="47"/>
      <c r="UG46" s="47"/>
      <c r="UH46" s="47"/>
      <c r="UI46" s="47"/>
      <c r="UJ46" s="47"/>
      <c r="UK46" s="47"/>
      <c r="UL46" s="47"/>
      <c r="UM46" s="47"/>
      <c r="UN46" s="47"/>
      <c r="UO46" s="47"/>
      <c r="UP46" s="47"/>
      <c r="UQ46" s="47"/>
      <c r="UR46" s="47"/>
      <c r="US46" s="47"/>
      <c r="UT46" s="47"/>
      <c r="UU46" s="47"/>
      <c r="UV46" s="47"/>
      <c r="UW46" s="47"/>
      <c r="UX46" s="47"/>
      <c r="UY46" s="47"/>
      <c r="UZ46" s="47"/>
      <c r="VA46" s="47"/>
      <c r="VB46" s="47"/>
      <c r="VC46" s="47"/>
      <c r="VD46" s="47"/>
      <c r="VE46" s="47"/>
      <c r="VF46" s="47"/>
      <c r="VG46" s="47"/>
      <c r="VH46" s="47"/>
      <c r="VI46" s="47"/>
      <c r="VJ46" s="47"/>
      <c r="VK46" s="47"/>
      <c r="VL46" s="47"/>
      <c r="VM46" s="47"/>
      <c r="VN46" s="47"/>
      <c r="VO46" s="47"/>
      <c r="VP46" s="47"/>
      <c r="VQ46" s="47"/>
      <c r="VR46" s="47"/>
      <c r="VS46" s="47"/>
      <c r="VT46" s="47"/>
      <c r="VU46" s="47"/>
      <c r="VV46" s="47"/>
      <c r="VW46" s="47"/>
      <c r="VX46" s="47"/>
      <c r="VY46" s="47"/>
      <c r="VZ46" s="47"/>
      <c r="WA46" s="47"/>
      <c r="WB46" s="47"/>
      <c r="WC46" s="47"/>
      <c r="WD46" s="47"/>
      <c r="WE46" s="47"/>
      <c r="WF46" s="47"/>
      <c r="WG46" s="47"/>
      <c r="WH46" s="47"/>
      <c r="WI46" s="47"/>
      <c r="WJ46" s="47"/>
      <c r="WK46" s="47"/>
      <c r="WL46" s="47"/>
      <c r="WM46" s="47"/>
      <c r="WN46" s="47"/>
      <c r="WO46" s="47"/>
      <c r="WP46" s="47"/>
      <c r="WQ46" s="47"/>
      <c r="WR46" s="47"/>
      <c r="WS46" s="47"/>
      <c r="WT46" s="47"/>
      <c r="WU46" s="47"/>
      <c r="WV46" s="47"/>
      <c r="WW46" s="47"/>
      <c r="WX46" s="47"/>
      <c r="WY46" s="47"/>
      <c r="WZ46" s="47"/>
      <c r="XA46" s="47"/>
      <c r="XB46" s="47"/>
      <c r="XC46" s="47"/>
      <c r="XD46" s="47"/>
      <c r="XE46" s="47"/>
      <c r="XF46" s="47"/>
      <c r="XG46" s="47"/>
      <c r="XH46" s="47"/>
      <c r="XI46" s="47"/>
      <c r="XJ46" s="47"/>
      <c r="XK46" s="47"/>
      <c r="XL46" s="47"/>
      <c r="XM46" s="47"/>
      <c r="XN46" s="47"/>
      <c r="XO46" s="47"/>
      <c r="XP46" s="47"/>
      <c r="XQ46" s="47"/>
      <c r="XR46" s="47"/>
      <c r="XS46" s="47"/>
      <c r="XT46" s="47"/>
      <c r="XU46" s="47"/>
      <c r="XV46" s="47"/>
      <c r="XW46" s="47"/>
      <c r="XX46" s="47"/>
      <c r="XY46" s="47"/>
      <c r="XZ46" s="47"/>
      <c r="YA46" s="47"/>
      <c r="YB46" s="47"/>
      <c r="YC46" s="47"/>
      <c r="YD46" s="47"/>
      <c r="YE46" s="47"/>
      <c r="YF46" s="47"/>
      <c r="YG46" s="47"/>
      <c r="YH46" s="47"/>
      <c r="YI46" s="47"/>
      <c r="YJ46" s="47"/>
      <c r="YK46" s="47"/>
      <c r="YL46" s="47"/>
      <c r="YM46" s="47"/>
      <c r="YN46" s="47"/>
      <c r="YO46" s="47"/>
      <c r="YP46" s="47"/>
      <c r="YQ46" s="47"/>
      <c r="YR46" s="47"/>
      <c r="YS46" s="47"/>
      <c r="YT46" s="47"/>
      <c r="YU46" s="47"/>
      <c r="YV46" s="47"/>
      <c r="YW46" s="47"/>
      <c r="YX46" s="47"/>
      <c r="YY46" s="47"/>
      <c r="YZ46" s="47"/>
      <c r="ZA46" s="47"/>
      <c r="ZB46" s="47"/>
      <c r="ZC46" s="47"/>
      <c r="ZD46" s="47"/>
      <c r="ZE46" s="47"/>
      <c r="ZF46" s="47"/>
      <c r="ZG46" s="47"/>
      <c r="ZH46" s="47"/>
      <c r="ZI46" s="47"/>
      <c r="ZJ46" s="47"/>
      <c r="ZK46" s="47"/>
      <c r="ZL46" s="47"/>
      <c r="ZM46" s="47"/>
      <c r="ZN46" s="47"/>
      <c r="ZO46" s="47"/>
      <c r="ZP46" s="47"/>
      <c r="ZQ46" s="47"/>
      <c r="ZR46" s="47"/>
      <c r="ZS46" s="47"/>
      <c r="ZT46" s="47"/>
      <c r="ZU46" s="47"/>
      <c r="ZV46" s="47"/>
      <c r="ZW46" s="47"/>
      <c r="ZX46" s="47"/>
      <c r="ZY46" s="47"/>
      <c r="ZZ46" s="47"/>
      <c r="AAA46" s="47"/>
      <c r="AAB46" s="47"/>
      <c r="AAC46" s="47"/>
      <c r="AAD46" s="47"/>
      <c r="AAE46" s="47"/>
      <c r="AAF46" s="47"/>
      <c r="AAG46" s="47"/>
      <c r="AAH46" s="47"/>
      <c r="AAI46" s="47"/>
      <c r="AAJ46" s="47"/>
      <c r="AAK46" s="47"/>
      <c r="AAL46" s="47"/>
      <c r="AAM46" s="47"/>
      <c r="AAN46" s="47"/>
      <c r="AAO46" s="47"/>
      <c r="AAP46" s="47"/>
      <c r="AAQ46" s="47"/>
      <c r="AAR46" s="47"/>
      <c r="AAS46" s="47"/>
      <c r="AAT46" s="47"/>
      <c r="AAU46" s="47"/>
      <c r="AAV46" s="47"/>
      <c r="AAW46" s="47"/>
      <c r="AAX46" s="47"/>
      <c r="AAY46" s="47"/>
      <c r="AAZ46" s="47"/>
      <c r="ABA46" s="47"/>
      <c r="ABB46" s="47"/>
      <c r="ABC46" s="47"/>
      <c r="ABD46" s="47"/>
      <c r="ABE46" s="47"/>
      <c r="ABF46" s="47"/>
      <c r="ABG46" s="47"/>
      <c r="ABH46" s="47"/>
      <c r="ABI46" s="47"/>
      <c r="ABJ46" s="47"/>
      <c r="ABK46" s="47"/>
      <c r="ABL46" s="47"/>
      <c r="ABM46" s="47"/>
      <c r="ABN46" s="47"/>
      <c r="ABO46" s="47"/>
      <c r="ABP46" s="47"/>
      <c r="ABQ46" s="47"/>
      <c r="ABR46" s="47"/>
      <c r="ABS46" s="47"/>
      <c r="ABT46" s="47"/>
      <c r="ABU46" s="47"/>
      <c r="ABV46" s="47"/>
      <c r="ABW46" s="47"/>
      <c r="ABX46" s="47"/>
      <c r="ABY46" s="47"/>
      <c r="ABZ46" s="47"/>
      <c r="ACA46" s="47"/>
      <c r="ACB46" s="47"/>
      <c r="ACC46" s="47"/>
      <c r="ACD46" s="47"/>
      <c r="ACE46" s="47"/>
      <c r="ACF46" s="47"/>
      <c r="ACG46" s="47"/>
      <c r="ACH46" s="47"/>
      <c r="ACI46" s="47"/>
      <c r="ACJ46" s="47"/>
      <c r="ACK46" s="47"/>
      <c r="ACL46" s="47"/>
      <c r="ACM46" s="47"/>
      <c r="ACN46" s="47"/>
      <c r="ACO46" s="47"/>
      <c r="ACP46" s="47"/>
      <c r="ACQ46" s="47"/>
      <c r="ACR46" s="47"/>
      <c r="ACS46" s="47"/>
      <c r="ACT46" s="47"/>
      <c r="ACU46" s="47"/>
      <c r="ACV46" s="47"/>
      <c r="ACW46" s="47"/>
      <c r="ACX46" s="47"/>
      <c r="ACY46" s="47"/>
      <c r="ACZ46" s="47"/>
      <c r="ADA46" s="47"/>
      <c r="ADB46" s="47"/>
      <c r="ADC46" s="47"/>
      <c r="ADD46" s="47"/>
      <c r="ADE46" s="47"/>
      <c r="ADF46" s="47"/>
      <c r="ADG46" s="47"/>
      <c r="ADH46" s="47"/>
      <c r="ADI46" s="47"/>
      <c r="ADJ46" s="47"/>
      <c r="ADK46" s="47"/>
      <c r="ADL46" s="47"/>
      <c r="ADM46" s="47"/>
      <c r="ADN46" s="47"/>
      <c r="ADO46" s="47"/>
      <c r="ADP46" s="47"/>
      <c r="ADQ46" s="47"/>
      <c r="ADR46" s="47"/>
      <c r="ADS46" s="47"/>
      <c r="ADT46" s="47"/>
      <c r="ADU46" s="47"/>
      <c r="ADV46" s="47"/>
      <c r="ADW46" s="47"/>
      <c r="ADX46" s="47"/>
      <c r="ADY46" s="47"/>
      <c r="ADZ46" s="47"/>
      <c r="AEA46" s="47"/>
      <c r="AEB46" s="47"/>
      <c r="AEC46" s="47"/>
      <c r="AED46" s="47"/>
      <c r="AEE46" s="47"/>
      <c r="AEF46" s="47"/>
      <c r="AEG46" s="47"/>
      <c r="AEH46" s="47"/>
      <c r="AEI46" s="47"/>
      <c r="AEJ46" s="47"/>
      <c r="AEK46" s="47"/>
      <c r="AEL46" s="47"/>
      <c r="AEM46" s="47"/>
      <c r="AEN46" s="47"/>
      <c r="AEO46" s="47"/>
      <c r="AEP46" s="47"/>
      <c r="AEQ46" s="47"/>
      <c r="AER46" s="47"/>
      <c r="AES46" s="47"/>
      <c r="AET46" s="47"/>
      <c r="AEU46" s="47"/>
      <c r="AEV46" s="47"/>
      <c r="AEW46" s="47"/>
      <c r="AEX46" s="47"/>
      <c r="AEY46" s="47"/>
      <c r="AEZ46" s="47"/>
      <c r="AFA46" s="47"/>
      <c r="AFB46" s="47"/>
      <c r="AFC46" s="47"/>
      <c r="AFD46" s="47"/>
      <c r="AFE46" s="47"/>
      <c r="AFF46" s="47"/>
      <c r="AFG46" s="47"/>
      <c r="AFH46" s="47"/>
      <c r="AFI46" s="47"/>
      <c r="AFJ46" s="47"/>
      <c r="AFK46" s="47"/>
      <c r="AFL46" s="47"/>
      <c r="AFM46" s="47"/>
      <c r="AFN46" s="47"/>
      <c r="AFO46" s="47"/>
      <c r="AFP46" s="47"/>
      <c r="AFQ46" s="47"/>
      <c r="AFR46" s="47"/>
      <c r="AFS46" s="47"/>
      <c r="AFT46" s="47"/>
      <c r="AFU46" s="47"/>
      <c r="AFV46" s="47"/>
      <c r="AFW46" s="47"/>
      <c r="AFX46" s="47"/>
      <c r="AFY46" s="47"/>
      <c r="AFZ46" s="47"/>
      <c r="AGA46" s="47"/>
      <c r="AGB46" s="47"/>
      <c r="AGC46" s="47"/>
      <c r="AGD46" s="47"/>
      <c r="AGE46" s="47"/>
      <c r="AGF46" s="47"/>
      <c r="AGG46" s="47"/>
      <c r="AGH46" s="47"/>
      <c r="AGI46" s="47"/>
      <c r="AGJ46" s="47"/>
      <c r="AGK46" s="47"/>
      <c r="AGL46" s="47"/>
      <c r="AGM46" s="47"/>
      <c r="AGN46" s="47"/>
      <c r="AGO46" s="47"/>
      <c r="AGP46" s="47"/>
      <c r="AGQ46" s="47"/>
      <c r="AGR46" s="47"/>
      <c r="AGS46" s="47"/>
    </row>
    <row r="47" spans="1:877" ht="13">
      <c r="A47" s="12"/>
      <c r="B47" s="44">
        <v>25</v>
      </c>
      <c r="C47" s="51" t="s">
        <v>25</v>
      </c>
      <c r="D47" s="52"/>
      <c r="E47" s="52"/>
      <c r="F47" s="27"/>
      <c r="G47" s="27">
        <f t="shared" ref="G47:CL47" si="16">G46*$B$15</f>
        <v>0</v>
      </c>
      <c r="H47" s="27">
        <f t="shared" si="16"/>
        <v>0</v>
      </c>
      <c r="I47" s="27">
        <f t="shared" si="16"/>
        <v>0</v>
      </c>
      <c r="J47" s="27">
        <f t="shared" si="16"/>
        <v>0</v>
      </c>
      <c r="K47" s="27">
        <f t="shared" si="16"/>
        <v>0</v>
      </c>
      <c r="L47" s="27">
        <f t="shared" si="16"/>
        <v>0</v>
      </c>
      <c r="M47" s="27">
        <f t="shared" si="16"/>
        <v>0</v>
      </c>
      <c r="N47" s="27">
        <f t="shared" si="16"/>
        <v>0</v>
      </c>
      <c r="O47" s="27">
        <f t="shared" si="16"/>
        <v>0</v>
      </c>
      <c r="P47" s="27">
        <f t="shared" si="16"/>
        <v>0</v>
      </c>
      <c r="Q47" s="27">
        <f t="shared" si="16"/>
        <v>0</v>
      </c>
      <c r="R47" s="27">
        <f t="shared" si="16"/>
        <v>0</v>
      </c>
      <c r="S47" s="27">
        <f t="shared" si="16"/>
        <v>0</v>
      </c>
      <c r="T47" s="27">
        <f t="shared" si="16"/>
        <v>0</v>
      </c>
      <c r="U47" s="27">
        <f t="shared" si="16"/>
        <v>0</v>
      </c>
      <c r="V47" s="27">
        <f t="shared" si="16"/>
        <v>0</v>
      </c>
      <c r="W47" s="27">
        <f t="shared" si="16"/>
        <v>0</v>
      </c>
      <c r="X47" s="27">
        <f t="shared" si="16"/>
        <v>0</v>
      </c>
      <c r="Y47" s="27">
        <f t="shared" si="16"/>
        <v>0</v>
      </c>
      <c r="Z47" s="27">
        <f t="shared" si="16"/>
        <v>0</v>
      </c>
      <c r="AA47" s="27">
        <f t="shared" si="16"/>
        <v>0</v>
      </c>
      <c r="AB47" s="27">
        <f t="shared" si="16"/>
        <v>0</v>
      </c>
      <c r="AC47" s="27">
        <f t="shared" si="16"/>
        <v>0</v>
      </c>
      <c r="AD47" s="27">
        <f t="shared" si="16"/>
        <v>0</v>
      </c>
      <c r="AE47" s="27">
        <f t="shared" si="16"/>
        <v>0</v>
      </c>
      <c r="AF47" s="27">
        <f t="shared" si="16"/>
        <v>0</v>
      </c>
      <c r="AG47" s="27">
        <f t="shared" si="16"/>
        <v>0</v>
      </c>
      <c r="AH47" s="27">
        <f t="shared" si="16"/>
        <v>0</v>
      </c>
      <c r="AI47" s="27">
        <f t="shared" si="16"/>
        <v>0</v>
      </c>
      <c r="AJ47" s="27">
        <f t="shared" si="16"/>
        <v>0</v>
      </c>
      <c r="AK47" s="27">
        <f t="shared" si="16"/>
        <v>0</v>
      </c>
      <c r="AL47" s="27">
        <f t="shared" si="16"/>
        <v>0</v>
      </c>
      <c r="AM47" s="27">
        <f t="shared" si="16"/>
        <v>0</v>
      </c>
      <c r="AN47" s="27">
        <f t="shared" si="16"/>
        <v>0</v>
      </c>
      <c r="AO47" s="27">
        <f t="shared" si="16"/>
        <v>0</v>
      </c>
      <c r="AP47" s="27">
        <f t="shared" si="16"/>
        <v>0</v>
      </c>
      <c r="AQ47" s="27">
        <f t="shared" si="16"/>
        <v>0</v>
      </c>
      <c r="AR47" s="27">
        <f t="shared" si="16"/>
        <v>0</v>
      </c>
      <c r="AS47" s="27">
        <f t="shared" si="16"/>
        <v>0</v>
      </c>
      <c r="AT47" s="27">
        <f t="shared" si="16"/>
        <v>0</v>
      </c>
      <c r="AU47" s="27">
        <f t="shared" si="16"/>
        <v>0</v>
      </c>
      <c r="AV47" s="27">
        <f t="shared" si="16"/>
        <v>0</v>
      </c>
      <c r="AW47" s="27">
        <f t="shared" si="16"/>
        <v>0</v>
      </c>
      <c r="AX47" s="27">
        <f t="shared" si="16"/>
        <v>0</v>
      </c>
      <c r="AY47" s="27">
        <f t="shared" si="16"/>
        <v>0</v>
      </c>
      <c r="AZ47" s="27">
        <f t="shared" si="16"/>
        <v>0</v>
      </c>
      <c r="BA47" s="27">
        <f t="shared" si="16"/>
        <v>0</v>
      </c>
      <c r="BB47" s="27">
        <f t="shared" si="16"/>
        <v>0</v>
      </c>
      <c r="BC47" s="27">
        <f t="shared" si="16"/>
        <v>937500</v>
      </c>
      <c r="BD47" s="27">
        <f t="shared" si="16"/>
        <v>937500</v>
      </c>
      <c r="BE47" s="27">
        <f t="shared" si="16"/>
        <v>937500</v>
      </c>
      <c r="BF47" s="27">
        <f t="shared" si="16"/>
        <v>937500</v>
      </c>
      <c r="BG47" s="27">
        <f t="shared" si="16"/>
        <v>937500</v>
      </c>
      <c r="BH47" s="27">
        <f t="shared" si="16"/>
        <v>937500</v>
      </c>
      <c r="BI47" s="27">
        <f t="shared" si="16"/>
        <v>937500</v>
      </c>
      <c r="BJ47" s="27">
        <f t="shared" si="16"/>
        <v>937500</v>
      </c>
      <c r="BK47" s="27">
        <f t="shared" si="16"/>
        <v>937500</v>
      </c>
      <c r="BL47" s="27">
        <f t="shared" si="16"/>
        <v>937500</v>
      </c>
      <c r="BM47" s="27">
        <f t="shared" si="16"/>
        <v>937500</v>
      </c>
      <c r="BN47" s="27">
        <f t="shared" si="16"/>
        <v>937500</v>
      </c>
      <c r="BO47" s="27">
        <f t="shared" si="16"/>
        <v>1875000</v>
      </c>
      <c r="BP47" s="27">
        <f t="shared" si="16"/>
        <v>1875000</v>
      </c>
      <c r="BQ47" s="27">
        <f t="shared" si="16"/>
        <v>1875000</v>
      </c>
      <c r="BR47" s="27">
        <f t="shared" si="16"/>
        <v>1875000</v>
      </c>
      <c r="BS47" s="27">
        <f t="shared" si="16"/>
        <v>1875000</v>
      </c>
      <c r="BT47" s="27">
        <f t="shared" si="16"/>
        <v>1875000</v>
      </c>
      <c r="BU47" s="27">
        <f t="shared" si="16"/>
        <v>1875000</v>
      </c>
      <c r="BV47" s="27">
        <f t="shared" si="16"/>
        <v>1875000</v>
      </c>
      <c r="BW47" s="27">
        <f t="shared" si="16"/>
        <v>1875000</v>
      </c>
      <c r="BX47" s="27">
        <f t="shared" si="16"/>
        <v>1875000</v>
      </c>
      <c r="BY47" s="27">
        <f t="shared" si="16"/>
        <v>1875000</v>
      </c>
      <c r="BZ47" s="27">
        <f t="shared" si="16"/>
        <v>1875000</v>
      </c>
      <c r="CA47" s="27">
        <f t="shared" si="16"/>
        <v>1875000</v>
      </c>
      <c r="CB47" s="27">
        <f t="shared" si="16"/>
        <v>1875000</v>
      </c>
      <c r="CC47" s="27">
        <f t="shared" si="16"/>
        <v>1875000</v>
      </c>
      <c r="CD47" s="27">
        <f t="shared" si="16"/>
        <v>1875000</v>
      </c>
      <c r="CE47" s="27">
        <f t="shared" si="16"/>
        <v>1875000</v>
      </c>
      <c r="CF47" s="27">
        <f t="shared" si="16"/>
        <v>1875000</v>
      </c>
      <c r="CG47" s="27">
        <f t="shared" si="16"/>
        <v>1875000</v>
      </c>
      <c r="CH47" s="27">
        <f t="shared" si="16"/>
        <v>1875000</v>
      </c>
      <c r="CI47" s="27">
        <f t="shared" si="16"/>
        <v>1875000</v>
      </c>
      <c r="CJ47" s="27">
        <f t="shared" si="16"/>
        <v>1875000</v>
      </c>
      <c r="CK47" s="27">
        <f t="shared" si="16"/>
        <v>1875000</v>
      </c>
      <c r="CL47" s="27">
        <f t="shared" si="16"/>
        <v>1875000</v>
      </c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</row>
    <row r="48" spans="1:877" ht="13">
      <c r="A48" s="12"/>
      <c r="B48" s="53"/>
      <c r="C48" s="49" t="s">
        <v>26</v>
      </c>
      <c r="D48" s="52"/>
      <c r="E48" s="52"/>
      <c r="F48" s="27"/>
      <c r="G48" s="27">
        <f t="shared" ref="G48:CL48" si="17">G46*$B$13</f>
        <v>0</v>
      </c>
      <c r="H48" s="27">
        <f t="shared" si="17"/>
        <v>0</v>
      </c>
      <c r="I48" s="27">
        <f t="shared" si="17"/>
        <v>0</v>
      </c>
      <c r="J48" s="27">
        <f t="shared" si="17"/>
        <v>0</v>
      </c>
      <c r="K48" s="27">
        <f t="shared" si="17"/>
        <v>0</v>
      </c>
      <c r="L48" s="27">
        <f t="shared" si="17"/>
        <v>0</v>
      </c>
      <c r="M48" s="27">
        <f t="shared" si="17"/>
        <v>0</v>
      </c>
      <c r="N48" s="27">
        <f t="shared" si="17"/>
        <v>0</v>
      </c>
      <c r="O48" s="27">
        <f t="shared" si="17"/>
        <v>0</v>
      </c>
      <c r="P48" s="27">
        <f t="shared" si="17"/>
        <v>0</v>
      </c>
      <c r="Q48" s="27">
        <f t="shared" si="17"/>
        <v>0</v>
      </c>
      <c r="R48" s="27">
        <f t="shared" si="17"/>
        <v>0</v>
      </c>
      <c r="S48" s="27">
        <f t="shared" si="17"/>
        <v>0</v>
      </c>
      <c r="T48" s="27">
        <f t="shared" si="17"/>
        <v>0</v>
      </c>
      <c r="U48" s="27">
        <f t="shared" si="17"/>
        <v>0</v>
      </c>
      <c r="V48" s="27">
        <f t="shared" si="17"/>
        <v>0</v>
      </c>
      <c r="W48" s="27">
        <f t="shared" si="17"/>
        <v>0</v>
      </c>
      <c r="X48" s="27">
        <f t="shared" si="17"/>
        <v>0</v>
      </c>
      <c r="Y48" s="27">
        <f t="shared" si="17"/>
        <v>0</v>
      </c>
      <c r="Z48" s="27">
        <f t="shared" si="17"/>
        <v>0</v>
      </c>
      <c r="AA48" s="27">
        <f t="shared" si="17"/>
        <v>0</v>
      </c>
      <c r="AB48" s="27">
        <f t="shared" si="17"/>
        <v>0</v>
      </c>
      <c r="AC48" s="27">
        <f t="shared" si="17"/>
        <v>0</v>
      </c>
      <c r="AD48" s="27">
        <f t="shared" si="17"/>
        <v>0</v>
      </c>
      <c r="AE48" s="27">
        <f t="shared" si="17"/>
        <v>0</v>
      </c>
      <c r="AF48" s="27">
        <f t="shared" si="17"/>
        <v>0</v>
      </c>
      <c r="AG48" s="27">
        <f t="shared" si="17"/>
        <v>0</v>
      </c>
      <c r="AH48" s="27">
        <f t="shared" si="17"/>
        <v>0</v>
      </c>
      <c r="AI48" s="27">
        <f t="shared" si="17"/>
        <v>0</v>
      </c>
      <c r="AJ48" s="27">
        <f t="shared" si="17"/>
        <v>0</v>
      </c>
      <c r="AK48" s="27">
        <f t="shared" si="17"/>
        <v>0</v>
      </c>
      <c r="AL48" s="27">
        <f t="shared" si="17"/>
        <v>0</v>
      </c>
      <c r="AM48" s="27">
        <f t="shared" si="17"/>
        <v>0</v>
      </c>
      <c r="AN48" s="27">
        <f t="shared" si="17"/>
        <v>0</v>
      </c>
      <c r="AO48" s="27">
        <f t="shared" si="17"/>
        <v>0</v>
      </c>
      <c r="AP48" s="27">
        <f t="shared" si="17"/>
        <v>0</v>
      </c>
      <c r="AQ48" s="27">
        <f t="shared" si="17"/>
        <v>0</v>
      </c>
      <c r="AR48" s="27">
        <f t="shared" si="17"/>
        <v>0</v>
      </c>
      <c r="AS48" s="27">
        <f t="shared" si="17"/>
        <v>0</v>
      </c>
      <c r="AT48" s="27">
        <f t="shared" si="17"/>
        <v>0</v>
      </c>
      <c r="AU48" s="27">
        <f t="shared" si="17"/>
        <v>0</v>
      </c>
      <c r="AV48" s="27">
        <f t="shared" si="17"/>
        <v>0</v>
      </c>
      <c r="AW48" s="27">
        <f t="shared" si="17"/>
        <v>0</v>
      </c>
      <c r="AX48" s="27">
        <f t="shared" si="17"/>
        <v>0</v>
      </c>
      <c r="AY48" s="27">
        <f t="shared" si="17"/>
        <v>0</v>
      </c>
      <c r="AZ48" s="27">
        <f t="shared" si="17"/>
        <v>0</v>
      </c>
      <c r="BA48" s="27">
        <f t="shared" si="17"/>
        <v>0</v>
      </c>
      <c r="BB48" s="27">
        <f t="shared" si="17"/>
        <v>0</v>
      </c>
      <c r="BC48" s="27">
        <f t="shared" si="17"/>
        <v>98245.065789473694</v>
      </c>
      <c r="BD48" s="27">
        <f t="shared" si="17"/>
        <v>98245.065789473694</v>
      </c>
      <c r="BE48" s="27">
        <f t="shared" si="17"/>
        <v>98245.065789473694</v>
      </c>
      <c r="BF48" s="27">
        <f t="shared" si="17"/>
        <v>98245.065789473694</v>
      </c>
      <c r="BG48" s="27">
        <f t="shared" si="17"/>
        <v>98245.065789473694</v>
      </c>
      <c r="BH48" s="27">
        <f t="shared" si="17"/>
        <v>98245.065789473694</v>
      </c>
      <c r="BI48" s="27">
        <f t="shared" si="17"/>
        <v>98245.065789473694</v>
      </c>
      <c r="BJ48" s="27">
        <f t="shared" si="17"/>
        <v>98245.065789473694</v>
      </c>
      <c r="BK48" s="27">
        <f t="shared" si="17"/>
        <v>98245.065789473694</v>
      </c>
      <c r="BL48" s="27">
        <f t="shared" si="17"/>
        <v>98245.065789473694</v>
      </c>
      <c r="BM48" s="27">
        <f t="shared" si="17"/>
        <v>98245.065789473694</v>
      </c>
      <c r="BN48" s="27">
        <f t="shared" si="17"/>
        <v>98245.065789473694</v>
      </c>
      <c r="BO48" s="27">
        <f t="shared" si="17"/>
        <v>196490.13157894739</v>
      </c>
      <c r="BP48" s="27">
        <f t="shared" si="17"/>
        <v>196490.13157894739</v>
      </c>
      <c r="BQ48" s="27">
        <f t="shared" si="17"/>
        <v>196490.13157894739</v>
      </c>
      <c r="BR48" s="27">
        <f t="shared" si="17"/>
        <v>196490.13157894739</v>
      </c>
      <c r="BS48" s="27">
        <f t="shared" si="17"/>
        <v>196490.13157894739</v>
      </c>
      <c r="BT48" s="27">
        <f t="shared" si="17"/>
        <v>196490.13157894739</v>
      </c>
      <c r="BU48" s="27">
        <f t="shared" si="17"/>
        <v>196490.13157894739</v>
      </c>
      <c r="BV48" s="27">
        <f t="shared" si="17"/>
        <v>196490.13157894739</v>
      </c>
      <c r="BW48" s="27">
        <f t="shared" si="17"/>
        <v>196490.13157894739</v>
      </c>
      <c r="BX48" s="27">
        <f t="shared" si="17"/>
        <v>196490.13157894739</v>
      </c>
      <c r="BY48" s="27">
        <f t="shared" si="17"/>
        <v>196490.13157894739</v>
      </c>
      <c r="BZ48" s="27">
        <f t="shared" si="17"/>
        <v>196490.13157894739</v>
      </c>
      <c r="CA48" s="27">
        <f t="shared" si="17"/>
        <v>196490.13157894739</v>
      </c>
      <c r="CB48" s="27">
        <f t="shared" si="17"/>
        <v>196490.13157894739</v>
      </c>
      <c r="CC48" s="27">
        <f t="shared" si="17"/>
        <v>196490.13157894739</v>
      </c>
      <c r="CD48" s="27">
        <f t="shared" si="17"/>
        <v>196490.13157894739</v>
      </c>
      <c r="CE48" s="27">
        <f t="shared" si="17"/>
        <v>196490.13157894739</v>
      </c>
      <c r="CF48" s="27">
        <f t="shared" si="17"/>
        <v>196490.13157894739</v>
      </c>
      <c r="CG48" s="27">
        <f t="shared" si="17"/>
        <v>196490.13157894739</v>
      </c>
      <c r="CH48" s="27">
        <f t="shared" si="17"/>
        <v>196490.13157894739</v>
      </c>
      <c r="CI48" s="27">
        <f t="shared" si="17"/>
        <v>196490.13157894739</v>
      </c>
      <c r="CJ48" s="27">
        <f t="shared" si="17"/>
        <v>196490.13157894739</v>
      </c>
      <c r="CK48" s="27">
        <f t="shared" si="17"/>
        <v>196490.13157894739</v>
      </c>
      <c r="CL48" s="27">
        <f t="shared" si="17"/>
        <v>196490.13157894739</v>
      </c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</row>
    <row r="49" spans="1:877" ht="13">
      <c r="A49" s="25"/>
      <c r="B49" s="50"/>
      <c r="C49" s="33" t="s">
        <v>27</v>
      </c>
      <c r="D49" s="34"/>
      <c r="E49" s="34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>
        <f t="shared" ref="AQ49:CL49" si="18">AQ46*($B$47-$B$45)</f>
        <v>0</v>
      </c>
      <c r="AR49" s="35">
        <f t="shared" si="18"/>
        <v>0</v>
      </c>
      <c r="AS49" s="35">
        <f t="shared" si="18"/>
        <v>0</v>
      </c>
      <c r="AT49" s="35">
        <f t="shared" si="18"/>
        <v>0</v>
      </c>
      <c r="AU49" s="35">
        <f t="shared" si="18"/>
        <v>0</v>
      </c>
      <c r="AV49" s="35">
        <f t="shared" si="18"/>
        <v>0</v>
      </c>
      <c r="AW49" s="35">
        <f t="shared" si="18"/>
        <v>0</v>
      </c>
      <c r="AX49" s="35">
        <f t="shared" si="18"/>
        <v>0</v>
      </c>
      <c r="AY49" s="35">
        <f t="shared" si="18"/>
        <v>0</v>
      </c>
      <c r="AZ49" s="35">
        <f t="shared" si="18"/>
        <v>0</v>
      </c>
      <c r="BA49" s="35">
        <f t="shared" si="18"/>
        <v>0</v>
      </c>
      <c r="BB49" s="35">
        <f t="shared" si="18"/>
        <v>0</v>
      </c>
      <c r="BC49" s="35">
        <f t="shared" si="18"/>
        <v>839254.93421052629</v>
      </c>
      <c r="BD49" s="35">
        <f t="shared" si="18"/>
        <v>839254.93421052629</v>
      </c>
      <c r="BE49" s="35">
        <f t="shared" si="18"/>
        <v>839254.93421052629</v>
      </c>
      <c r="BF49" s="35">
        <f t="shared" si="18"/>
        <v>839254.93421052629</v>
      </c>
      <c r="BG49" s="35">
        <f t="shared" si="18"/>
        <v>839254.93421052629</v>
      </c>
      <c r="BH49" s="35">
        <f t="shared" si="18"/>
        <v>839254.93421052629</v>
      </c>
      <c r="BI49" s="35">
        <f t="shared" si="18"/>
        <v>839254.93421052629</v>
      </c>
      <c r="BJ49" s="35">
        <f t="shared" si="18"/>
        <v>839254.93421052629</v>
      </c>
      <c r="BK49" s="35">
        <f t="shared" si="18"/>
        <v>839254.93421052629</v>
      </c>
      <c r="BL49" s="35">
        <f t="shared" si="18"/>
        <v>839254.93421052629</v>
      </c>
      <c r="BM49" s="35">
        <f t="shared" si="18"/>
        <v>839254.93421052629</v>
      </c>
      <c r="BN49" s="35">
        <f t="shared" si="18"/>
        <v>839254.93421052629</v>
      </c>
      <c r="BO49" s="35">
        <f t="shared" si="18"/>
        <v>1678509.8684210526</v>
      </c>
      <c r="BP49" s="35">
        <f t="shared" si="18"/>
        <v>1678509.8684210526</v>
      </c>
      <c r="BQ49" s="35">
        <f t="shared" si="18"/>
        <v>1678509.8684210526</v>
      </c>
      <c r="BR49" s="35">
        <f t="shared" si="18"/>
        <v>1678509.8684210526</v>
      </c>
      <c r="BS49" s="35">
        <f t="shared" si="18"/>
        <v>1678509.8684210526</v>
      </c>
      <c r="BT49" s="35">
        <f t="shared" si="18"/>
        <v>1678509.8684210526</v>
      </c>
      <c r="BU49" s="35">
        <f t="shared" si="18"/>
        <v>1678509.8684210526</v>
      </c>
      <c r="BV49" s="35">
        <f t="shared" si="18"/>
        <v>1678509.8684210526</v>
      </c>
      <c r="BW49" s="35">
        <f t="shared" si="18"/>
        <v>1678509.8684210526</v>
      </c>
      <c r="BX49" s="35">
        <f t="shared" si="18"/>
        <v>1678509.8684210526</v>
      </c>
      <c r="BY49" s="35">
        <f t="shared" si="18"/>
        <v>1678509.8684210526</v>
      </c>
      <c r="BZ49" s="35">
        <f t="shared" si="18"/>
        <v>1678509.8684210526</v>
      </c>
      <c r="CA49" s="35">
        <f t="shared" si="18"/>
        <v>1678509.8684210526</v>
      </c>
      <c r="CB49" s="35">
        <f t="shared" si="18"/>
        <v>1678509.8684210526</v>
      </c>
      <c r="CC49" s="35">
        <f t="shared" si="18"/>
        <v>1678509.8684210526</v>
      </c>
      <c r="CD49" s="35">
        <f t="shared" si="18"/>
        <v>1678509.8684210526</v>
      </c>
      <c r="CE49" s="35">
        <f t="shared" si="18"/>
        <v>1678509.8684210526</v>
      </c>
      <c r="CF49" s="35">
        <f t="shared" si="18"/>
        <v>1678509.8684210526</v>
      </c>
      <c r="CG49" s="35">
        <f t="shared" si="18"/>
        <v>1678509.8684210526</v>
      </c>
      <c r="CH49" s="35">
        <f t="shared" si="18"/>
        <v>1678509.8684210526</v>
      </c>
      <c r="CI49" s="35">
        <f t="shared" si="18"/>
        <v>1678509.8684210526</v>
      </c>
      <c r="CJ49" s="35">
        <f t="shared" si="18"/>
        <v>1678509.8684210526</v>
      </c>
      <c r="CK49" s="35">
        <f t="shared" si="18"/>
        <v>1678509.8684210526</v>
      </c>
      <c r="CL49" s="35">
        <f t="shared" si="18"/>
        <v>1678509.8684210526</v>
      </c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K49" s="21"/>
      <c r="JL49" s="21"/>
      <c r="JM49" s="21"/>
      <c r="JN49" s="21"/>
      <c r="JO49" s="21"/>
      <c r="JP49" s="21"/>
      <c r="JQ49" s="21"/>
      <c r="JR49" s="21"/>
      <c r="JS49" s="21"/>
      <c r="JT49" s="21"/>
      <c r="JU49" s="21"/>
      <c r="JV49" s="21"/>
      <c r="JW49" s="21"/>
      <c r="JX49" s="21"/>
      <c r="JY49" s="21"/>
      <c r="JZ49" s="21"/>
      <c r="KA49" s="21"/>
      <c r="KB49" s="21"/>
      <c r="KC49" s="21"/>
      <c r="KD49" s="21"/>
      <c r="KE49" s="21"/>
      <c r="KF49" s="21"/>
      <c r="KG49" s="21"/>
      <c r="KH49" s="21"/>
      <c r="KI49" s="21"/>
      <c r="KJ49" s="21"/>
      <c r="KK49" s="21"/>
      <c r="KL49" s="21"/>
      <c r="KM49" s="21"/>
      <c r="KN49" s="21"/>
      <c r="KO49" s="21"/>
      <c r="KP49" s="21"/>
      <c r="KQ49" s="21"/>
      <c r="KR49" s="21"/>
      <c r="KS49" s="21"/>
      <c r="KT49" s="21"/>
      <c r="KU49" s="21"/>
      <c r="KV49" s="21"/>
      <c r="KW49" s="21"/>
      <c r="KX49" s="21"/>
      <c r="KY49" s="21"/>
      <c r="KZ49" s="21"/>
      <c r="LA49" s="21"/>
      <c r="LB49" s="21"/>
      <c r="LC49" s="21"/>
      <c r="LD49" s="21"/>
      <c r="LE49" s="21"/>
      <c r="LF49" s="21"/>
      <c r="LG49" s="21"/>
      <c r="LH49" s="21"/>
      <c r="LI49" s="21"/>
      <c r="LJ49" s="21"/>
      <c r="LK49" s="21"/>
      <c r="LL49" s="21"/>
      <c r="LM49" s="21"/>
      <c r="LN49" s="21"/>
      <c r="LO49" s="21"/>
      <c r="LP49" s="21"/>
      <c r="LQ49" s="21"/>
      <c r="LR49" s="21"/>
      <c r="LS49" s="21"/>
      <c r="LT49" s="21"/>
      <c r="LU49" s="21"/>
      <c r="LV49" s="21"/>
      <c r="LW49" s="21"/>
      <c r="LX49" s="21"/>
      <c r="LY49" s="21"/>
      <c r="LZ49" s="21"/>
      <c r="MA49" s="21"/>
      <c r="MB49" s="21"/>
      <c r="MC49" s="21"/>
      <c r="MD49" s="21"/>
      <c r="ME49" s="21"/>
      <c r="MF49" s="21"/>
      <c r="MG49" s="21"/>
      <c r="MH49" s="21"/>
      <c r="MI49" s="21"/>
      <c r="MJ49" s="21"/>
      <c r="MK49" s="21"/>
      <c r="ML49" s="21"/>
      <c r="MM49" s="21"/>
      <c r="MN49" s="21"/>
      <c r="MO49" s="21"/>
      <c r="MP49" s="21"/>
      <c r="MQ49" s="21"/>
      <c r="MR49" s="21"/>
      <c r="MS49" s="21"/>
      <c r="MT49" s="21"/>
      <c r="MU49" s="21"/>
      <c r="MV49" s="21"/>
      <c r="MW49" s="21"/>
      <c r="MX49" s="21"/>
      <c r="MY49" s="21"/>
      <c r="MZ49" s="21"/>
      <c r="NA49" s="21"/>
      <c r="NB49" s="21"/>
      <c r="NC49" s="21"/>
      <c r="ND49" s="21"/>
      <c r="NE49" s="21"/>
      <c r="NF49" s="21"/>
      <c r="NG49" s="21"/>
      <c r="NH49" s="21"/>
      <c r="NI49" s="21"/>
      <c r="NJ49" s="21"/>
      <c r="NK49" s="21"/>
      <c r="NL49" s="21"/>
      <c r="NM49" s="21"/>
      <c r="NN49" s="21"/>
      <c r="NO49" s="21"/>
      <c r="NP49" s="21"/>
      <c r="NQ49" s="21"/>
      <c r="NR49" s="21"/>
      <c r="NS49" s="21"/>
      <c r="NT49" s="21"/>
      <c r="NU49" s="21"/>
      <c r="NV49" s="21"/>
      <c r="NW49" s="21"/>
      <c r="NX49" s="21"/>
      <c r="NY49" s="21"/>
      <c r="NZ49" s="21"/>
      <c r="OA49" s="21"/>
      <c r="OB49" s="21"/>
      <c r="OC49" s="21"/>
      <c r="OD49" s="21"/>
      <c r="OE49" s="21"/>
      <c r="OF49" s="21"/>
      <c r="OG49" s="21"/>
      <c r="OH49" s="21"/>
      <c r="OI49" s="21"/>
      <c r="OJ49" s="21"/>
      <c r="OK49" s="21"/>
      <c r="OL49" s="21"/>
      <c r="OM49" s="21"/>
      <c r="ON49" s="21"/>
      <c r="OO49" s="21"/>
      <c r="OP49" s="21"/>
      <c r="OQ49" s="21"/>
      <c r="OR49" s="21"/>
      <c r="OS49" s="21"/>
      <c r="OT49" s="21"/>
      <c r="OU49" s="21"/>
      <c r="OV49" s="21"/>
      <c r="OW49" s="21"/>
      <c r="OX49" s="21"/>
      <c r="OY49" s="21"/>
      <c r="OZ49" s="21"/>
      <c r="PA49" s="21"/>
      <c r="PB49" s="21"/>
      <c r="PC49" s="21"/>
      <c r="PD49" s="21"/>
      <c r="PE49" s="21"/>
      <c r="PF49" s="21"/>
      <c r="PG49" s="21"/>
      <c r="PH49" s="21"/>
      <c r="PI49" s="21"/>
      <c r="PJ49" s="21"/>
      <c r="PK49" s="21"/>
      <c r="PL49" s="21"/>
      <c r="PM49" s="21"/>
      <c r="PN49" s="21"/>
      <c r="PO49" s="21"/>
      <c r="PP49" s="21"/>
      <c r="PQ49" s="21"/>
      <c r="PR49" s="21"/>
      <c r="PS49" s="21"/>
      <c r="PT49" s="21"/>
      <c r="PU49" s="21"/>
      <c r="PV49" s="21"/>
      <c r="PW49" s="21"/>
      <c r="PX49" s="21"/>
      <c r="PY49" s="21"/>
      <c r="PZ49" s="21"/>
      <c r="QA49" s="21"/>
      <c r="QB49" s="21"/>
      <c r="QC49" s="21"/>
      <c r="QD49" s="21"/>
      <c r="QE49" s="21"/>
      <c r="QF49" s="21"/>
      <c r="QG49" s="21"/>
      <c r="QH49" s="21"/>
      <c r="QI49" s="21"/>
      <c r="QJ49" s="21"/>
      <c r="QK49" s="21"/>
      <c r="QL49" s="21"/>
      <c r="QM49" s="21"/>
      <c r="QN49" s="21"/>
      <c r="QO49" s="21"/>
      <c r="QP49" s="21"/>
      <c r="QQ49" s="21"/>
      <c r="QR49" s="21"/>
      <c r="QS49" s="21"/>
      <c r="QT49" s="21"/>
      <c r="QU49" s="21"/>
      <c r="QV49" s="21"/>
      <c r="QW49" s="21"/>
      <c r="QX49" s="21"/>
      <c r="QY49" s="21"/>
      <c r="QZ49" s="21"/>
      <c r="RA49" s="21"/>
      <c r="RB49" s="21"/>
      <c r="RC49" s="21"/>
      <c r="RD49" s="21"/>
      <c r="RE49" s="21"/>
      <c r="RF49" s="21"/>
      <c r="RG49" s="21"/>
      <c r="RH49" s="21"/>
      <c r="RI49" s="21"/>
      <c r="RJ49" s="21"/>
      <c r="RK49" s="21"/>
      <c r="RL49" s="21"/>
      <c r="RM49" s="21"/>
      <c r="RN49" s="21"/>
      <c r="RO49" s="21"/>
      <c r="RP49" s="21"/>
      <c r="RQ49" s="21"/>
      <c r="RR49" s="21"/>
      <c r="RS49" s="21"/>
      <c r="RT49" s="21"/>
      <c r="RU49" s="21"/>
      <c r="RV49" s="21"/>
      <c r="RW49" s="21"/>
      <c r="RX49" s="21"/>
      <c r="RY49" s="21"/>
      <c r="RZ49" s="21"/>
      <c r="SA49" s="21"/>
      <c r="SB49" s="21"/>
      <c r="SC49" s="21"/>
      <c r="SD49" s="21"/>
      <c r="SE49" s="21"/>
      <c r="SF49" s="21"/>
      <c r="SG49" s="21"/>
      <c r="SH49" s="21"/>
      <c r="SI49" s="21"/>
      <c r="SJ49" s="21"/>
      <c r="SK49" s="21"/>
      <c r="SL49" s="21"/>
      <c r="SM49" s="21"/>
      <c r="SN49" s="21"/>
      <c r="SO49" s="21"/>
      <c r="SP49" s="21"/>
      <c r="SQ49" s="21"/>
      <c r="SR49" s="21"/>
      <c r="SS49" s="21"/>
      <c r="ST49" s="21"/>
      <c r="SU49" s="21"/>
      <c r="SV49" s="21"/>
      <c r="SW49" s="21"/>
      <c r="SX49" s="21"/>
      <c r="SY49" s="21"/>
      <c r="SZ49" s="21"/>
      <c r="TA49" s="21"/>
      <c r="TB49" s="21"/>
      <c r="TC49" s="21"/>
      <c r="TD49" s="21"/>
      <c r="TE49" s="21"/>
      <c r="TF49" s="21"/>
      <c r="TG49" s="21"/>
      <c r="TH49" s="21"/>
      <c r="TI49" s="21"/>
      <c r="TJ49" s="21"/>
      <c r="TK49" s="21"/>
      <c r="TL49" s="21"/>
      <c r="TM49" s="21"/>
      <c r="TN49" s="21"/>
      <c r="TO49" s="21"/>
      <c r="TP49" s="21"/>
      <c r="TQ49" s="21"/>
      <c r="TR49" s="21"/>
      <c r="TS49" s="21"/>
      <c r="TT49" s="21"/>
      <c r="TU49" s="21"/>
      <c r="TV49" s="21"/>
      <c r="TW49" s="21"/>
      <c r="TX49" s="21"/>
      <c r="TY49" s="21"/>
      <c r="TZ49" s="21"/>
      <c r="UA49" s="21"/>
      <c r="UB49" s="21"/>
      <c r="UC49" s="21"/>
      <c r="UD49" s="21"/>
      <c r="UE49" s="21"/>
      <c r="UF49" s="21"/>
      <c r="UG49" s="21"/>
      <c r="UH49" s="21"/>
      <c r="UI49" s="21"/>
      <c r="UJ49" s="21"/>
      <c r="UK49" s="21"/>
      <c r="UL49" s="21"/>
      <c r="UM49" s="21"/>
      <c r="UN49" s="21"/>
      <c r="UO49" s="21"/>
      <c r="UP49" s="21"/>
      <c r="UQ49" s="21"/>
      <c r="UR49" s="21"/>
      <c r="US49" s="21"/>
      <c r="UT49" s="21"/>
      <c r="UU49" s="21"/>
      <c r="UV49" s="21"/>
      <c r="UW49" s="21"/>
      <c r="UX49" s="21"/>
      <c r="UY49" s="21"/>
      <c r="UZ49" s="21"/>
      <c r="VA49" s="21"/>
      <c r="VB49" s="21"/>
      <c r="VC49" s="21"/>
      <c r="VD49" s="21"/>
      <c r="VE49" s="21"/>
      <c r="VF49" s="21"/>
      <c r="VG49" s="21"/>
      <c r="VH49" s="21"/>
      <c r="VI49" s="21"/>
      <c r="VJ49" s="21"/>
      <c r="VK49" s="21"/>
      <c r="VL49" s="21"/>
      <c r="VM49" s="21"/>
      <c r="VN49" s="21"/>
      <c r="VO49" s="21"/>
      <c r="VP49" s="21"/>
      <c r="VQ49" s="21"/>
      <c r="VR49" s="21"/>
      <c r="VS49" s="21"/>
      <c r="VT49" s="21"/>
      <c r="VU49" s="21"/>
      <c r="VV49" s="21"/>
      <c r="VW49" s="21"/>
      <c r="VX49" s="21"/>
      <c r="VY49" s="21"/>
      <c r="VZ49" s="21"/>
      <c r="WA49" s="21"/>
      <c r="WB49" s="21"/>
      <c r="WC49" s="21"/>
      <c r="WD49" s="21"/>
      <c r="WE49" s="21"/>
      <c r="WF49" s="21"/>
      <c r="WG49" s="21"/>
      <c r="WH49" s="21"/>
      <c r="WI49" s="21"/>
      <c r="WJ49" s="21"/>
      <c r="WK49" s="21"/>
      <c r="WL49" s="21"/>
      <c r="WM49" s="21"/>
      <c r="WN49" s="21"/>
      <c r="WO49" s="21"/>
      <c r="WP49" s="21"/>
      <c r="WQ49" s="21"/>
      <c r="WR49" s="21"/>
      <c r="WS49" s="21"/>
      <c r="WT49" s="21"/>
      <c r="WU49" s="21"/>
      <c r="WV49" s="21"/>
      <c r="WW49" s="21"/>
      <c r="WX49" s="21"/>
      <c r="WY49" s="21"/>
      <c r="WZ49" s="21"/>
      <c r="XA49" s="21"/>
      <c r="XB49" s="21"/>
      <c r="XC49" s="21"/>
      <c r="XD49" s="21"/>
      <c r="XE49" s="21"/>
      <c r="XF49" s="21"/>
      <c r="XG49" s="21"/>
      <c r="XH49" s="21"/>
      <c r="XI49" s="21"/>
      <c r="XJ49" s="21"/>
      <c r="XK49" s="21"/>
      <c r="XL49" s="21"/>
      <c r="XM49" s="21"/>
      <c r="XN49" s="21"/>
      <c r="XO49" s="21"/>
      <c r="XP49" s="21"/>
      <c r="XQ49" s="21"/>
      <c r="XR49" s="21"/>
      <c r="XS49" s="21"/>
      <c r="XT49" s="21"/>
      <c r="XU49" s="21"/>
      <c r="XV49" s="21"/>
      <c r="XW49" s="21"/>
      <c r="XX49" s="21"/>
      <c r="XY49" s="21"/>
      <c r="XZ49" s="21"/>
      <c r="YA49" s="21"/>
      <c r="YB49" s="21"/>
      <c r="YC49" s="21"/>
      <c r="YD49" s="21"/>
      <c r="YE49" s="21"/>
      <c r="YF49" s="21"/>
      <c r="YG49" s="21"/>
      <c r="YH49" s="21"/>
      <c r="YI49" s="21"/>
      <c r="YJ49" s="21"/>
      <c r="YK49" s="21"/>
      <c r="YL49" s="21"/>
      <c r="YM49" s="21"/>
      <c r="YN49" s="21"/>
      <c r="YO49" s="21"/>
      <c r="YP49" s="21"/>
      <c r="YQ49" s="21"/>
      <c r="YR49" s="21"/>
      <c r="YS49" s="21"/>
      <c r="YT49" s="21"/>
      <c r="YU49" s="21"/>
      <c r="YV49" s="21"/>
      <c r="YW49" s="21"/>
      <c r="YX49" s="21"/>
      <c r="YY49" s="21"/>
      <c r="YZ49" s="21"/>
      <c r="ZA49" s="21"/>
      <c r="ZB49" s="21"/>
      <c r="ZC49" s="21"/>
      <c r="ZD49" s="21"/>
      <c r="ZE49" s="21"/>
      <c r="ZF49" s="21"/>
      <c r="ZG49" s="21"/>
      <c r="ZH49" s="21"/>
      <c r="ZI49" s="21"/>
      <c r="ZJ49" s="21"/>
      <c r="ZK49" s="21"/>
      <c r="ZL49" s="21"/>
      <c r="ZM49" s="21"/>
      <c r="ZN49" s="21"/>
      <c r="ZO49" s="21"/>
      <c r="ZP49" s="21"/>
      <c r="ZQ49" s="21"/>
      <c r="ZR49" s="21"/>
      <c r="ZS49" s="21"/>
      <c r="ZT49" s="21"/>
      <c r="ZU49" s="21"/>
      <c r="ZV49" s="21"/>
      <c r="ZW49" s="21"/>
      <c r="ZX49" s="21"/>
      <c r="ZY49" s="21"/>
      <c r="ZZ49" s="21"/>
      <c r="AAA49" s="21"/>
      <c r="AAB49" s="21"/>
      <c r="AAC49" s="21"/>
      <c r="AAD49" s="21"/>
      <c r="AAE49" s="21"/>
      <c r="AAF49" s="21"/>
      <c r="AAG49" s="21"/>
      <c r="AAH49" s="21"/>
      <c r="AAI49" s="21"/>
      <c r="AAJ49" s="21"/>
      <c r="AAK49" s="21"/>
      <c r="AAL49" s="21"/>
      <c r="AAM49" s="21"/>
      <c r="AAN49" s="21"/>
      <c r="AAO49" s="21"/>
      <c r="AAP49" s="21"/>
      <c r="AAQ49" s="21"/>
      <c r="AAR49" s="21"/>
      <c r="AAS49" s="21"/>
      <c r="AAT49" s="21"/>
      <c r="AAU49" s="21"/>
      <c r="AAV49" s="21"/>
      <c r="AAW49" s="21"/>
      <c r="AAX49" s="21"/>
      <c r="AAY49" s="21"/>
      <c r="AAZ49" s="21"/>
      <c r="ABA49" s="21"/>
      <c r="ABB49" s="21"/>
      <c r="ABC49" s="21"/>
      <c r="ABD49" s="21"/>
      <c r="ABE49" s="21"/>
      <c r="ABF49" s="21"/>
      <c r="ABG49" s="21"/>
      <c r="ABH49" s="21"/>
      <c r="ABI49" s="21"/>
      <c r="ABJ49" s="21"/>
      <c r="ABK49" s="21"/>
      <c r="ABL49" s="21"/>
      <c r="ABM49" s="21"/>
      <c r="ABN49" s="21"/>
      <c r="ABO49" s="21"/>
      <c r="ABP49" s="21"/>
      <c r="ABQ49" s="21"/>
      <c r="ABR49" s="21"/>
      <c r="ABS49" s="21"/>
      <c r="ABT49" s="21"/>
      <c r="ABU49" s="21"/>
      <c r="ABV49" s="21"/>
      <c r="ABW49" s="21"/>
      <c r="ABX49" s="21"/>
      <c r="ABY49" s="21"/>
      <c r="ABZ49" s="21"/>
      <c r="ACA49" s="21"/>
      <c r="ACB49" s="21"/>
      <c r="ACC49" s="21"/>
      <c r="ACD49" s="21"/>
      <c r="ACE49" s="21"/>
      <c r="ACF49" s="21"/>
      <c r="ACG49" s="21"/>
      <c r="ACH49" s="21"/>
      <c r="ACI49" s="21"/>
      <c r="ACJ49" s="21"/>
      <c r="ACK49" s="21"/>
      <c r="ACL49" s="21"/>
      <c r="ACM49" s="21"/>
      <c r="ACN49" s="21"/>
      <c r="ACO49" s="21"/>
      <c r="ACP49" s="21"/>
      <c r="ACQ49" s="21"/>
      <c r="ACR49" s="21"/>
      <c r="ACS49" s="21"/>
      <c r="ACT49" s="21"/>
      <c r="ACU49" s="21"/>
      <c r="ACV49" s="21"/>
      <c r="ACW49" s="21"/>
      <c r="ACX49" s="21"/>
      <c r="ACY49" s="21"/>
      <c r="ACZ49" s="21"/>
      <c r="ADA49" s="21"/>
      <c r="ADB49" s="21"/>
      <c r="ADC49" s="21"/>
      <c r="ADD49" s="21"/>
      <c r="ADE49" s="21"/>
      <c r="ADF49" s="21"/>
      <c r="ADG49" s="21"/>
      <c r="ADH49" s="21"/>
      <c r="ADI49" s="21"/>
      <c r="ADJ49" s="21"/>
      <c r="ADK49" s="21"/>
      <c r="ADL49" s="21"/>
      <c r="ADM49" s="21"/>
      <c r="ADN49" s="21"/>
      <c r="ADO49" s="21"/>
      <c r="ADP49" s="21"/>
      <c r="ADQ49" s="21"/>
      <c r="ADR49" s="21"/>
      <c r="ADS49" s="21"/>
      <c r="ADT49" s="21"/>
      <c r="ADU49" s="21"/>
      <c r="ADV49" s="21"/>
      <c r="ADW49" s="21"/>
      <c r="ADX49" s="21"/>
      <c r="ADY49" s="21"/>
      <c r="ADZ49" s="21"/>
      <c r="AEA49" s="21"/>
      <c r="AEB49" s="21"/>
      <c r="AEC49" s="21"/>
      <c r="AED49" s="21"/>
      <c r="AEE49" s="21"/>
      <c r="AEF49" s="21"/>
      <c r="AEG49" s="21"/>
      <c r="AEH49" s="21"/>
      <c r="AEI49" s="21"/>
      <c r="AEJ49" s="21"/>
      <c r="AEK49" s="21"/>
      <c r="AEL49" s="21"/>
      <c r="AEM49" s="21"/>
      <c r="AEN49" s="21"/>
      <c r="AEO49" s="21"/>
      <c r="AEP49" s="21"/>
      <c r="AEQ49" s="21"/>
      <c r="AER49" s="21"/>
      <c r="AES49" s="21"/>
      <c r="AET49" s="21"/>
      <c r="AEU49" s="21"/>
      <c r="AEV49" s="21"/>
      <c r="AEW49" s="21"/>
      <c r="AEX49" s="21"/>
      <c r="AEY49" s="21"/>
      <c r="AEZ49" s="21"/>
      <c r="AFA49" s="21"/>
      <c r="AFB49" s="21"/>
      <c r="AFC49" s="21"/>
      <c r="AFD49" s="21"/>
      <c r="AFE49" s="21"/>
      <c r="AFF49" s="21"/>
      <c r="AFG49" s="21"/>
      <c r="AFH49" s="21"/>
      <c r="AFI49" s="21"/>
      <c r="AFJ49" s="21"/>
      <c r="AFK49" s="21"/>
      <c r="AFL49" s="21"/>
      <c r="AFM49" s="21"/>
      <c r="AFN49" s="21"/>
      <c r="AFO49" s="21"/>
      <c r="AFP49" s="21"/>
      <c r="AFQ49" s="21"/>
      <c r="AFR49" s="21"/>
      <c r="AFS49" s="21"/>
      <c r="AFT49" s="21"/>
      <c r="AFU49" s="21"/>
      <c r="AFV49" s="21"/>
      <c r="AFW49" s="21"/>
      <c r="AFX49" s="21"/>
      <c r="AFY49" s="21"/>
      <c r="AFZ49" s="21"/>
      <c r="AGA49" s="21"/>
      <c r="AGB49" s="21"/>
      <c r="AGC49" s="21"/>
      <c r="AGD49" s="21"/>
      <c r="AGE49" s="21"/>
      <c r="AGF49" s="21"/>
      <c r="AGG49" s="21"/>
      <c r="AGH49" s="21"/>
      <c r="AGI49" s="21"/>
      <c r="AGJ49" s="21"/>
      <c r="AGK49" s="21"/>
      <c r="AGL49" s="21"/>
      <c r="AGM49" s="21"/>
      <c r="AGN49" s="21"/>
      <c r="AGO49" s="21"/>
      <c r="AGP49" s="21"/>
      <c r="AGQ49" s="21"/>
      <c r="AGR49" s="21"/>
      <c r="AGS49" s="21"/>
    </row>
    <row r="50" spans="1:877" ht="13">
      <c r="A50" s="41"/>
      <c r="B50" s="41"/>
      <c r="C50" s="26"/>
      <c r="D50" s="21"/>
      <c r="E50" s="21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1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  <c r="KJ50" s="21"/>
      <c r="KK50" s="21"/>
      <c r="KL50" s="21"/>
      <c r="KM50" s="21"/>
      <c r="KN50" s="21"/>
      <c r="KO50" s="21"/>
      <c r="KP50" s="21"/>
      <c r="KQ50" s="21"/>
      <c r="KR50" s="21"/>
      <c r="KS50" s="21"/>
      <c r="KT50" s="21"/>
      <c r="KU50" s="21"/>
      <c r="KV50" s="21"/>
      <c r="KW50" s="21"/>
      <c r="KX50" s="21"/>
      <c r="KY50" s="21"/>
      <c r="KZ50" s="21"/>
      <c r="LA50" s="21"/>
      <c r="LB50" s="21"/>
      <c r="LC50" s="21"/>
      <c r="LD50" s="21"/>
      <c r="LE50" s="21"/>
      <c r="LF50" s="21"/>
      <c r="LG50" s="21"/>
      <c r="LH50" s="21"/>
      <c r="LI50" s="21"/>
      <c r="LJ50" s="21"/>
      <c r="LK50" s="21"/>
      <c r="LL50" s="21"/>
      <c r="LM50" s="21"/>
      <c r="LN50" s="21"/>
      <c r="LO50" s="21"/>
      <c r="LP50" s="21"/>
      <c r="LQ50" s="21"/>
      <c r="LR50" s="21"/>
      <c r="LS50" s="21"/>
      <c r="LT50" s="21"/>
      <c r="LU50" s="21"/>
      <c r="LV50" s="21"/>
      <c r="LW50" s="21"/>
      <c r="LX50" s="21"/>
      <c r="LY50" s="21"/>
      <c r="LZ50" s="21"/>
      <c r="MA50" s="21"/>
      <c r="MB50" s="21"/>
      <c r="MC50" s="21"/>
      <c r="MD50" s="21"/>
      <c r="ME50" s="21"/>
      <c r="MF50" s="21"/>
      <c r="MG50" s="21"/>
      <c r="MH50" s="21"/>
      <c r="MI50" s="21"/>
      <c r="MJ50" s="21"/>
      <c r="MK50" s="21"/>
      <c r="ML50" s="21"/>
      <c r="MM50" s="21"/>
      <c r="MN50" s="21"/>
      <c r="MO50" s="21"/>
      <c r="MP50" s="21"/>
      <c r="MQ50" s="21"/>
      <c r="MR50" s="21"/>
      <c r="MS50" s="21"/>
      <c r="MT50" s="21"/>
      <c r="MU50" s="21"/>
      <c r="MV50" s="21"/>
      <c r="MW50" s="21"/>
      <c r="MX50" s="21"/>
      <c r="MY50" s="21"/>
      <c r="MZ50" s="21"/>
      <c r="NA50" s="21"/>
      <c r="NB50" s="21"/>
      <c r="NC50" s="21"/>
      <c r="ND50" s="21"/>
      <c r="NE50" s="21"/>
      <c r="NF50" s="21"/>
      <c r="NG50" s="21"/>
      <c r="NH50" s="21"/>
      <c r="NI50" s="21"/>
      <c r="NJ50" s="21"/>
      <c r="NK50" s="21"/>
      <c r="NL50" s="21"/>
      <c r="NM50" s="21"/>
      <c r="NN50" s="21"/>
      <c r="NO50" s="21"/>
      <c r="NP50" s="21"/>
      <c r="NQ50" s="21"/>
      <c r="NR50" s="21"/>
      <c r="NS50" s="21"/>
      <c r="NT50" s="21"/>
      <c r="NU50" s="21"/>
      <c r="NV50" s="21"/>
      <c r="NW50" s="21"/>
      <c r="NX50" s="21"/>
      <c r="NY50" s="21"/>
      <c r="NZ50" s="21"/>
      <c r="OA50" s="21"/>
      <c r="OB50" s="21"/>
      <c r="OC50" s="21"/>
      <c r="OD50" s="21"/>
      <c r="OE50" s="21"/>
      <c r="OF50" s="21"/>
      <c r="OG50" s="21"/>
      <c r="OH50" s="21"/>
      <c r="OI50" s="21"/>
      <c r="OJ50" s="21"/>
      <c r="OK50" s="21"/>
      <c r="OL50" s="21"/>
      <c r="OM50" s="21"/>
      <c r="ON50" s="21"/>
      <c r="OO50" s="21"/>
      <c r="OP50" s="21"/>
      <c r="OQ50" s="21"/>
      <c r="OR50" s="21"/>
      <c r="OS50" s="21"/>
      <c r="OT50" s="21"/>
      <c r="OU50" s="21"/>
      <c r="OV50" s="21"/>
      <c r="OW50" s="21"/>
      <c r="OX50" s="21"/>
      <c r="OY50" s="21"/>
      <c r="OZ50" s="21"/>
      <c r="PA50" s="21"/>
      <c r="PB50" s="21"/>
      <c r="PC50" s="21"/>
      <c r="PD50" s="21"/>
      <c r="PE50" s="21"/>
      <c r="PF50" s="21"/>
      <c r="PG50" s="21"/>
      <c r="PH50" s="21"/>
      <c r="PI50" s="21"/>
      <c r="PJ50" s="21"/>
      <c r="PK50" s="21"/>
      <c r="PL50" s="21"/>
      <c r="PM50" s="21"/>
      <c r="PN50" s="21"/>
      <c r="PO50" s="21"/>
      <c r="PP50" s="21"/>
      <c r="PQ50" s="21"/>
      <c r="PR50" s="21"/>
      <c r="PS50" s="21"/>
      <c r="PT50" s="21"/>
      <c r="PU50" s="21"/>
      <c r="PV50" s="21"/>
      <c r="PW50" s="21"/>
      <c r="PX50" s="21"/>
      <c r="PY50" s="21"/>
      <c r="PZ50" s="21"/>
      <c r="QA50" s="21"/>
      <c r="QB50" s="21"/>
      <c r="QC50" s="21"/>
      <c r="QD50" s="21"/>
      <c r="QE50" s="21"/>
      <c r="QF50" s="21"/>
      <c r="QG50" s="21"/>
      <c r="QH50" s="21"/>
      <c r="QI50" s="21"/>
      <c r="QJ50" s="21"/>
      <c r="QK50" s="21"/>
      <c r="QL50" s="21"/>
      <c r="QM50" s="21"/>
      <c r="QN50" s="21"/>
      <c r="QO50" s="21"/>
      <c r="QP50" s="21"/>
      <c r="QQ50" s="21"/>
      <c r="QR50" s="21"/>
      <c r="QS50" s="21"/>
      <c r="QT50" s="21"/>
      <c r="QU50" s="21"/>
      <c r="QV50" s="21"/>
      <c r="QW50" s="21"/>
      <c r="QX50" s="21"/>
      <c r="QY50" s="21"/>
      <c r="QZ50" s="21"/>
      <c r="RA50" s="21"/>
      <c r="RB50" s="21"/>
      <c r="RC50" s="21"/>
      <c r="RD50" s="21"/>
      <c r="RE50" s="21"/>
      <c r="RF50" s="21"/>
      <c r="RG50" s="21"/>
      <c r="RH50" s="21"/>
      <c r="RI50" s="21"/>
      <c r="RJ50" s="21"/>
      <c r="RK50" s="21"/>
      <c r="RL50" s="21"/>
      <c r="RM50" s="21"/>
      <c r="RN50" s="21"/>
      <c r="RO50" s="21"/>
      <c r="RP50" s="21"/>
      <c r="RQ50" s="21"/>
      <c r="RR50" s="21"/>
      <c r="RS50" s="21"/>
      <c r="RT50" s="21"/>
      <c r="RU50" s="21"/>
      <c r="RV50" s="21"/>
      <c r="RW50" s="21"/>
      <c r="RX50" s="21"/>
      <c r="RY50" s="21"/>
      <c r="RZ50" s="21"/>
      <c r="SA50" s="21"/>
      <c r="SB50" s="21"/>
      <c r="SC50" s="21"/>
      <c r="SD50" s="21"/>
      <c r="SE50" s="21"/>
      <c r="SF50" s="21"/>
      <c r="SG50" s="21"/>
      <c r="SH50" s="21"/>
      <c r="SI50" s="21"/>
      <c r="SJ50" s="21"/>
      <c r="SK50" s="21"/>
      <c r="SL50" s="21"/>
      <c r="SM50" s="21"/>
      <c r="SN50" s="21"/>
      <c r="SO50" s="21"/>
      <c r="SP50" s="21"/>
      <c r="SQ50" s="21"/>
      <c r="SR50" s="21"/>
      <c r="SS50" s="21"/>
      <c r="ST50" s="21"/>
      <c r="SU50" s="21"/>
      <c r="SV50" s="21"/>
      <c r="SW50" s="21"/>
      <c r="SX50" s="21"/>
      <c r="SY50" s="21"/>
      <c r="SZ50" s="21"/>
      <c r="TA50" s="21"/>
      <c r="TB50" s="21"/>
      <c r="TC50" s="21"/>
      <c r="TD50" s="21"/>
      <c r="TE50" s="21"/>
      <c r="TF50" s="21"/>
      <c r="TG50" s="21"/>
      <c r="TH50" s="21"/>
      <c r="TI50" s="21"/>
      <c r="TJ50" s="21"/>
      <c r="TK50" s="21"/>
      <c r="TL50" s="21"/>
      <c r="TM50" s="21"/>
      <c r="TN50" s="21"/>
      <c r="TO50" s="21"/>
      <c r="TP50" s="21"/>
      <c r="TQ50" s="21"/>
      <c r="TR50" s="21"/>
      <c r="TS50" s="21"/>
      <c r="TT50" s="21"/>
      <c r="TU50" s="21"/>
      <c r="TV50" s="21"/>
      <c r="TW50" s="21"/>
      <c r="TX50" s="21"/>
      <c r="TY50" s="21"/>
      <c r="TZ50" s="21"/>
      <c r="UA50" s="21"/>
      <c r="UB50" s="21"/>
      <c r="UC50" s="21"/>
      <c r="UD50" s="21"/>
      <c r="UE50" s="21"/>
      <c r="UF50" s="21"/>
      <c r="UG50" s="21"/>
      <c r="UH50" s="21"/>
      <c r="UI50" s="21"/>
      <c r="UJ50" s="21"/>
      <c r="UK50" s="21"/>
      <c r="UL50" s="21"/>
      <c r="UM50" s="21"/>
      <c r="UN50" s="21"/>
      <c r="UO50" s="21"/>
      <c r="UP50" s="21"/>
      <c r="UQ50" s="21"/>
      <c r="UR50" s="21"/>
      <c r="US50" s="21"/>
      <c r="UT50" s="21"/>
      <c r="UU50" s="21"/>
      <c r="UV50" s="21"/>
      <c r="UW50" s="21"/>
      <c r="UX50" s="21"/>
      <c r="UY50" s="21"/>
      <c r="UZ50" s="21"/>
      <c r="VA50" s="21"/>
      <c r="VB50" s="21"/>
      <c r="VC50" s="21"/>
      <c r="VD50" s="21"/>
      <c r="VE50" s="21"/>
      <c r="VF50" s="21"/>
      <c r="VG50" s="21"/>
      <c r="VH50" s="21"/>
      <c r="VI50" s="21"/>
      <c r="VJ50" s="21"/>
      <c r="VK50" s="21"/>
      <c r="VL50" s="21"/>
      <c r="VM50" s="21"/>
      <c r="VN50" s="21"/>
      <c r="VO50" s="21"/>
      <c r="VP50" s="21"/>
      <c r="VQ50" s="21"/>
      <c r="VR50" s="21"/>
      <c r="VS50" s="21"/>
      <c r="VT50" s="21"/>
      <c r="VU50" s="21"/>
      <c r="VV50" s="21"/>
      <c r="VW50" s="21"/>
      <c r="VX50" s="21"/>
      <c r="VY50" s="21"/>
      <c r="VZ50" s="21"/>
      <c r="WA50" s="21"/>
      <c r="WB50" s="21"/>
      <c r="WC50" s="21"/>
      <c r="WD50" s="21"/>
      <c r="WE50" s="21"/>
      <c r="WF50" s="21"/>
      <c r="WG50" s="21"/>
      <c r="WH50" s="21"/>
      <c r="WI50" s="21"/>
      <c r="WJ50" s="21"/>
      <c r="WK50" s="21"/>
      <c r="WL50" s="21"/>
      <c r="WM50" s="21"/>
      <c r="WN50" s="21"/>
      <c r="WO50" s="21"/>
      <c r="WP50" s="21"/>
      <c r="WQ50" s="21"/>
      <c r="WR50" s="21"/>
      <c r="WS50" s="21"/>
      <c r="WT50" s="21"/>
      <c r="WU50" s="21"/>
      <c r="WV50" s="21"/>
      <c r="WW50" s="21"/>
      <c r="WX50" s="21"/>
      <c r="WY50" s="21"/>
      <c r="WZ50" s="21"/>
      <c r="XA50" s="21"/>
      <c r="XB50" s="21"/>
      <c r="XC50" s="21"/>
      <c r="XD50" s="21"/>
      <c r="XE50" s="21"/>
      <c r="XF50" s="21"/>
      <c r="XG50" s="21"/>
      <c r="XH50" s="21"/>
      <c r="XI50" s="21"/>
      <c r="XJ50" s="21"/>
      <c r="XK50" s="21"/>
      <c r="XL50" s="21"/>
      <c r="XM50" s="21"/>
      <c r="XN50" s="21"/>
      <c r="XO50" s="21"/>
      <c r="XP50" s="21"/>
      <c r="XQ50" s="21"/>
      <c r="XR50" s="21"/>
      <c r="XS50" s="21"/>
      <c r="XT50" s="21"/>
      <c r="XU50" s="21"/>
      <c r="XV50" s="21"/>
      <c r="XW50" s="21"/>
      <c r="XX50" s="21"/>
      <c r="XY50" s="21"/>
      <c r="XZ50" s="21"/>
      <c r="YA50" s="21"/>
      <c r="YB50" s="21"/>
      <c r="YC50" s="21"/>
      <c r="YD50" s="21"/>
      <c r="YE50" s="21"/>
      <c r="YF50" s="21"/>
      <c r="YG50" s="21"/>
      <c r="YH50" s="21"/>
      <c r="YI50" s="21"/>
      <c r="YJ50" s="21"/>
      <c r="YK50" s="21"/>
      <c r="YL50" s="21"/>
      <c r="YM50" s="21"/>
      <c r="YN50" s="21"/>
      <c r="YO50" s="21"/>
      <c r="YP50" s="21"/>
      <c r="YQ50" s="21"/>
      <c r="YR50" s="21"/>
      <c r="YS50" s="21"/>
      <c r="YT50" s="21"/>
      <c r="YU50" s="21"/>
      <c r="YV50" s="21"/>
      <c r="YW50" s="21"/>
      <c r="YX50" s="21"/>
      <c r="YY50" s="21"/>
      <c r="YZ50" s="21"/>
      <c r="ZA50" s="21"/>
      <c r="ZB50" s="21"/>
      <c r="ZC50" s="21"/>
      <c r="ZD50" s="21"/>
      <c r="ZE50" s="21"/>
      <c r="ZF50" s="21"/>
      <c r="ZG50" s="21"/>
      <c r="ZH50" s="21"/>
      <c r="ZI50" s="21"/>
      <c r="ZJ50" s="21"/>
      <c r="ZK50" s="21"/>
      <c r="ZL50" s="21"/>
      <c r="ZM50" s="21"/>
      <c r="ZN50" s="21"/>
      <c r="ZO50" s="21"/>
      <c r="ZP50" s="21"/>
      <c r="ZQ50" s="21"/>
      <c r="ZR50" s="21"/>
      <c r="ZS50" s="21"/>
      <c r="ZT50" s="21"/>
      <c r="ZU50" s="21"/>
      <c r="ZV50" s="21"/>
      <c r="ZW50" s="21"/>
      <c r="ZX50" s="21"/>
      <c r="ZY50" s="21"/>
      <c r="ZZ50" s="21"/>
      <c r="AAA50" s="21"/>
      <c r="AAB50" s="21"/>
      <c r="AAC50" s="21"/>
      <c r="AAD50" s="21"/>
      <c r="AAE50" s="21"/>
      <c r="AAF50" s="21"/>
      <c r="AAG50" s="21"/>
      <c r="AAH50" s="21"/>
      <c r="AAI50" s="21"/>
      <c r="AAJ50" s="21"/>
      <c r="AAK50" s="21"/>
      <c r="AAL50" s="21"/>
      <c r="AAM50" s="21"/>
      <c r="AAN50" s="21"/>
      <c r="AAO50" s="21"/>
      <c r="AAP50" s="21"/>
      <c r="AAQ50" s="21"/>
      <c r="AAR50" s="21"/>
      <c r="AAS50" s="21"/>
      <c r="AAT50" s="21"/>
      <c r="AAU50" s="21"/>
      <c r="AAV50" s="21"/>
      <c r="AAW50" s="21"/>
      <c r="AAX50" s="21"/>
      <c r="AAY50" s="21"/>
      <c r="AAZ50" s="21"/>
      <c r="ABA50" s="21"/>
      <c r="ABB50" s="21"/>
      <c r="ABC50" s="21"/>
      <c r="ABD50" s="21"/>
      <c r="ABE50" s="21"/>
      <c r="ABF50" s="21"/>
      <c r="ABG50" s="21"/>
      <c r="ABH50" s="21"/>
      <c r="ABI50" s="21"/>
      <c r="ABJ50" s="21"/>
      <c r="ABK50" s="21"/>
      <c r="ABL50" s="21"/>
      <c r="ABM50" s="21"/>
      <c r="ABN50" s="21"/>
      <c r="ABO50" s="21"/>
      <c r="ABP50" s="21"/>
      <c r="ABQ50" s="21"/>
      <c r="ABR50" s="21"/>
      <c r="ABS50" s="21"/>
      <c r="ABT50" s="21"/>
      <c r="ABU50" s="21"/>
      <c r="ABV50" s="21"/>
      <c r="ABW50" s="21"/>
      <c r="ABX50" s="21"/>
      <c r="ABY50" s="21"/>
      <c r="ABZ50" s="21"/>
      <c r="ACA50" s="21"/>
      <c r="ACB50" s="21"/>
      <c r="ACC50" s="21"/>
      <c r="ACD50" s="21"/>
      <c r="ACE50" s="21"/>
      <c r="ACF50" s="21"/>
      <c r="ACG50" s="21"/>
      <c r="ACH50" s="21"/>
      <c r="ACI50" s="21"/>
      <c r="ACJ50" s="21"/>
      <c r="ACK50" s="21"/>
      <c r="ACL50" s="21"/>
      <c r="ACM50" s="21"/>
      <c r="ACN50" s="21"/>
      <c r="ACO50" s="21"/>
      <c r="ACP50" s="21"/>
      <c r="ACQ50" s="21"/>
      <c r="ACR50" s="21"/>
      <c r="ACS50" s="21"/>
      <c r="ACT50" s="21"/>
      <c r="ACU50" s="21"/>
      <c r="ACV50" s="21"/>
      <c r="ACW50" s="21"/>
      <c r="ACX50" s="21"/>
      <c r="ACY50" s="21"/>
      <c r="ACZ50" s="21"/>
      <c r="ADA50" s="21"/>
      <c r="ADB50" s="21"/>
      <c r="ADC50" s="21"/>
      <c r="ADD50" s="21"/>
      <c r="ADE50" s="21"/>
      <c r="ADF50" s="21"/>
      <c r="ADG50" s="21"/>
      <c r="ADH50" s="21"/>
      <c r="ADI50" s="21"/>
      <c r="ADJ50" s="21"/>
      <c r="ADK50" s="21"/>
      <c r="ADL50" s="21"/>
      <c r="ADM50" s="21"/>
      <c r="ADN50" s="21"/>
      <c r="ADO50" s="21"/>
      <c r="ADP50" s="21"/>
      <c r="ADQ50" s="21"/>
      <c r="ADR50" s="21"/>
      <c r="ADS50" s="21"/>
      <c r="ADT50" s="21"/>
      <c r="ADU50" s="21"/>
      <c r="ADV50" s="21"/>
      <c r="ADW50" s="21"/>
      <c r="ADX50" s="21"/>
      <c r="ADY50" s="21"/>
      <c r="ADZ50" s="21"/>
      <c r="AEA50" s="21"/>
      <c r="AEB50" s="21"/>
      <c r="AEC50" s="21"/>
      <c r="AED50" s="21"/>
      <c r="AEE50" s="21"/>
      <c r="AEF50" s="21"/>
      <c r="AEG50" s="21"/>
      <c r="AEH50" s="21"/>
      <c r="AEI50" s="21"/>
      <c r="AEJ50" s="21"/>
      <c r="AEK50" s="21"/>
      <c r="AEL50" s="21"/>
      <c r="AEM50" s="21"/>
      <c r="AEN50" s="21"/>
      <c r="AEO50" s="21"/>
      <c r="AEP50" s="21"/>
      <c r="AEQ50" s="21"/>
      <c r="AER50" s="21"/>
      <c r="AES50" s="21"/>
      <c r="AET50" s="21"/>
      <c r="AEU50" s="21"/>
      <c r="AEV50" s="21"/>
      <c r="AEW50" s="21"/>
      <c r="AEX50" s="21"/>
      <c r="AEY50" s="21"/>
      <c r="AEZ50" s="21"/>
      <c r="AFA50" s="21"/>
      <c r="AFB50" s="21"/>
      <c r="AFC50" s="21"/>
      <c r="AFD50" s="21"/>
      <c r="AFE50" s="21"/>
      <c r="AFF50" s="21"/>
      <c r="AFG50" s="21"/>
      <c r="AFH50" s="21"/>
      <c r="AFI50" s="21"/>
      <c r="AFJ50" s="21"/>
      <c r="AFK50" s="21"/>
      <c r="AFL50" s="21"/>
      <c r="AFM50" s="21"/>
      <c r="AFN50" s="21"/>
      <c r="AFO50" s="21"/>
      <c r="AFP50" s="21"/>
      <c r="AFQ50" s="21"/>
      <c r="AFR50" s="21"/>
      <c r="AFS50" s="21"/>
      <c r="AFT50" s="21"/>
      <c r="AFU50" s="21"/>
      <c r="AFV50" s="21"/>
      <c r="AFW50" s="21"/>
      <c r="AFX50" s="21"/>
      <c r="AFY50" s="21"/>
      <c r="AFZ50" s="21"/>
      <c r="AGA50" s="21"/>
      <c r="AGB50" s="21"/>
      <c r="AGC50" s="21"/>
      <c r="AGD50" s="21"/>
      <c r="AGE50" s="21"/>
      <c r="AGF50" s="21"/>
      <c r="AGG50" s="21"/>
      <c r="AGH50" s="21"/>
      <c r="AGI50" s="21"/>
      <c r="AGJ50" s="21"/>
      <c r="AGK50" s="21"/>
      <c r="AGL50" s="21"/>
      <c r="AGM50" s="21"/>
      <c r="AGN50" s="21"/>
      <c r="AGO50" s="21"/>
      <c r="AGP50" s="21"/>
      <c r="AGQ50" s="21"/>
      <c r="AGR50" s="21"/>
      <c r="AGS50" s="21"/>
    </row>
    <row r="51" spans="1:877" ht="15.75" customHeight="1">
      <c r="A51" s="36"/>
      <c r="B51" s="37" t="s">
        <v>32</v>
      </c>
      <c r="C51" s="38"/>
      <c r="D51" s="39"/>
      <c r="E51" s="39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 s="40"/>
      <c r="DT51" s="40"/>
      <c r="DU51" s="40"/>
      <c r="DV51" s="40"/>
      <c r="DW51" s="40"/>
      <c r="DX51" s="40"/>
      <c r="DY51" s="40"/>
      <c r="DZ51" s="40"/>
      <c r="EA51" s="40"/>
      <c r="EB51" s="40"/>
      <c r="EC51" s="40"/>
      <c r="ED51" s="40"/>
      <c r="EE51" s="40"/>
      <c r="EF51" s="40"/>
      <c r="EG51" s="40"/>
      <c r="EH51" s="40"/>
      <c r="EI51" s="40"/>
      <c r="EJ51" s="40"/>
      <c r="EK51" s="40"/>
      <c r="EL51" s="40"/>
      <c r="EM51" s="40"/>
      <c r="EN51" s="40"/>
      <c r="EO51" s="40"/>
      <c r="EP51" s="40"/>
      <c r="EQ51" s="40"/>
      <c r="ER51" s="40"/>
      <c r="ES51" s="40"/>
      <c r="ET51" s="40"/>
      <c r="EU51" s="40"/>
      <c r="EV51" s="40"/>
      <c r="EW51" s="40"/>
      <c r="EX51" s="40"/>
      <c r="EY51" s="40"/>
      <c r="EZ51" s="40"/>
      <c r="FA51" s="40"/>
      <c r="FB51" s="40"/>
      <c r="FC51" s="40"/>
      <c r="FD51" s="40"/>
      <c r="FE51" s="40"/>
      <c r="FF51" s="40"/>
      <c r="FG51" s="40"/>
      <c r="FH51" s="40"/>
      <c r="FI51" s="40"/>
      <c r="FJ51" s="40"/>
      <c r="FK51" s="40"/>
      <c r="FL51" s="40"/>
      <c r="FM51" s="40"/>
      <c r="FN51" s="40"/>
      <c r="FO51" s="40"/>
      <c r="FP51" s="40"/>
      <c r="FQ51" s="40"/>
      <c r="FR51" s="40"/>
      <c r="FS51" s="40"/>
      <c r="FT51" s="40"/>
      <c r="FU51" s="40"/>
      <c r="FV51" s="40"/>
      <c r="FW51" s="40"/>
      <c r="FX51" s="40"/>
      <c r="FY51" s="40"/>
      <c r="FZ51" s="40"/>
      <c r="GA51" s="40"/>
      <c r="GB51" s="40"/>
      <c r="GC51" s="40"/>
      <c r="GD51" s="40"/>
      <c r="GE51" s="40"/>
      <c r="GF51" s="40"/>
      <c r="GG51" s="40"/>
      <c r="GH51" s="40"/>
      <c r="GI51" s="40"/>
      <c r="GJ51" s="40"/>
      <c r="GK51" s="40"/>
      <c r="GL51" s="40"/>
      <c r="GM51" s="40"/>
      <c r="GN51" s="40"/>
      <c r="GO51" s="40"/>
      <c r="GP51" s="40"/>
      <c r="GQ51" s="40"/>
      <c r="GR51" s="40"/>
      <c r="GS51" s="40"/>
      <c r="GT51" s="40"/>
      <c r="GU51" s="40"/>
      <c r="GV51" s="40"/>
      <c r="GW51" s="40"/>
      <c r="GX51" s="40"/>
      <c r="GY51" s="40"/>
      <c r="GZ51" s="40"/>
      <c r="HA51" s="40"/>
      <c r="HB51" s="40"/>
      <c r="HC51" s="40"/>
      <c r="HD51" s="40"/>
      <c r="HE51" s="40"/>
      <c r="HF51" s="40"/>
      <c r="HG51" s="40"/>
      <c r="HH51" s="40"/>
      <c r="HI51" s="40"/>
      <c r="HJ51" s="40"/>
      <c r="HK51" s="40"/>
      <c r="HL51" s="40"/>
      <c r="HM51" s="40"/>
      <c r="HN51" s="40"/>
      <c r="HO51" s="40"/>
      <c r="HP51" s="40"/>
      <c r="HQ51" s="40"/>
      <c r="HR51" s="40"/>
      <c r="HS51" s="40"/>
      <c r="HT51" s="40"/>
      <c r="HU51" s="40"/>
      <c r="HV51" s="40"/>
      <c r="HW51" s="40"/>
      <c r="HX51" s="40"/>
      <c r="HY51" s="40"/>
      <c r="HZ51" s="40"/>
      <c r="IA51" s="40"/>
      <c r="IB51" s="40"/>
      <c r="IC51" s="40"/>
      <c r="ID51" s="40"/>
      <c r="IE51" s="40"/>
      <c r="IF51" s="40"/>
      <c r="IG51" s="40"/>
      <c r="IH51" s="40"/>
      <c r="II51" s="40"/>
      <c r="IJ51" s="40"/>
      <c r="IK51" s="40"/>
      <c r="IL51" s="40"/>
      <c r="IM51" s="40"/>
      <c r="IN51" s="40"/>
      <c r="IO51" s="40"/>
      <c r="IP51" s="40"/>
      <c r="IQ51" s="40"/>
      <c r="IR51" s="40"/>
      <c r="IS51" s="40"/>
      <c r="IT51" s="40"/>
      <c r="IU51" s="40"/>
      <c r="IV51" s="40"/>
      <c r="IW51" s="40"/>
      <c r="IX51" s="40"/>
      <c r="IY51" s="40"/>
      <c r="IZ51" s="40"/>
      <c r="JA51" s="40"/>
      <c r="JB51" s="40"/>
      <c r="JC51" s="40"/>
      <c r="JD51" s="40"/>
      <c r="JE51" s="40"/>
      <c r="JF51" s="40"/>
      <c r="JG51" s="40"/>
      <c r="JH51" s="40"/>
      <c r="JI51" s="40"/>
      <c r="JJ51" s="40"/>
      <c r="JK51" s="40"/>
      <c r="JL51" s="40"/>
      <c r="JM51" s="40"/>
      <c r="JN51" s="40"/>
      <c r="JO51" s="40"/>
      <c r="JP51" s="40"/>
      <c r="JQ51" s="40"/>
      <c r="JR51" s="40"/>
      <c r="JS51" s="40"/>
      <c r="JT51" s="40"/>
      <c r="JU51" s="40"/>
      <c r="JV51" s="40"/>
      <c r="JW51" s="40"/>
      <c r="JX51" s="40"/>
      <c r="JY51" s="40"/>
      <c r="JZ51" s="40"/>
      <c r="KA51" s="40"/>
      <c r="KB51" s="40"/>
      <c r="KC51" s="40"/>
      <c r="KD51" s="40"/>
      <c r="KE51" s="40"/>
      <c r="KF51" s="40"/>
      <c r="KG51" s="40"/>
      <c r="KH51" s="40"/>
      <c r="KI51" s="40"/>
      <c r="KJ51" s="40"/>
      <c r="KK51" s="40"/>
      <c r="KL51" s="40"/>
      <c r="KM51" s="40"/>
      <c r="KN51" s="40"/>
      <c r="KO51" s="40"/>
      <c r="KP51" s="40"/>
      <c r="KQ51" s="40"/>
      <c r="KR51" s="40"/>
      <c r="KS51" s="40"/>
      <c r="KT51" s="40"/>
      <c r="KU51" s="40"/>
      <c r="KV51" s="40"/>
      <c r="KW51" s="40"/>
      <c r="KX51" s="40"/>
      <c r="KY51" s="40"/>
      <c r="KZ51" s="40"/>
      <c r="LA51" s="40"/>
      <c r="LB51" s="40"/>
      <c r="LC51" s="40"/>
      <c r="LD51" s="40"/>
      <c r="LE51" s="40"/>
      <c r="LF51" s="40"/>
      <c r="LG51" s="40"/>
      <c r="LH51" s="40"/>
      <c r="LI51" s="40"/>
      <c r="LJ51" s="40"/>
      <c r="LK51" s="40"/>
      <c r="LL51" s="40"/>
      <c r="LM51" s="40"/>
      <c r="LN51" s="40"/>
      <c r="LO51" s="40"/>
      <c r="LP51" s="40"/>
      <c r="LQ51" s="40"/>
      <c r="LR51" s="40"/>
      <c r="LS51" s="40"/>
      <c r="LT51" s="40"/>
      <c r="LU51" s="40"/>
      <c r="LV51" s="40"/>
      <c r="LW51" s="40"/>
      <c r="LX51" s="40"/>
      <c r="LY51" s="40"/>
      <c r="LZ51" s="40"/>
      <c r="MA51" s="40"/>
      <c r="MB51" s="40"/>
      <c r="MC51" s="40"/>
      <c r="MD51" s="40"/>
      <c r="ME51" s="40"/>
      <c r="MF51" s="40"/>
      <c r="MG51" s="40"/>
      <c r="MH51" s="40"/>
      <c r="MI51" s="40"/>
      <c r="MJ51" s="40"/>
      <c r="MK51" s="40"/>
      <c r="ML51" s="40"/>
      <c r="MM51" s="40"/>
      <c r="MN51" s="40"/>
      <c r="MO51" s="40"/>
      <c r="MP51" s="40"/>
      <c r="MQ51" s="40"/>
      <c r="MR51" s="40"/>
      <c r="MS51" s="40"/>
      <c r="MT51" s="40"/>
      <c r="MU51" s="40"/>
      <c r="MV51" s="40"/>
      <c r="MW51" s="40"/>
      <c r="MX51" s="40"/>
      <c r="MY51" s="40"/>
      <c r="MZ51" s="40"/>
      <c r="NA51" s="40"/>
      <c r="NB51" s="40"/>
      <c r="NC51" s="40"/>
      <c r="ND51" s="40"/>
      <c r="NE51" s="40"/>
      <c r="NF51" s="40"/>
      <c r="NG51" s="40"/>
      <c r="NH51" s="40"/>
      <c r="NI51" s="40"/>
      <c r="NJ51" s="40"/>
      <c r="NK51" s="40"/>
      <c r="NL51" s="40"/>
      <c r="NM51" s="40"/>
      <c r="NN51" s="40"/>
      <c r="NO51" s="40"/>
      <c r="NP51" s="40"/>
      <c r="NQ51" s="40"/>
      <c r="NR51" s="40"/>
      <c r="NS51" s="40"/>
      <c r="NT51" s="40"/>
      <c r="NU51" s="40"/>
      <c r="NV51" s="40"/>
      <c r="NW51" s="40"/>
      <c r="NX51" s="40"/>
      <c r="NY51" s="40"/>
      <c r="NZ51" s="40"/>
      <c r="OA51" s="40"/>
      <c r="OB51" s="40"/>
      <c r="OC51" s="40"/>
      <c r="OD51" s="40"/>
      <c r="OE51" s="40"/>
      <c r="OF51" s="40"/>
      <c r="OG51" s="40"/>
      <c r="OH51" s="40"/>
      <c r="OI51" s="40"/>
      <c r="OJ51" s="40"/>
      <c r="OK51" s="40"/>
      <c r="OL51" s="40"/>
      <c r="OM51" s="40"/>
      <c r="ON51" s="40"/>
      <c r="OO51" s="40"/>
      <c r="OP51" s="40"/>
      <c r="OQ51" s="40"/>
      <c r="OR51" s="40"/>
      <c r="OS51" s="40"/>
      <c r="OT51" s="40"/>
      <c r="OU51" s="40"/>
      <c r="OV51" s="40"/>
      <c r="OW51" s="40"/>
      <c r="OX51" s="40"/>
      <c r="OY51" s="40"/>
      <c r="OZ51" s="40"/>
      <c r="PA51" s="40"/>
      <c r="PB51" s="40"/>
      <c r="PC51" s="40"/>
      <c r="PD51" s="40"/>
      <c r="PE51" s="40"/>
      <c r="PF51" s="40"/>
      <c r="PG51" s="40"/>
      <c r="PH51" s="40"/>
      <c r="PI51" s="40"/>
      <c r="PJ51" s="40"/>
      <c r="PK51" s="40"/>
      <c r="PL51" s="40"/>
      <c r="PM51" s="40"/>
      <c r="PN51" s="40"/>
      <c r="PO51" s="40"/>
      <c r="PP51" s="40"/>
      <c r="PQ51" s="40"/>
      <c r="PR51" s="40"/>
      <c r="PS51" s="40"/>
      <c r="PT51" s="40"/>
      <c r="PU51" s="40"/>
      <c r="PV51" s="40"/>
      <c r="PW51" s="40"/>
      <c r="PX51" s="40"/>
      <c r="PY51" s="40"/>
      <c r="PZ51" s="40"/>
      <c r="QA51" s="40"/>
      <c r="QB51" s="40"/>
      <c r="QC51" s="40"/>
      <c r="QD51" s="40"/>
      <c r="QE51" s="40"/>
      <c r="QF51" s="40"/>
      <c r="QG51" s="40"/>
      <c r="QH51" s="40"/>
      <c r="QI51" s="40"/>
      <c r="QJ51" s="40"/>
      <c r="QK51" s="40"/>
      <c r="QL51" s="40"/>
      <c r="QM51" s="40"/>
      <c r="QN51" s="40"/>
      <c r="QO51" s="40"/>
      <c r="QP51" s="40"/>
      <c r="QQ51" s="40"/>
      <c r="QR51" s="40"/>
      <c r="QS51" s="40"/>
      <c r="QT51" s="40"/>
      <c r="QU51" s="40"/>
      <c r="QV51" s="40"/>
      <c r="QW51" s="40"/>
      <c r="QX51" s="40"/>
      <c r="QY51" s="40"/>
      <c r="QZ51" s="40"/>
      <c r="RA51" s="40"/>
      <c r="RB51" s="40"/>
      <c r="RC51" s="40"/>
      <c r="RD51" s="40"/>
      <c r="RE51" s="40"/>
      <c r="RF51" s="40"/>
      <c r="RG51" s="40"/>
      <c r="RH51" s="40"/>
      <c r="RI51" s="40"/>
      <c r="RJ51" s="40"/>
      <c r="RK51" s="40"/>
      <c r="RL51" s="40"/>
      <c r="RM51" s="40"/>
      <c r="RN51" s="40"/>
      <c r="RO51" s="40"/>
      <c r="RP51" s="40"/>
      <c r="RQ51" s="40"/>
      <c r="RR51" s="40"/>
      <c r="RS51" s="40"/>
      <c r="RT51" s="40"/>
      <c r="RU51" s="40"/>
      <c r="RV51" s="40"/>
      <c r="RW51" s="40"/>
      <c r="RX51" s="40"/>
      <c r="RY51" s="40"/>
      <c r="RZ51" s="40"/>
      <c r="SA51" s="40"/>
      <c r="SB51" s="40"/>
      <c r="SC51" s="40"/>
      <c r="SD51" s="40"/>
      <c r="SE51" s="40"/>
      <c r="SF51" s="40"/>
      <c r="SG51" s="40"/>
      <c r="SH51" s="40"/>
      <c r="SI51" s="40"/>
      <c r="SJ51" s="40"/>
      <c r="SK51" s="40"/>
      <c r="SL51" s="40"/>
      <c r="SM51" s="40"/>
      <c r="SN51" s="40"/>
      <c r="SO51" s="40"/>
      <c r="SP51" s="40"/>
      <c r="SQ51" s="40"/>
      <c r="SR51" s="40"/>
      <c r="SS51" s="40"/>
      <c r="ST51" s="40"/>
      <c r="SU51" s="40"/>
      <c r="SV51" s="40"/>
      <c r="SW51" s="40"/>
      <c r="SX51" s="40"/>
      <c r="SY51" s="40"/>
      <c r="SZ51" s="40"/>
      <c r="TA51" s="40"/>
      <c r="TB51" s="40"/>
      <c r="TC51" s="40"/>
      <c r="TD51" s="40"/>
      <c r="TE51" s="40"/>
      <c r="TF51" s="40"/>
      <c r="TG51" s="40"/>
      <c r="TH51" s="40"/>
      <c r="TI51" s="40"/>
      <c r="TJ51" s="40"/>
      <c r="TK51" s="40"/>
      <c r="TL51" s="40"/>
      <c r="TM51" s="40"/>
      <c r="TN51" s="40"/>
      <c r="TO51" s="40"/>
      <c r="TP51" s="40"/>
      <c r="TQ51" s="40"/>
      <c r="TR51" s="40"/>
      <c r="TS51" s="40"/>
      <c r="TT51" s="40"/>
      <c r="TU51" s="40"/>
      <c r="TV51" s="40"/>
      <c r="TW51" s="40"/>
      <c r="TX51" s="40"/>
      <c r="TY51" s="40"/>
      <c r="TZ51" s="40"/>
      <c r="UA51" s="40"/>
      <c r="UB51" s="40"/>
      <c r="UC51" s="40"/>
      <c r="UD51" s="40"/>
      <c r="UE51" s="40"/>
      <c r="UF51" s="40"/>
      <c r="UG51" s="40"/>
      <c r="UH51" s="40"/>
      <c r="UI51" s="40"/>
      <c r="UJ51" s="40"/>
      <c r="UK51" s="40"/>
      <c r="UL51" s="40"/>
      <c r="UM51" s="40"/>
      <c r="UN51" s="40"/>
      <c r="UO51" s="40"/>
      <c r="UP51" s="40"/>
      <c r="UQ51" s="40"/>
      <c r="UR51" s="40"/>
      <c r="US51" s="40"/>
      <c r="UT51" s="40"/>
      <c r="UU51" s="40"/>
      <c r="UV51" s="40"/>
      <c r="UW51" s="40"/>
      <c r="UX51" s="40"/>
      <c r="UY51" s="40"/>
      <c r="UZ51" s="40"/>
      <c r="VA51" s="40"/>
      <c r="VB51" s="40"/>
      <c r="VC51" s="40"/>
      <c r="VD51" s="40"/>
      <c r="VE51" s="40"/>
      <c r="VF51" s="40"/>
      <c r="VG51" s="40"/>
      <c r="VH51" s="40"/>
      <c r="VI51" s="40"/>
      <c r="VJ51" s="40"/>
      <c r="VK51" s="40"/>
      <c r="VL51" s="40"/>
      <c r="VM51" s="40"/>
      <c r="VN51" s="40"/>
      <c r="VO51" s="40"/>
      <c r="VP51" s="40"/>
      <c r="VQ51" s="40"/>
      <c r="VR51" s="40"/>
      <c r="VS51" s="40"/>
      <c r="VT51" s="40"/>
      <c r="VU51" s="40"/>
      <c r="VV51" s="40"/>
      <c r="VW51" s="40"/>
      <c r="VX51" s="40"/>
      <c r="VY51" s="40"/>
      <c r="VZ51" s="40"/>
      <c r="WA51" s="40"/>
      <c r="WB51" s="40"/>
      <c r="WC51" s="40"/>
      <c r="WD51" s="40"/>
      <c r="WE51" s="40"/>
      <c r="WF51" s="40"/>
      <c r="WG51" s="40"/>
      <c r="WH51" s="40"/>
      <c r="WI51" s="40"/>
      <c r="WJ51" s="40"/>
      <c r="WK51" s="40"/>
      <c r="WL51" s="40"/>
      <c r="WM51" s="40"/>
      <c r="WN51" s="40"/>
      <c r="WO51" s="40"/>
      <c r="WP51" s="40"/>
      <c r="WQ51" s="40"/>
      <c r="WR51" s="40"/>
      <c r="WS51" s="40"/>
      <c r="WT51" s="40"/>
      <c r="WU51" s="40"/>
      <c r="WV51" s="40"/>
      <c r="WW51" s="40"/>
      <c r="WX51" s="40"/>
      <c r="WY51" s="40"/>
      <c r="WZ51" s="40"/>
      <c r="XA51" s="40"/>
      <c r="XB51" s="40"/>
      <c r="XC51" s="40"/>
      <c r="XD51" s="40"/>
      <c r="XE51" s="40"/>
      <c r="XF51" s="40"/>
      <c r="XG51" s="40"/>
      <c r="XH51" s="40"/>
      <c r="XI51" s="40"/>
      <c r="XJ51" s="40"/>
      <c r="XK51" s="40"/>
      <c r="XL51" s="40"/>
      <c r="XM51" s="40"/>
      <c r="XN51" s="40"/>
      <c r="XO51" s="40"/>
      <c r="XP51" s="40"/>
      <c r="XQ51" s="40"/>
      <c r="XR51" s="40"/>
      <c r="XS51" s="40"/>
      <c r="XT51" s="40"/>
      <c r="XU51" s="40"/>
      <c r="XV51" s="40"/>
      <c r="XW51" s="40"/>
      <c r="XX51" s="40"/>
      <c r="XY51" s="40"/>
      <c r="XZ51" s="40"/>
      <c r="YA51" s="40"/>
      <c r="YB51" s="40"/>
      <c r="YC51" s="40"/>
      <c r="YD51" s="40"/>
      <c r="YE51" s="40"/>
      <c r="YF51" s="40"/>
      <c r="YG51" s="40"/>
      <c r="YH51" s="40"/>
      <c r="YI51" s="40"/>
      <c r="YJ51" s="40"/>
      <c r="YK51" s="40"/>
      <c r="YL51" s="40"/>
      <c r="YM51" s="40"/>
      <c r="YN51" s="40"/>
      <c r="YO51" s="40"/>
      <c r="YP51" s="40"/>
      <c r="YQ51" s="40"/>
      <c r="YR51" s="40"/>
      <c r="YS51" s="40"/>
      <c r="YT51" s="40"/>
      <c r="YU51" s="40"/>
      <c r="YV51" s="40"/>
      <c r="YW51" s="40"/>
      <c r="YX51" s="40"/>
      <c r="YY51" s="40"/>
      <c r="YZ51" s="40"/>
      <c r="ZA51" s="40"/>
      <c r="ZB51" s="40"/>
      <c r="ZC51" s="40"/>
      <c r="ZD51" s="40"/>
      <c r="ZE51" s="40"/>
      <c r="ZF51" s="40"/>
      <c r="ZG51" s="40"/>
      <c r="ZH51" s="40"/>
      <c r="ZI51" s="40"/>
      <c r="ZJ51" s="40"/>
      <c r="ZK51" s="40"/>
      <c r="ZL51" s="40"/>
      <c r="ZM51" s="40"/>
      <c r="ZN51" s="40"/>
      <c r="ZO51" s="40"/>
      <c r="ZP51" s="40"/>
      <c r="ZQ51" s="40"/>
      <c r="ZR51" s="40"/>
      <c r="ZS51" s="40"/>
      <c r="ZT51" s="40"/>
      <c r="ZU51" s="40"/>
      <c r="ZV51" s="40"/>
      <c r="ZW51" s="40"/>
      <c r="ZX51" s="40"/>
      <c r="ZY51" s="40"/>
      <c r="ZZ51" s="40"/>
      <c r="AAA51" s="40"/>
      <c r="AAB51" s="40"/>
      <c r="AAC51" s="40"/>
      <c r="AAD51" s="40"/>
      <c r="AAE51" s="40"/>
      <c r="AAF51" s="40"/>
      <c r="AAG51" s="40"/>
      <c r="AAH51" s="40"/>
      <c r="AAI51" s="40"/>
      <c r="AAJ51" s="40"/>
      <c r="AAK51" s="40"/>
      <c r="AAL51" s="40"/>
      <c r="AAM51" s="40"/>
      <c r="AAN51" s="40"/>
      <c r="AAO51" s="40"/>
      <c r="AAP51" s="40"/>
      <c r="AAQ51" s="40"/>
      <c r="AAR51" s="40"/>
      <c r="AAS51" s="40"/>
      <c r="AAT51" s="40"/>
      <c r="AAU51" s="40"/>
      <c r="AAV51" s="40"/>
      <c r="AAW51" s="40"/>
      <c r="AAX51" s="40"/>
      <c r="AAY51" s="40"/>
      <c r="AAZ51" s="40"/>
      <c r="ABA51" s="40"/>
      <c r="ABB51" s="40"/>
      <c r="ABC51" s="40"/>
      <c r="ABD51" s="40"/>
      <c r="ABE51" s="40"/>
      <c r="ABF51" s="40"/>
      <c r="ABG51" s="40"/>
      <c r="ABH51" s="40"/>
      <c r="ABI51" s="40"/>
      <c r="ABJ51" s="40"/>
      <c r="ABK51" s="40"/>
      <c r="ABL51" s="40"/>
      <c r="ABM51" s="40"/>
      <c r="ABN51" s="40"/>
      <c r="ABO51" s="40"/>
      <c r="ABP51" s="40"/>
      <c r="ABQ51" s="40"/>
      <c r="ABR51" s="40"/>
      <c r="ABS51" s="40"/>
      <c r="ABT51" s="40"/>
      <c r="ABU51" s="40"/>
      <c r="ABV51" s="40"/>
      <c r="ABW51" s="40"/>
      <c r="ABX51" s="40"/>
      <c r="ABY51" s="40"/>
      <c r="ABZ51" s="40"/>
      <c r="ACA51" s="40"/>
      <c r="ACB51" s="40"/>
      <c r="ACC51" s="40"/>
      <c r="ACD51" s="40"/>
      <c r="ACE51" s="40"/>
      <c r="ACF51" s="40"/>
      <c r="ACG51" s="40"/>
      <c r="ACH51" s="40"/>
      <c r="ACI51" s="40"/>
      <c r="ACJ51" s="40"/>
      <c r="ACK51" s="40"/>
      <c r="ACL51" s="40"/>
      <c r="ACM51" s="40"/>
      <c r="ACN51" s="40"/>
      <c r="ACO51" s="40"/>
      <c r="ACP51" s="40"/>
      <c r="ACQ51" s="40"/>
      <c r="ACR51" s="40"/>
      <c r="ACS51" s="40"/>
      <c r="ACT51" s="40"/>
      <c r="ACU51" s="40"/>
      <c r="ACV51" s="40"/>
      <c r="ACW51" s="40"/>
      <c r="ACX51" s="40"/>
      <c r="ACY51" s="40"/>
      <c r="ACZ51" s="40"/>
      <c r="ADA51" s="40"/>
      <c r="ADB51" s="40"/>
      <c r="ADC51" s="40"/>
      <c r="ADD51" s="40"/>
      <c r="ADE51" s="40"/>
      <c r="ADF51" s="40"/>
      <c r="ADG51" s="40"/>
      <c r="ADH51" s="40"/>
      <c r="ADI51" s="40"/>
      <c r="ADJ51" s="40"/>
      <c r="ADK51" s="40"/>
      <c r="ADL51" s="40"/>
      <c r="ADM51" s="40"/>
      <c r="ADN51" s="40"/>
      <c r="ADO51" s="40"/>
      <c r="ADP51" s="40"/>
      <c r="ADQ51" s="40"/>
      <c r="ADR51" s="40"/>
      <c r="ADS51" s="40"/>
      <c r="ADT51" s="40"/>
      <c r="ADU51" s="40"/>
      <c r="ADV51" s="40"/>
      <c r="ADW51" s="40"/>
      <c r="ADX51" s="40"/>
      <c r="ADY51" s="40"/>
      <c r="ADZ51" s="40"/>
      <c r="AEA51" s="40"/>
      <c r="AEB51" s="40"/>
      <c r="AEC51" s="40"/>
      <c r="AED51" s="40"/>
      <c r="AEE51" s="40"/>
      <c r="AEF51" s="40"/>
      <c r="AEG51" s="40"/>
      <c r="AEH51" s="40"/>
      <c r="AEI51" s="40"/>
      <c r="AEJ51" s="40"/>
      <c r="AEK51" s="40"/>
      <c r="AEL51" s="40"/>
      <c r="AEM51" s="40"/>
      <c r="AEN51" s="40"/>
      <c r="AEO51" s="40"/>
      <c r="AEP51" s="40"/>
      <c r="AEQ51" s="40"/>
      <c r="AER51" s="40"/>
      <c r="AES51" s="40"/>
      <c r="AET51" s="40"/>
      <c r="AEU51" s="40"/>
      <c r="AEV51" s="40"/>
      <c r="AEW51" s="40"/>
      <c r="AEX51" s="40"/>
      <c r="AEY51" s="40"/>
      <c r="AEZ51" s="40"/>
      <c r="AFA51" s="40"/>
      <c r="AFB51" s="40"/>
      <c r="AFC51" s="40"/>
      <c r="AFD51" s="40"/>
      <c r="AFE51" s="40"/>
      <c r="AFF51" s="40"/>
      <c r="AFG51" s="40"/>
      <c r="AFH51" s="40"/>
      <c r="AFI51" s="40"/>
      <c r="AFJ51" s="40"/>
      <c r="AFK51" s="40"/>
      <c r="AFL51" s="40"/>
      <c r="AFM51" s="40"/>
      <c r="AFN51" s="40"/>
      <c r="AFO51" s="40"/>
      <c r="AFP51" s="40"/>
      <c r="AFQ51" s="40"/>
      <c r="AFR51" s="40"/>
      <c r="AFS51" s="40"/>
      <c r="AFT51" s="40"/>
      <c r="AFU51" s="40"/>
      <c r="AFV51" s="40"/>
      <c r="AFW51" s="40"/>
      <c r="AFX51" s="40"/>
      <c r="AFY51" s="40"/>
      <c r="AFZ51" s="40"/>
      <c r="AGA51" s="40"/>
      <c r="AGB51" s="40"/>
      <c r="AGC51" s="40"/>
      <c r="AGD51" s="40"/>
      <c r="AGE51" s="40"/>
      <c r="AGF51" s="40"/>
      <c r="AGG51" s="40"/>
      <c r="AGH51" s="40"/>
      <c r="AGI51" s="40"/>
      <c r="AGJ51" s="40"/>
      <c r="AGK51" s="40"/>
      <c r="AGL51" s="40"/>
      <c r="AGM51" s="40"/>
      <c r="AGN51" s="40"/>
      <c r="AGO51" s="40"/>
      <c r="AGP51" s="40"/>
      <c r="AGQ51" s="40"/>
      <c r="AGR51" s="40"/>
      <c r="AGS51" s="40"/>
    </row>
    <row r="52" spans="1:877" ht="13">
      <c r="A52" s="41"/>
      <c r="B52" s="42" t="s">
        <v>21</v>
      </c>
      <c r="C52" s="43" t="s">
        <v>22</v>
      </c>
      <c r="D52" s="40"/>
      <c r="E52" s="40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>
        <f>'Project Overview'!$C$12/12</f>
        <v>270000</v>
      </c>
      <c r="AR52" s="28">
        <f>'Project Overview'!$C$12/12</f>
        <v>270000</v>
      </c>
      <c r="AS52" s="28">
        <f>'Project Overview'!$C$12/12</f>
        <v>270000</v>
      </c>
      <c r="AT52" s="28">
        <f>'Project Overview'!$C$12/12</f>
        <v>270000</v>
      </c>
      <c r="AU52" s="28">
        <f>'Project Overview'!$C$12/12</f>
        <v>270000</v>
      </c>
      <c r="AV52" s="28">
        <f>'Project Overview'!$C$12/12</f>
        <v>270000</v>
      </c>
      <c r="AW52" s="28">
        <f>'Project Overview'!$C$12/12</f>
        <v>270000</v>
      </c>
      <c r="AX52" s="28">
        <f>'Project Overview'!$C$12/12</f>
        <v>270000</v>
      </c>
      <c r="AY52" s="28">
        <f>'Project Overview'!$C$12/12</f>
        <v>270000</v>
      </c>
      <c r="AZ52" s="28">
        <f>'Project Overview'!$C$12/12</f>
        <v>270000</v>
      </c>
      <c r="BA52" s="28">
        <f>'Project Overview'!$C$12/12</f>
        <v>270000</v>
      </c>
      <c r="BB52" s="28">
        <f>'Project Overview'!$C$12/12</f>
        <v>270000</v>
      </c>
      <c r="BC52" s="28">
        <f>'Project Overview'!$D$12/12</f>
        <v>125000</v>
      </c>
      <c r="BD52" s="28">
        <f>'Project Overview'!$D$12/12</f>
        <v>125000</v>
      </c>
      <c r="BE52" s="28">
        <f>'Project Overview'!$D$12/12</f>
        <v>125000</v>
      </c>
      <c r="BF52" s="28">
        <f>'Project Overview'!$D$12/12</f>
        <v>125000</v>
      </c>
      <c r="BG52" s="28">
        <f>'Project Overview'!$D$12/12</f>
        <v>125000</v>
      </c>
      <c r="BH52" s="28">
        <f>'Project Overview'!$D$12/12</f>
        <v>125000</v>
      </c>
      <c r="BI52" s="28">
        <f>'Project Overview'!$D$12/12</f>
        <v>125000</v>
      </c>
      <c r="BJ52" s="28">
        <f>'Project Overview'!$D$12/12</f>
        <v>125000</v>
      </c>
      <c r="BK52" s="28">
        <f>'Project Overview'!$D$12/12</f>
        <v>125000</v>
      </c>
      <c r="BL52" s="28">
        <f>'Project Overview'!$D$12/12</f>
        <v>125000</v>
      </c>
      <c r="BM52" s="28">
        <f>'Project Overview'!$D$12/12</f>
        <v>125000</v>
      </c>
      <c r="BN52" s="28">
        <f>'Project Overview'!$D$12/12</f>
        <v>125000</v>
      </c>
      <c r="BO52" s="28">
        <f>'Project Overview'!$E$12/12</f>
        <v>0</v>
      </c>
      <c r="BP52" s="28">
        <f>'Project Overview'!$E$12/12</f>
        <v>0</v>
      </c>
      <c r="BQ52" s="28">
        <f>'Project Overview'!$E$12/12</f>
        <v>0</v>
      </c>
      <c r="BR52" s="28">
        <f>'Project Overview'!$E$12/12</f>
        <v>0</v>
      </c>
      <c r="BS52" s="28">
        <f>'Project Overview'!$E$12/12</f>
        <v>0</v>
      </c>
      <c r="BT52" s="28">
        <f>'Project Overview'!$E$12/12</f>
        <v>0</v>
      </c>
      <c r="BU52" s="28">
        <f>'Project Overview'!$E$12/12</f>
        <v>0</v>
      </c>
      <c r="BV52" s="28">
        <f>'Project Overview'!$E$12/12</f>
        <v>0</v>
      </c>
      <c r="BW52" s="28">
        <f>'Project Overview'!$E$12/12</f>
        <v>0</v>
      </c>
      <c r="BX52" s="28">
        <f>'Project Overview'!$E$12/12</f>
        <v>0</v>
      </c>
      <c r="BY52" s="28">
        <f>'Project Overview'!$E$12/12</f>
        <v>0</v>
      </c>
      <c r="BZ52" s="28">
        <f>'Project Overview'!$E$12/12</f>
        <v>0</v>
      </c>
      <c r="CA52" s="28">
        <f>'Project Overview'!$G$12/12</f>
        <v>0</v>
      </c>
      <c r="CB52" s="28">
        <f>'Project Overview'!$G$12/12</f>
        <v>0</v>
      </c>
      <c r="CC52" s="28">
        <f>'Project Overview'!$G$12/12</f>
        <v>0</v>
      </c>
      <c r="CD52" s="28">
        <f>'Project Overview'!$G$12/12</f>
        <v>0</v>
      </c>
      <c r="CE52" s="28">
        <f>'Project Overview'!$G$12/12</f>
        <v>0</v>
      </c>
      <c r="CF52" s="28">
        <f>'Project Overview'!$G$12/12</f>
        <v>0</v>
      </c>
      <c r="CG52" s="28">
        <f>'Project Overview'!$G$12/12</f>
        <v>0</v>
      </c>
      <c r="CH52" s="28">
        <f>'Project Overview'!$G$12/12</f>
        <v>0</v>
      </c>
      <c r="CI52" s="28">
        <f>'Project Overview'!$G$12/12</f>
        <v>0</v>
      </c>
      <c r="CJ52" s="28">
        <f>'Project Overview'!$G$12/12</f>
        <v>0</v>
      </c>
      <c r="CK52" s="28">
        <f>'Project Overview'!$G$12/12</f>
        <v>0</v>
      </c>
      <c r="CL52" s="28">
        <f>'Project Overview'!$G$12/12</f>
        <v>0</v>
      </c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 s="40"/>
      <c r="DT52" s="40"/>
      <c r="DU52" s="40"/>
      <c r="DV52" s="40"/>
      <c r="DW52" s="40"/>
      <c r="DX52" s="40"/>
      <c r="DY52" s="40"/>
      <c r="DZ52" s="40"/>
      <c r="EA52" s="40"/>
      <c r="EB52" s="40"/>
      <c r="EC52" s="40"/>
      <c r="ED52" s="40"/>
      <c r="EE52" s="40"/>
      <c r="EF52" s="40"/>
      <c r="EG52" s="40"/>
      <c r="EH52" s="40"/>
      <c r="EI52" s="40"/>
      <c r="EJ52" s="40"/>
      <c r="EK52" s="40"/>
      <c r="EL52" s="40"/>
      <c r="EM52" s="40"/>
      <c r="EN52" s="40"/>
      <c r="EO52" s="40"/>
      <c r="EP52" s="40"/>
      <c r="EQ52" s="40"/>
      <c r="ER52" s="40"/>
      <c r="ES52" s="40"/>
      <c r="ET52" s="40"/>
      <c r="EU52" s="40"/>
      <c r="EV52" s="40"/>
      <c r="EW52" s="40"/>
      <c r="EX52" s="40"/>
      <c r="EY52" s="40"/>
      <c r="EZ52" s="40"/>
      <c r="FA52" s="40"/>
      <c r="FB52" s="40"/>
      <c r="FC52" s="40"/>
      <c r="FD52" s="40"/>
      <c r="FE52" s="40"/>
      <c r="FF52" s="40"/>
      <c r="FG52" s="40"/>
      <c r="FH52" s="40"/>
      <c r="FI52" s="40"/>
      <c r="FJ52" s="40"/>
      <c r="FK52" s="40"/>
      <c r="FL52" s="40"/>
      <c r="FM52" s="40"/>
      <c r="FN52" s="40"/>
      <c r="FO52" s="40"/>
      <c r="FP52" s="40"/>
      <c r="FQ52" s="40"/>
      <c r="FR52" s="40"/>
      <c r="FS52" s="40"/>
      <c r="FT52" s="40"/>
      <c r="FU52" s="40"/>
      <c r="FV52" s="40"/>
      <c r="FW52" s="40"/>
      <c r="FX52" s="40"/>
      <c r="FY52" s="40"/>
      <c r="FZ52" s="40"/>
      <c r="GA52" s="40"/>
      <c r="GB52" s="40"/>
      <c r="GC52" s="40"/>
      <c r="GD52" s="40"/>
      <c r="GE52" s="40"/>
      <c r="GF52" s="40"/>
      <c r="GG52" s="40"/>
      <c r="GH52" s="40"/>
      <c r="GI52" s="40"/>
      <c r="GJ52" s="40"/>
      <c r="GK52" s="40"/>
      <c r="GL52" s="40"/>
      <c r="GM52" s="40"/>
      <c r="GN52" s="40"/>
      <c r="GO52" s="40"/>
      <c r="GP52" s="40"/>
      <c r="GQ52" s="40"/>
      <c r="GR52" s="40"/>
      <c r="GS52" s="40"/>
      <c r="GT52" s="40"/>
      <c r="GU52" s="40"/>
      <c r="GV52" s="40"/>
      <c r="GW52" s="40"/>
      <c r="GX52" s="40"/>
      <c r="GY52" s="40"/>
      <c r="GZ52" s="40"/>
      <c r="HA52" s="40"/>
      <c r="HB52" s="40"/>
      <c r="HC52" s="40"/>
      <c r="HD52" s="40"/>
      <c r="HE52" s="40"/>
      <c r="HF52" s="40"/>
      <c r="HG52" s="40"/>
      <c r="HH52" s="40"/>
      <c r="HI52" s="40"/>
      <c r="HJ52" s="40"/>
      <c r="HK52" s="40"/>
      <c r="HL52" s="40"/>
      <c r="HM52" s="40"/>
      <c r="HN52" s="40"/>
      <c r="HO52" s="40"/>
      <c r="HP52" s="40"/>
      <c r="HQ52" s="40"/>
      <c r="HR52" s="40"/>
      <c r="HS52" s="40"/>
      <c r="HT52" s="40"/>
      <c r="HU52" s="40"/>
      <c r="HV52" s="40"/>
      <c r="HW52" s="40"/>
      <c r="HX52" s="40"/>
      <c r="HY52" s="40"/>
      <c r="HZ52" s="40"/>
      <c r="IA52" s="40"/>
      <c r="IB52" s="40"/>
      <c r="IC52" s="40"/>
      <c r="ID52" s="40"/>
      <c r="IE52" s="40"/>
      <c r="IF52" s="40"/>
      <c r="IG52" s="40"/>
      <c r="IH52" s="40"/>
      <c r="II52" s="40"/>
      <c r="IJ52" s="40"/>
      <c r="IK52" s="40"/>
      <c r="IL52" s="40"/>
      <c r="IM52" s="40"/>
      <c r="IN52" s="40"/>
      <c r="IO52" s="40"/>
      <c r="IP52" s="40"/>
      <c r="IQ52" s="40"/>
      <c r="IR52" s="40"/>
      <c r="IS52" s="40"/>
      <c r="IT52" s="40"/>
      <c r="IU52" s="40"/>
      <c r="IV52" s="40"/>
      <c r="IW52" s="40"/>
      <c r="IX52" s="40"/>
      <c r="IY52" s="40"/>
      <c r="IZ52" s="40"/>
      <c r="JA52" s="40"/>
      <c r="JB52" s="40"/>
      <c r="JC52" s="40"/>
      <c r="JD52" s="40"/>
      <c r="JE52" s="40"/>
      <c r="JF52" s="40"/>
      <c r="JG52" s="40"/>
      <c r="JH52" s="40"/>
      <c r="JI52" s="40"/>
      <c r="JJ52" s="40"/>
      <c r="JK52" s="40"/>
      <c r="JL52" s="40"/>
      <c r="JM52" s="40"/>
      <c r="JN52" s="40"/>
      <c r="JO52" s="40"/>
      <c r="JP52" s="40"/>
      <c r="JQ52" s="40"/>
      <c r="JR52" s="40"/>
      <c r="JS52" s="40"/>
      <c r="JT52" s="40"/>
      <c r="JU52" s="40"/>
      <c r="JV52" s="40"/>
      <c r="JW52" s="40"/>
      <c r="JX52" s="40"/>
      <c r="JY52" s="40"/>
      <c r="JZ52" s="40"/>
      <c r="KA52" s="40"/>
      <c r="KB52" s="40"/>
      <c r="KC52" s="40"/>
      <c r="KD52" s="40"/>
      <c r="KE52" s="40"/>
      <c r="KF52" s="40"/>
      <c r="KG52" s="40"/>
      <c r="KH52" s="40"/>
      <c r="KI52" s="40"/>
      <c r="KJ52" s="40"/>
      <c r="KK52" s="40"/>
      <c r="KL52" s="40"/>
      <c r="KM52" s="40"/>
      <c r="KN52" s="40"/>
      <c r="KO52" s="40"/>
      <c r="KP52" s="40"/>
      <c r="KQ52" s="40"/>
      <c r="KR52" s="40"/>
      <c r="KS52" s="40"/>
      <c r="KT52" s="40"/>
      <c r="KU52" s="40"/>
      <c r="KV52" s="40"/>
      <c r="KW52" s="40"/>
      <c r="KX52" s="40"/>
      <c r="KY52" s="40"/>
      <c r="KZ52" s="40"/>
      <c r="LA52" s="40"/>
      <c r="LB52" s="40"/>
      <c r="LC52" s="40"/>
      <c r="LD52" s="40"/>
      <c r="LE52" s="40"/>
      <c r="LF52" s="40"/>
      <c r="LG52" s="40"/>
      <c r="LH52" s="40"/>
      <c r="LI52" s="40"/>
      <c r="LJ52" s="40"/>
      <c r="LK52" s="40"/>
      <c r="LL52" s="40"/>
      <c r="LM52" s="40"/>
      <c r="LN52" s="40"/>
      <c r="LO52" s="40"/>
      <c r="LP52" s="40"/>
      <c r="LQ52" s="40"/>
      <c r="LR52" s="40"/>
      <c r="LS52" s="40"/>
      <c r="LT52" s="40"/>
      <c r="LU52" s="40"/>
      <c r="LV52" s="40"/>
      <c r="LW52" s="40"/>
      <c r="LX52" s="40"/>
      <c r="LY52" s="40"/>
      <c r="LZ52" s="40"/>
      <c r="MA52" s="40"/>
      <c r="MB52" s="40"/>
      <c r="MC52" s="40"/>
      <c r="MD52" s="40"/>
      <c r="ME52" s="40"/>
      <c r="MF52" s="40"/>
      <c r="MG52" s="40"/>
      <c r="MH52" s="40"/>
      <c r="MI52" s="40"/>
      <c r="MJ52" s="40"/>
      <c r="MK52" s="40"/>
      <c r="ML52" s="40"/>
      <c r="MM52" s="40"/>
      <c r="MN52" s="40"/>
      <c r="MO52" s="40"/>
      <c r="MP52" s="40"/>
      <c r="MQ52" s="40"/>
      <c r="MR52" s="40"/>
      <c r="MS52" s="40"/>
      <c r="MT52" s="40"/>
      <c r="MU52" s="40"/>
      <c r="MV52" s="40"/>
      <c r="MW52" s="40"/>
      <c r="MX52" s="40"/>
      <c r="MY52" s="40"/>
      <c r="MZ52" s="40"/>
      <c r="NA52" s="40"/>
      <c r="NB52" s="40"/>
      <c r="NC52" s="40"/>
      <c r="ND52" s="40"/>
      <c r="NE52" s="40"/>
      <c r="NF52" s="40"/>
      <c r="NG52" s="40"/>
      <c r="NH52" s="40"/>
      <c r="NI52" s="40"/>
      <c r="NJ52" s="40"/>
      <c r="NK52" s="40"/>
      <c r="NL52" s="40"/>
      <c r="NM52" s="40"/>
      <c r="NN52" s="40"/>
      <c r="NO52" s="40"/>
      <c r="NP52" s="40"/>
      <c r="NQ52" s="40"/>
      <c r="NR52" s="40"/>
      <c r="NS52" s="40"/>
      <c r="NT52" s="40"/>
      <c r="NU52" s="40"/>
      <c r="NV52" s="40"/>
      <c r="NW52" s="40"/>
      <c r="NX52" s="40"/>
      <c r="NY52" s="40"/>
      <c r="NZ52" s="40"/>
      <c r="OA52" s="40"/>
      <c r="OB52" s="40"/>
      <c r="OC52" s="40"/>
      <c r="OD52" s="40"/>
      <c r="OE52" s="40"/>
      <c r="OF52" s="40"/>
      <c r="OG52" s="40"/>
      <c r="OH52" s="40"/>
      <c r="OI52" s="40"/>
      <c r="OJ52" s="40"/>
      <c r="OK52" s="40"/>
      <c r="OL52" s="40"/>
      <c r="OM52" s="40"/>
      <c r="ON52" s="40"/>
      <c r="OO52" s="40"/>
      <c r="OP52" s="40"/>
      <c r="OQ52" s="40"/>
      <c r="OR52" s="40"/>
      <c r="OS52" s="40"/>
      <c r="OT52" s="40"/>
      <c r="OU52" s="40"/>
      <c r="OV52" s="40"/>
      <c r="OW52" s="40"/>
      <c r="OX52" s="40"/>
      <c r="OY52" s="40"/>
      <c r="OZ52" s="40"/>
      <c r="PA52" s="40"/>
      <c r="PB52" s="40"/>
      <c r="PC52" s="40"/>
      <c r="PD52" s="40"/>
      <c r="PE52" s="40"/>
      <c r="PF52" s="40"/>
      <c r="PG52" s="40"/>
      <c r="PH52" s="40"/>
      <c r="PI52" s="40"/>
      <c r="PJ52" s="40"/>
      <c r="PK52" s="40"/>
      <c r="PL52" s="40"/>
      <c r="PM52" s="40"/>
      <c r="PN52" s="40"/>
      <c r="PO52" s="40"/>
      <c r="PP52" s="40"/>
      <c r="PQ52" s="40"/>
      <c r="PR52" s="40"/>
      <c r="PS52" s="40"/>
      <c r="PT52" s="40"/>
      <c r="PU52" s="40"/>
      <c r="PV52" s="40"/>
      <c r="PW52" s="40"/>
      <c r="PX52" s="40"/>
      <c r="PY52" s="40"/>
      <c r="PZ52" s="40"/>
      <c r="QA52" s="40"/>
      <c r="QB52" s="40"/>
      <c r="QC52" s="40"/>
      <c r="QD52" s="40"/>
      <c r="QE52" s="40"/>
      <c r="QF52" s="40"/>
      <c r="QG52" s="40"/>
      <c r="QH52" s="40"/>
      <c r="QI52" s="40"/>
      <c r="QJ52" s="40"/>
      <c r="QK52" s="40"/>
      <c r="QL52" s="40"/>
      <c r="QM52" s="40"/>
      <c r="QN52" s="40"/>
      <c r="QO52" s="40"/>
      <c r="QP52" s="40"/>
      <c r="QQ52" s="40"/>
      <c r="QR52" s="40"/>
      <c r="QS52" s="40"/>
      <c r="QT52" s="40"/>
      <c r="QU52" s="40"/>
      <c r="QV52" s="40"/>
      <c r="QW52" s="40"/>
      <c r="QX52" s="40"/>
      <c r="QY52" s="40"/>
      <c r="QZ52" s="40"/>
      <c r="RA52" s="40"/>
      <c r="RB52" s="40"/>
      <c r="RC52" s="40"/>
      <c r="RD52" s="40"/>
      <c r="RE52" s="40"/>
      <c r="RF52" s="40"/>
      <c r="RG52" s="40"/>
      <c r="RH52" s="40"/>
      <c r="RI52" s="40"/>
      <c r="RJ52" s="40"/>
      <c r="RK52" s="40"/>
      <c r="RL52" s="40"/>
      <c r="RM52" s="40"/>
      <c r="RN52" s="40"/>
      <c r="RO52" s="40"/>
      <c r="RP52" s="40"/>
      <c r="RQ52" s="40"/>
      <c r="RR52" s="40"/>
      <c r="RS52" s="40"/>
      <c r="RT52" s="40"/>
      <c r="RU52" s="40"/>
      <c r="RV52" s="40"/>
      <c r="RW52" s="40"/>
      <c r="RX52" s="40"/>
      <c r="RY52" s="40"/>
      <c r="RZ52" s="40"/>
      <c r="SA52" s="40"/>
      <c r="SB52" s="40"/>
      <c r="SC52" s="40"/>
      <c r="SD52" s="40"/>
      <c r="SE52" s="40"/>
      <c r="SF52" s="40"/>
      <c r="SG52" s="40"/>
      <c r="SH52" s="40"/>
      <c r="SI52" s="40"/>
      <c r="SJ52" s="40"/>
      <c r="SK52" s="40"/>
      <c r="SL52" s="40"/>
      <c r="SM52" s="40"/>
      <c r="SN52" s="40"/>
      <c r="SO52" s="40"/>
      <c r="SP52" s="40"/>
      <c r="SQ52" s="40"/>
      <c r="SR52" s="40"/>
      <c r="SS52" s="40"/>
      <c r="ST52" s="40"/>
      <c r="SU52" s="40"/>
      <c r="SV52" s="40"/>
      <c r="SW52" s="40"/>
      <c r="SX52" s="40"/>
      <c r="SY52" s="40"/>
      <c r="SZ52" s="40"/>
      <c r="TA52" s="40"/>
      <c r="TB52" s="40"/>
      <c r="TC52" s="40"/>
      <c r="TD52" s="40"/>
      <c r="TE52" s="40"/>
      <c r="TF52" s="40"/>
      <c r="TG52" s="40"/>
      <c r="TH52" s="40"/>
      <c r="TI52" s="40"/>
      <c r="TJ52" s="40"/>
      <c r="TK52" s="40"/>
      <c r="TL52" s="40"/>
      <c r="TM52" s="40"/>
      <c r="TN52" s="40"/>
      <c r="TO52" s="40"/>
      <c r="TP52" s="40"/>
      <c r="TQ52" s="40"/>
      <c r="TR52" s="40"/>
      <c r="TS52" s="40"/>
      <c r="TT52" s="40"/>
      <c r="TU52" s="40"/>
      <c r="TV52" s="40"/>
      <c r="TW52" s="40"/>
      <c r="TX52" s="40"/>
      <c r="TY52" s="40"/>
      <c r="TZ52" s="40"/>
      <c r="UA52" s="40"/>
      <c r="UB52" s="40"/>
      <c r="UC52" s="40"/>
      <c r="UD52" s="40"/>
      <c r="UE52" s="40"/>
      <c r="UF52" s="40"/>
      <c r="UG52" s="40"/>
      <c r="UH52" s="40"/>
      <c r="UI52" s="40"/>
      <c r="UJ52" s="40"/>
      <c r="UK52" s="40"/>
      <c r="UL52" s="40"/>
      <c r="UM52" s="40"/>
      <c r="UN52" s="40"/>
      <c r="UO52" s="40"/>
      <c r="UP52" s="40"/>
      <c r="UQ52" s="40"/>
      <c r="UR52" s="40"/>
      <c r="US52" s="40"/>
      <c r="UT52" s="40"/>
      <c r="UU52" s="40"/>
      <c r="UV52" s="40"/>
      <c r="UW52" s="40"/>
      <c r="UX52" s="40"/>
      <c r="UY52" s="40"/>
      <c r="UZ52" s="40"/>
      <c r="VA52" s="40"/>
      <c r="VB52" s="40"/>
      <c r="VC52" s="40"/>
      <c r="VD52" s="40"/>
      <c r="VE52" s="40"/>
      <c r="VF52" s="40"/>
      <c r="VG52" s="40"/>
      <c r="VH52" s="40"/>
      <c r="VI52" s="40"/>
      <c r="VJ52" s="40"/>
      <c r="VK52" s="40"/>
      <c r="VL52" s="40"/>
      <c r="VM52" s="40"/>
      <c r="VN52" s="40"/>
      <c r="VO52" s="40"/>
      <c r="VP52" s="40"/>
      <c r="VQ52" s="40"/>
      <c r="VR52" s="40"/>
      <c r="VS52" s="40"/>
      <c r="VT52" s="40"/>
      <c r="VU52" s="40"/>
      <c r="VV52" s="40"/>
      <c r="VW52" s="40"/>
      <c r="VX52" s="40"/>
      <c r="VY52" s="40"/>
      <c r="VZ52" s="40"/>
      <c r="WA52" s="40"/>
      <c r="WB52" s="40"/>
      <c r="WC52" s="40"/>
      <c r="WD52" s="40"/>
      <c r="WE52" s="40"/>
      <c r="WF52" s="40"/>
      <c r="WG52" s="40"/>
      <c r="WH52" s="40"/>
      <c r="WI52" s="40"/>
      <c r="WJ52" s="40"/>
      <c r="WK52" s="40"/>
      <c r="WL52" s="40"/>
      <c r="WM52" s="40"/>
      <c r="WN52" s="40"/>
      <c r="WO52" s="40"/>
      <c r="WP52" s="40"/>
      <c r="WQ52" s="40"/>
      <c r="WR52" s="40"/>
      <c r="WS52" s="40"/>
      <c r="WT52" s="40"/>
      <c r="WU52" s="40"/>
      <c r="WV52" s="40"/>
      <c r="WW52" s="40"/>
      <c r="WX52" s="40"/>
      <c r="WY52" s="40"/>
      <c r="WZ52" s="40"/>
      <c r="XA52" s="40"/>
      <c r="XB52" s="40"/>
      <c r="XC52" s="40"/>
      <c r="XD52" s="40"/>
      <c r="XE52" s="40"/>
      <c r="XF52" s="40"/>
      <c r="XG52" s="40"/>
      <c r="XH52" s="40"/>
      <c r="XI52" s="40"/>
      <c r="XJ52" s="40"/>
      <c r="XK52" s="40"/>
      <c r="XL52" s="40"/>
      <c r="XM52" s="40"/>
      <c r="XN52" s="40"/>
      <c r="XO52" s="40"/>
      <c r="XP52" s="40"/>
      <c r="XQ52" s="40"/>
      <c r="XR52" s="40"/>
      <c r="XS52" s="40"/>
      <c r="XT52" s="40"/>
      <c r="XU52" s="40"/>
      <c r="XV52" s="40"/>
      <c r="XW52" s="40"/>
      <c r="XX52" s="40"/>
      <c r="XY52" s="40"/>
      <c r="XZ52" s="40"/>
      <c r="YA52" s="40"/>
      <c r="YB52" s="40"/>
      <c r="YC52" s="40"/>
      <c r="YD52" s="40"/>
      <c r="YE52" s="40"/>
      <c r="YF52" s="40"/>
      <c r="YG52" s="40"/>
      <c r="YH52" s="40"/>
      <c r="YI52" s="40"/>
      <c r="YJ52" s="40"/>
      <c r="YK52" s="40"/>
      <c r="YL52" s="40"/>
      <c r="YM52" s="40"/>
      <c r="YN52" s="40"/>
      <c r="YO52" s="40"/>
      <c r="YP52" s="40"/>
      <c r="YQ52" s="40"/>
      <c r="YR52" s="40"/>
      <c r="YS52" s="40"/>
      <c r="YT52" s="40"/>
      <c r="YU52" s="40"/>
      <c r="YV52" s="40"/>
      <c r="YW52" s="40"/>
      <c r="YX52" s="40"/>
      <c r="YY52" s="40"/>
      <c r="YZ52" s="40"/>
      <c r="ZA52" s="40"/>
      <c r="ZB52" s="40"/>
      <c r="ZC52" s="40"/>
      <c r="ZD52" s="40"/>
      <c r="ZE52" s="40"/>
      <c r="ZF52" s="40"/>
      <c r="ZG52" s="40"/>
      <c r="ZH52" s="40"/>
      <c r="ZI52" s="40"/>
      <c r="ZJ52" s="40"/>
      <c r="ZK52" s="40"/>
      <c r="ZL52" s="40"/>
      <c r="ZM52" s="40"/>
      <c r="ZN52" s="40"/>
      <c r="ZO52" s="40"/>
      <c r="ZP52" s="40"/>
      <c r="ZQ52" s="40"/>
      <c r="ZR52" s="40"/>
      <c r="ZS52" s="40"/>
      <c r="ZT52" s="40"/>
      <c r="ZU52" s="40"/>
      <c r="ZV52" s="40"/>
      <c r="ZW52" s="40"/>
      <c r="ZX52" s="40"/>
      <c r="ZY52" s="40"/>
      <c r="ZZ52" s="40"/>
      <c r="AAA52" s="40"/>
      <c r="AAB52" s="40"/>
      <c r="AAC52" s="40"/>
      <c r="AAD52" s="40"/>
      <c r="AAE52" s="40"/>
      <c r="AAF52" s="40"/>
      <c r="AAG52" s="40"/>
      <c r="AAH52" s="40"/>
      <c r="AAI52" s="40"/>
      <c r="AAJ52" s="40"/>
      <c r="AAK52" s="40"/>
      <c r="AAL52" s="40"/>
      <c r="AAM52" s="40"/>
      <c r="AAN52" s="40"/>
      <c r="AAO52" s="40"/>
      <c r="AAP52" s="40"/>
      <c r="AAQ52" s="40"/>
      <c r="AAR52" s="40"/>
      <c r="AAS52" s="40"/>
      <c r="AAT52" s="40"/>
      <c r="AAU52" s="40"/>
      <c r="AAV52" s="40"/>
      <c r="AAW52" s="40"/>
      <c r="AAX52" s="40"/>
      <c r="AAY52" s="40"/>
      <c r="AAZ52" s="40"/>
      <c r="ABA52" s="40"/>
      <c r="ABB52" s="40"/>
      <c r="ABC52" s="40"/>
      <c r="ABD52" s="40"/>
      <c r="ABE52" s="40"/>
      <c r="ABF52" s="40"/>
      <c r="ABG52" s="40"/>
      <c r="ABH52" s="40"/>
      <c r="ABI52" s="40"/>
      <c r="ABJ52" s="40"/>
      <c r="ABK52" s="40"/>
      <c r="ABL52" s="40"/>
      <c r="ABM52" s="40"/>
      <c r="ABN52" s="40"/>
      <c r="ABO52" s="40"/>
      <c r="ABP52" s="40"/>
      <c r="ABQ52" s="40"/>
      <c r="ABR52" s="40"/>
      <c r="ABS52" s="40"/>
      <c r="ABT52" s="40"/>
      <c r="ABU52" s="40"/>
      <c r="ABV52" s="40"/>
      <c r="ABW52" s="40"/>
      <c r="ABX52" s="40"/>
      <c r="ABY52" s="40"/>
      <c r="ABZ52" s="40"/>
      <c r="ACA52" s="40"/>
      <c r="ACB52" s="40"/>
      <c r="ACC52" s="40"/>
      <c r="ACD52" s="40"/>
      <c r="ACE52" s="40"/>
      <c r="ACF52" s="40"/>
      <c r="ACG52" s="40"/>
      <c r="ACH52" s="40"/>
      <c r="ACI52" s="40"/>
      <c r="ACJ52" s="40"/>
      <c r="ACK52" s="40"/>
      <c r="ACL52" s="40"/>
      <c r="ACM52" s="40"/>
      <c r="ACN52" s="40"/>
      <c r="ACO52" s="40"/>
      <c r="ACP52" s="40"/>
      <c r="ACQ52" s="40"/>
      <c r="ACR52" s="40"/>
      <c r="ACS52" s="40"/>
      <c r="ACT52" s="40"/>
      <c r="ACU52" s="40"/>
      <c r="ACV52" s="40"/>
      <c r="ACW52" s="40"/>
      <c r="ACX52" s="40"/>
      <c r="ACY52" s="40"/>
      <c r="ACZ52" s="40"/>
      <c r="ADA52" s="40"/>
      <c r="ADB52" s="40"/>
      <c r="ADC52" s="40"/>
      <c r="ADD52" s="40"/>
      <c r="ADE52" s="40"/>
      <c r="ADF52" s="40"/>
      <c r="ADG52" s="40"/>
      <c r="ADH52" s="40"/>
      <c r="ADI52" s="40"/>
      <c r="ADJ52" s="40"/>
      <c r="ADK52" s="40"/>
      <c r="ADL52" s="40"/>
      <c r="ADM52" s="40"/>
      <c r="ADN52" s="40"/>
      <c r="ADO52" s="40"/>
      <c r="ADP52" s="40"/>
      <c r="ADQ52" s="40"/>
      <c r="ADR52" s="40"/>
      <c r="ADS52" s="40"/>
      <c r="ADT52" s="40"/>
      <c r="ADU52" s="40"/>
      <c r="ADV52" s="40"/>
      <c r="ADW52" s="40"/>
      <c r="ADX52" s="40"/>
      <c r="ADY52" s="40"/>
      <c r="ADZ52" s="40"/>
      <c r="AEA52" s="40"/>
      <c r="AEB52" s="40"/>
      <c r="AEC52" s="40"/>
      <c r="AED52" s="40"/>
      <c r="AEE52" s="40"/>
      <c r="AEF52" s="40"/>
      <c r="AEG52" s="40"/>
      <c r="AEH52" s="40"/>
      <c r="AEI52" s="40"/>
      <c r="AEJ52" s="40"/>
      <c r="AEK52" s="40"/>
      <c r="AEL52" s="40"/>
      <c r="AEM52" s="40"/>
      <c r="AEN52" s="40"/>
      <c r="AEO52" s="40"/>
      <c r="AEP52" s="40"/>
      <c r="AEQ52" s="40"/>
      <c r="AER52" s="40"/>
      <c r="AES52" s="40"/>
      <c r="AET52" s="40"/>
      <c r="AEU52" s="40"/>
      <c r="AEV52" s="40"/>
      <c r="AEW52" s="40"/>
      <c r="AEX52" s="40"/>
      <c r="AEY52" s="40"/>
      <c r="AEZ52" s="40"/>
      <c r="AFA52" s="40"/>
      <c r="AFB52" s="40"/>
      <c r="AFC52" s="40"/>
      <c r="AFD52" s="40"/>
      <c r="AFE52" s="40"/>
      <c r="AFF52" s="40"/>
      <c r="AFG52" s="40"/>
      <c r="AFH52" s="40"/>
      <c r="AFI52" s="40"/>
      <c r="AFJ52" s="40"/>
      <c r="AFK52" s="40"/>
      <c r="AFL52" s="40"/>
      <c r="AFM52" s="40"/>
      <c r="AFN52" s="40"/>
      <c r="AFO52" s="40"/>
      <c r="AFP52" s="40"/>
      <c r="AFQ52" s="40"/>
      <c r="AFR52" s="40"/>
      <c r="AFS52" s="40"/>
      <c r="AFT52" s="40"/>
      <c r="AFU52" s="40"/>
      <c r="AFV52" s="40"/>
      <c r="AFW52" s="40"/>
      <c r="AFX52" s="40"/>
      <c r="AFY52" s="40"/>
      <c r="AFZ52" s="40"/>
      <c r="AGA52" s="40"/>
      <c r="AGB52" s="40"/>
      <c r="AGC52" s="40"/>
      <c r="AGD52" s="40"/>
      <c r="AGE52" s="40"/>
      <c r="AGF52" s="40"/>
      <c r="AGG52" s="40"/>
      <c r="AGH52" s="40"/>
      <c r="AGI52" s="40"/>
      <c r="AGJ52" s="40"/>
      <c r="AGK52" s="40"/>
      <c r="AGL52" s="40"/>
      <c r="AGM52" s="40"/>
      <c r="AGN52" s="40"/>
      <c r="AGO52" s="40"/>
      <c r="AGP52" s="40"/>
      <c r="AGQ52" s="40"/>
      <c r="AGR52" s="40"/>
      <c r="AGS52" s="40"/>
    </row>
    <row r="53" spans="1:877" ht="13">
      <c r="A53" s="41"/>
      <c r="B53" s="44">
        <f>'H2 Production Costs'!$D$9</f>
        <v>2.6198684210526317</v>
      </c>
      <c r="C53" s="43" t="s">
        <v>8</v>
      </c>
      <c r="D53" s="40"/>
      <c r="E53" s="40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>
        <f>'Project Overview'!$C$13/12</f>
        <v>68107.666666666672</v>
      </c>
      <c r="AR53" s="28">
        <f>'Project Overview'!$C$13/12</f>
        <v>68107.666666666672</v>
      </c>
      <c r="AS53" s="28">
        <f>'Project Overview'!$C$13/12</f>
        <v>68107.666666666672</v>
      </c>
      <c r="AT53" s="28">
        <f>'Project Overview'!$C$13/12</f>
        <v>68107.666666666672</v>
      </c>
      <c r="AU53" s="28">
        <f>'Project Overview'!$C$13/12</f>
        <v>68107.666666666672</v>
      </c>
      <c r="AV53" s="28">
        <f>'Project Overview'!$C$13/12</f>
        <v>68107.666666666672</v>
      </c>
      <c r="AW53" s="28">
        <f>'Project Overview'!$C$13/12</f>
        <v>68107.666666666672</v>
      </c>
      <c r="AX53" s="28">
        <f>'Project Overview'!$C$13/12</f>
        <v>68107.666666666672</v>
      </c>
      <c r="AY53" s="28">
        <f>'Project Overview'!$C$13/12</f>
        <v>68107.666666666672</v>
      </c>
      <c r="AZ53" s="28">
        <f>'Project Overview'!$C$13/12</f>
        <v>68107.666666666672</v>
      </c>
      <c r="BA53" s="28">
        <f>'Project Overview'!$C$13/12</f>
        <v>68107.666666666672</v>
      </c>
      <c r="BB53" s="28">
        <f>'Project Overview'!$C$13/12</f>
        <v>68107.666666666672</v>
      </c>
      <c r="BC53" s="28">
        <f>'Project Overview'!$D$13/12</f>
        <v>90171.116666666654</v>
      </c>
      <c r="BD53" s="28">
        <f>'Project Overview'!$D$13/12</f>
        <v>90171.116666666654</v>
      </c>
      <c r="BE53" s="28">
        <f>'Project Overview'!$D$13/12</f>
        <v>90171.116666666654</v>
      </c>
      <c r="BF53" s="28">
        <f>'Project Overview'!$D$13/12</f>
        <v>90171.116666666654</v>
      </c>
      <c r="BG53" s="28">
        <f>'Project Overview'!$D$13/12</f>
        <v>90171.116666666654</v>
      </c>
      <c r="BH53" s="28">
        <f>'Project Overview'!$D$13/12</f>
        <v>90171.116666666654</v>
      </c>
      <c r="BI53" s="28">
        <f>'Project Overview'!$D$13/12</f>
        <v>90171.116666666654</v>
      </c>
      <c r="BJ53" s="28">
        <f>'Project Overview'!$D$13/12</f>
        <v>90171.116666666654</v>
      </c>
      <c r="BK53" s="28">
        <f>'Project Overview'!$D$13/12</f>
        <v>90171.116666666654</v>
      </c>
      <c r="BL53" s="28">
        <f>'Project Overview'!$D$13/12</f>
        <v>90171.116666666654</v>
      </c>
      <c r="BM53" s="28">
        <f>'Project Overview'!$D$13/12</f>
        <v>90171.116666666654</v>
      </c>
      <c r="BN53" s="28">
        <f>'Project Overview'!$D$13/12</f>
        <v>90171.116666666654</v>
      </c>
      <c r="BO53" s="28">
        <f>'Project Overview'!$E$13/12</f>
        <v>103696.78416666666</v>
      </c>
      <c r="BP53" s="28">
        <f>'Project Overview'!$E$13/12</f>
        <v>103696.78416666666</v>
      </c>
      <c r="BQ53" s="28">
        <f>'Project Overview'!$E$13/12</f>
        <v>103696.78416666666</v>
      </c>
      <c r="BR53" s="28">
        <f>'Project Overview'!$E$13/12</f>
        <v>103696.78416666666</v>
      </c>
      <c r="BS53" s="28">
        <f>'Project Overview'!$E$13/12</f>
        <v>103696.78416666666</v>
      </c>
      <c r="BT53" s="28">
        <f>'Project Overview'!$E$13/12</f>
        <v>103696.78416666666</v>
      </c>
      <c r="BU53" s="28">
        <f>'Project Overview'!$E$13/12</f>
        <v>103696.78416666666</v>
      </c>
      <c r="BV53" s="28">
        <f>'Project Overview'!$E$13/12</f>
        <v>103696.78416666666</v>
      </c>
      <c r="BW53" s="28">
        <f>'Project Overview'!$E$13/12</f>
        <v>103696.78416666666</v>
      </c>
      <c r="BX53" s="28">
        <f>'Project Overview'!$E$13/12</f>
        <v>103696.78416666666</v>
      </c>
      <c r="BY53" s="28">
        <f>'Project Overview'!$E$13/12</f>
        <v>103696.78416666666</v>
      </c>
      <c r="BZ53" s="28">
        <f>'Project Overview'!$E$13/12</f>
        <v>103696.78416666666</v>
      </c>
      <c r="CA53" s="28">
        <f>'Project Overview'!$G$13/12</f>
        <v>119251.30179166666</v>
      </c>
      <c r="CB53" s="28">
        <f>'Project Overview'!$G$13/12</f>
        <v>119251.30179166666</v>
      </c>
      <c r="CC53" s="28">
        <f>'Project Overview'!$G$13/12</f>
        <v>119251.30179166666</v>
      </c>
      <c r="CD53" s="28">
        <f>'Project Overview'!$G$13/12</f>
        <v>119251.30179166666</v>
      </c>
      <c r="CE53" s="28">
        <f>'Project Overview'!$G$13/12</f>
        <v>119251.30179166666</v>
      </c>
      <c r="CF53" s="28">
        <f>'Project Overview'!$G$13/12</f>
        <v>119251.30179166666</v>
      </c>
      <c r="CG53" s="28">
        <f>'Project Overview'!$G$13/12</f>
        <v>119251.30179166666</v>
      </c>
      <c r="CH53" s="28">
        <f>'Project Overview'!$G$13/12</f>
        <v>119251.30179166666</v>
      </c>
      <c r="CI53" s="28">
        <f>'Project Overview'!$G$13/12</f>
        <v>119251.30179166666</v>
      </c>
      <c r="CJ53" s="28">
        <f>'Project Overview'!$G$13/12</f>
        <v>119251.30179166666</v>
      </c>
      <c r="CK53" s="28">
        <f>'Project Overview'!$G$13/12</f>
        <v>119251.30179166666</v>
      </c>
      <c r="CL53" s="28">
        <f>'Project Overview'!$G$13/12</f>
        <v>119251.30179166666</v>
      </c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 s="40"/>
      <c r="DT53" s="40"/>
      <c r="DU53" s="40"/>
      <c r="DV53" s="40"/>
      <c r="DW53" s="40"/>
      <c r="DX53" s="40"/>
      <c r="DY53" s="40"/>
      <c r="DZ53" s="40"/>
      <c r="EA53" s="40"/>
      <c r="EB53" s="40"/>
      <c r="EC53" s="40"/>
      <c r="ED53" s="40"/>
      <c r="EE53" s="40"/>
      <c r="EF53" s="40"/>
      <c r="EG53" s="40"/>
      <c r="EH53" s="40"/>
      <c r="EI53" s="40"/>
      <c r="EJ53" s="40"/>
      <c r="EK53" s="40"/>
      <c r="EL53" s="40"/>
      <c r="EM53" s="40"/>
      <c r="EN53" s="40"/>
      <c r="EO53" s="40"/>
      <c r="EP53" s="40"/>
      <c r="EQ53" s="40"/>
      <c r="ER53" s="40"/>
      <c r="ES53" s="40"/>
      <c r="ET53" s="40"/>
      <c r="EU53" s="40"/>
      <c r="EV53" s="40"/>
      <c r="EW53" s="40"/>
      <c r="EX53" s="40"/>
      <c r="EY53" s="40"/>
      <c r="EZ53" s="40"/>
      <c r="FA53" s="40"/>
      <c r="FB53" s="40"/>
      <c r="FC53" s="40"/>
      <c r="FD53" s="40"/>
      <c r="FE53" s="40"/>
      <c r="FF53" s="40"/>
      <c r="FG53" s="40"/>
      <c r="FH53" s="40"/>
      <c r="FI53" s="40"/>
      <c r="FJ53" s="40"/>
      <c r="FK53" s="40"/>
      <c r="FL53" s="40"/>
      <c r="FM53" s="40"/>
      <c r="FN53" s="40"/>
      <c r="FO53" s="40"/>
      <c r="FP53" s="40"/>
      <c r="FQ53" s="40"/>
      <c r="FR53" s="40"/>
      <c r="FS53" s="40"/>
      <c r="FT53" s="40"/>
      <c r="FU53" s="40"/>
      <c r="FV53" s="40"/>
      <c r="FW53" s="40"/>
      <c r="FX53" s="40"/>
      <c r="FY53" s="40"/>
      <c r="FZ53" s="40"/>
      <c r="GA53" s="40"/>
      <c r="GB53" s="40"/>
      <c r="GC53" s="40"/>
      <c r="GD53" s="40"/>
      <c r="GE53" s="40"/>
      <c r="GF53" s="40"/>
      <c r="GG53" s="40"/>
      <c r="GH53" s="40"/>
      <c r="GI53" s="40"/>
      <c r="GJ53" s="40"/>
      <c r="GK53" s="40"/>
      <c r="GL53" s="40"/>
      <c r="GM53" s="40"/>
      <c r="GN53" s="40"/>
      <c r="GO53" s="40"/>
      <c r="GP53" s="40"/>
      <c r="GQ53" s="40"/>
      <c r="GR53" s="40"/>
      <c r="GS53" s="40"/>
      <c r="GT53" s="40"/>
      <c r="GU53" s="40"/>
      <c r="GV53" s="40"/>
      <c r="GW53" s="40"/>
      <c r="GX53" s="40"/>
      <c r="GY53" s="40"/>
      <c r="GZ53" s="40"/>
      <c r="HA53" s="40"/>
      <c r="HB53" s="40"/>
      <c r="HC53" s="40"/>
      <c r="HD53" s="40"/>
      <c r="HE53" s="40"/>
      <c r="HF53" s="40"/>
      <c r="HG53" s="40"/>
      <c r="HH53" s="40"/>
      <c r="HI53" s="40"/>
      <c r="HJ53" s="40"/>
      <c r="HK53" s="40"/>
      <c r="HL53" s="40"/>
      <c r="HM53" s="40"/>
      <c r="HN53" s="40"/>
      <c r="HO53" s="40"/>
      <c r="HP53" s="40"/>
      <c r="HQ53" s="40"/>
      <c r="HR53" s="40"/>
      <c r="HS53" s="40"/>
      <c r="HT53" s="40"/>
      <c r="HU53" s="40"/>
      <c r="HV53" s="40"/>
      <c r="HW53" s="40"/>
      <c r="HX53" s="40"/>
      <c r="HY53" s="40"/>
      <c r="HZ53" s="40"/>
      <c r="IA53" s="40"/>
      <c r="IB53" s="40"/>
      <c r="IC53" s="40"/>
      <c r="ID53" s="40"/>
      <c r="IE53" s="40"/>
      <c r="IF53" s="40"/>
      <c r="IG53" s="40"/>
      <c r="IH53" s="40"/>
      <c r="II53" s="40"/>
      <c r="IJ53" s="40"/>
      <c r="IK53" s="40"/>
      <c r="IL53" s="40"/>
      <c r="IM53" s="40"/>
      <c r="IN53" s="40"/>
      <c r="IO53" s="40"/>
      <c r="IP53" s="40"/>
      <c r="IQ53" s="40"/>
      <c r="IR53" s="40"/>
      <c r="IS53" s="40"/>
      <c r="IT53" s="40"/>
      <c r="IU53" s="40"/>
      <c r="IV53" s="40"/>
      <c r="IW53" s="40"/>
      <c r="IX53" s="40"/>
      <c r="IY53" s="40"/>
      <c r="IZ53" s="40"/>
      <c r="JA53" s="40"/>
      <c r="JB53" s="40"/>
      <c r="JC53" s="40"/>
      <c r="JD53" s="40"/>
      <c r="JE53" s="40"/>
      <c r="JF53" s="40"/>
      <c r="JG53" s="40"/>
      <c r="JH53" s="40"/>
      <c r="JI53" s="40"/>
      <c r="JJ53" s="40"/>
      <c r="JK53" s="40"/>
      <c r="JL53" s="40"/>
      <c r="JM53" s="40"/>
      <c r="JN53" s="40"/>
      <c r="JO53" s="40"/>
      <c r="JP53" s="40"/>
      <c r="JQ53" s="40"/>
      <c r="JR53" s="40"/>
      <c r="JS53" s="40"/>
      <c r="JT53" s="40"/>
      <c r="JU53" s="40"/>
      <c r="JV53" s="40"/>
      <c r="JW53" s="40"/>
      <c r="JX53" s="40"/>
      <c r="JY53" s="40"/>
      <c r="JZ53" s="40"/>
      <c r="KA53" s="40"/>
      <c r="KB53" s="40"/>
      <c r="KC53" s="40"/>
      <c r="KD53" s="40"/>
      <c r="KE53" s="40"/>
      <c r="KF53" s="40"/>
      <c r="KG53" s="40"/>
      <c r="KH53" s="40"/>
      <c r="KI53" s="40"/>
      <c r="KJ53" s="40"/>
      <c r="KK53" s="40"/>
      <c r="KL53" s="40"/>
      <c r="KM53" s="40"/>
      <c r="KN53" s="40"/>
      <c r="KO53" s="40"/>
      <c r="KP53" s="40"/>
      <c r="KQ53" s="40"/>
      <c r="KR53" s="40"/>
      <c r="KS53" s="40"/>
      <c r="KT53" s="40"/>
      <c r="KU53" s="40"/>
      <c r="KV53" s="40"/>
      <c r="KW53" s="40"/>
      <c r="KX53" s="40"/>
      <c r="KY53" s="40"/>
      <c r="KZ53" s="40"/>
      <c r="LA53" s="40"/>
      <c r="LB53" s="40"/>
      <c r="LC53" s="40"/>
      <c r="LD53" s="40"/>
      <c r="LE53" s="40"/>
      <c r="LF53" s="40"/>
      <c r="LG53" s="40"/>
      <c r="LH53" s="40"/>
      <c r="LI53" s="40"/>
      <c r="LJ53" s="40"/>
      <c r="LK53" s="40"/>
      <c r="LL53" s="40"/>
      <c r="LM53" s="40"/>
      <c r="LN53" s="40"/>
      <c r="LO53" s="40"/>
      <c r="LP53" s="40"/>
      <c r="LQ53" s="40"/>
      <c r="LR53" s="40"/>
      <c r="LS53" s="40"/>
      <c r="LT53" s="40"/>
      <c r="LU53" s="40"/>
      <c r="LV53" s="40"/>
      <c r="LW53" s="40"/>
      <c r="LX53" s="40"/>
      <c r="LY53" s="40"/>
      <c r="LZ53" s="40"/>
      <c r="MA53" s="40"/>
      <c r="MB53" s="40"/>
      <c r="MC53" s="40"/>
      <c r="MD53" s="40"/>
      <c r="ME53" s="40"/>
      <c r="MF53" s="40"/>
      <c r="MG53" s="40"/>
      <c r="MH53" s="40"/>
      <c r="MI53" s="40"/>
      <c r="MJ53" s="40"/>
      <c r="MK53" s="40"/>
      <c r="ML53" s="40"/>
      <c r="MM53" s="40"/>
      <c r="MN53" s="40"/>
      <c r="MO53" s="40"/>
      <c r="MP53" s="40"/>
      <c r="MQ53" s="40"/>
      <c r="MR53" s="40"/>
      <c r="MS53" s="40"/>
      <c r="MT53" s="40"/>
      <c r="MU53" s="40"/>
      <c r="MV53" s="40"/>
      <c r="MW53" s="40"/>
      <c r="MX53" s="40"/>
      <c r="MY53" s="40"/>
      <c r="MZ53" s="40"/>
      <c r="NA53" s="40"/>
      <c r="NB53" s="40"/>
      <c r="NC53" s="40"/>
      <c r="ND53" s="40"/>
      <c r="NE53" s="40"/>
      <c r="NF53" s="40"/>
      <c r="NG53" s="40"/>
      <c r="NH53" s="40"/>
      <c r="NI53" s="40"/>
      <c r="NJ53" s="40"/>
      <c r="NK53" s="40"/>
      <c r="NL53" s="40"/>
      <c r="NM53" s="40"/>
      <c r="NN53" s="40"/>
      <c r="NO53" s="40"/>
      <c r="NP53" s="40"/>
      <c r="NQ53" s="40"/>
      <c r="NR53" s="40"/>
      <c r="NS53" s="40"/>
      <c r="NT53" s="40"/>
      <c r="NU53" s="40"/>
      <c r="NV53" s="40"/>
      <c r="NW53" s="40"/>
      <c r="NX53" s="40"/>
      <c r="NY53" s="40"/>
      <c r="NZ53" s="40"/>
      <c r="OA53" s="40"/>
      <c r="OB53" s="40"/>
      <c r="OC53" s="40"/>
      <c r="OD53" s="40"/>
      <c r="OE53" s="40"/>
      <c r="OF53" s="40"/>
      <c r="OG53" s="40"/>
      <c r="OH53" s="40"/>
      <c r="OI53" s="40"/>
      <c r="OJ53" s="40"/>
      <c r="OK53" s="40"/>
      <c r="OL53" s="40"/>
      <c r="OM53" s="40"/>
      <c r="ON53" s="40"/>
      <c r="OO53" s="40"/>
      <c r="OP53" s="40"/>
      <c r="OQ53" s="40"/>
      <c r="OR53" s="40"/>
      <c r="OS53" s="40"/>
      <c r="OT53" s="40"/>
      <c r="OU53" s="40"/>
      <c r="OV53" s="40"/>
      <c r="OW53" s="40"/>
      <c r="OX53" s="40"/>
      <c r="OY53" s="40"/>
      <c r="OZ53" s="40"/>
      <c r="PA53" s="40"/>
      <c r="PB53" s="40"/>
      <c r="PC53" s="40"/>
      <c r="PD53" s="40"/>
      <c r="PE53" s="40"/>
      <c r="PF53" s="40"/>
      <c r="PG53" s="40"/>
      <c r="PH53" s="40"/>
      <c r="PI53" s="40"/>
      <c r="PJ53" s="40"/>
      <c r="PK53" s="40"/>
      <c r="PL53" s="40"/>
      <c r="PM53" s="40"/>
      <c r="PN53" s="40"/>
      <c r="PO53" s="40"/>
      <c r="PP53" s="40"/>
      <c r="PQ53" s="40"/>
      <c r="PR53" s="40"/>
      <c r="PS53" s="40"/>
      <c r="PT53" s="40"/>
      <c r="PU53" s="40"/>
      <c r="PV53" s="40"/>
      <c r="PW53" s="40"/>
      <c r="PX53" s="40"/>
      <c r="PY53" s="40"/>
      <c r="PZ53" s="40"/>
      <c r="QA53" s="40"/>
      <c r="QB53" s="40"/>
      <c r="QC53" s="40"/>
      <c r="QD53" s="40"/>
      <c r="QE53" s="40"/>
      <c r="QF53" s="40"/>
      <c r="QG53" s="40"/>
      <c r="QH53" s="40"/>
      <c r="QI53" s="40"/>
      <c r="QJ53" s="40"/>
      <c r="QK53" s="40"/>
      <c r="QL53" s="40"/>
      <c r="QM53" s="40"/>
      <c r="QN53" s="40"/>
      <c r="QO53" s="40"/>
      <c r="QP53" s="40"/>
      <c r="QQ53" s="40"/>
      <c r="QR53" s="40"/>
      <c r="QS53" s="40"/>
      <c r="QT53" s="40"/>
      <c r="QU53" s="40"/>
      <c r="QV53" s="40"/>
      <c r="QW53" s="40"/>
      <c r="QX53" s="40"/>
      <c r="QY53" s="40"/>
      <c r="QZ53" s="40"/>
      <c r="RA53" s="40"/>
      <c r="RB53" s="40"/>
      <c r="RC53" s="40"/>
      <c r="RD53" s="40"/>
      <c r="RE53" s="40"/>
      <c r="RF53" s="40"/>
      <c r="RG53" s="40"/>
      <c r="RH53" s="40"/>
      <c r="RI53" s="40"/>
      <c r="RJ53" s="40"/>
      <c r="RK53" s="40"/>
      <c r="RL53" s="40"/>
      <c r="RM53" s="40"/>
      <c r="RN53" s="40"/>
      <c r="RO53" s="40"/>
      <c r="RP53" s="40"/>
      <c r="RQ53" s="40"/>
      <c r="RR53" s="40"/>
      <c r="RS53" s="40"/>
      <c r="RT53" s="40"/>
      <c r="RU53" s="40"/>
      <c r="RV53" s="40"/>
      <c r="RW53" s="40"/>
      <c r="RX53" s="40"/>
      <c r="RY53" s="40"/>
      <c r="RZ53" s="40"/>
      <c r="SA53" s="40"/>
      <c r="SB53" s="40"/>
      <c r="SC53" s="40"/>
      <c r="SD53" s="40"/>
      <c r="SE53" s="40"/>
      <c r="SF53" s="40"/>
      <c r="SG53" s="40"/>
      <c r="SH53" s="40"/>
      <c r="SI53" s="40"/>
      <c r="SJ53" s="40"/>
      <c r="SK53" s="40"/>
      <c r="SL53" s="40"/>
      <c r="SM53" s="40"/>
      <c r="SN53" s="40"/>
      <c r="SO53" s="40"/>
      <c r="SP53" s="40"/>
      <c r="SQ53" s="40"/>
      <c r="SR53" s="40"/>
      <c r="SS53" s="40"/>
      <c r="ST53" s="40"/>
      <c r="SU53" s="40"/>
      <c r="SV53" s="40"/>
      <c r="SW53" s="40"/>
      <c r="SX53" s="40"/>
      <c r="SY53" s="40"/>
      <c r="SZ53" s="40"/>
      <c r="TA53" s="40"/>
      <c r="TB53" s="40"/>
      <c r="TC53" s="40"/>
      <c r="TD53" s="40"/>
      <c r="TE53" s="40"/>
      <c r="TF53" s="40"/>
      <c r="TG53" s="40"/>
      <c r="TH53" s="40"/>
      <c r="TI53" s="40"/>
      <c r="TJ53" s="40"/>
      <c r="TK53" s="40"/>
      <c r="TL53" s="40"/>
      <c r="TM53" s="40"/>
      <c r="TN53" s="40"/>
      <c r="TO53" s="40"/>
      <c r="TP53" s="40"/>
      <c r="TQ53" s="40"/>
      <c r="TR53" s="40"/>
      <c r="TS53" s="40"/>
      <c r="TT53" s="40"/>
      <c r="TU53" s="40"/>
      <c r="TV53" s="40"/>
      <c r="TW53" s="40"/>
      <c r="TX53" s="40"/>
      <c r="TY53" s="40"/>
      <c r="TZ53" s="40"/>
      <c r="UA53" s="40"/>
      <c r="UB53" s="40"/>
      <c r="UC53" s="40"/>
      <c r="UD53" s="40"/>
      <c r="UE53" s="40"/>
      <c r="UF53" s="40"/>
      <c r="UG53" s="40"/>
      <c r="UH53" s="40"/>
      <c r="UI53" s="40"/>
      <c r="UJ53" s="40"/>
      <c r="UK53" s="40"/>
      <c r="UL53" s="40"/>
      <c r="UM53" s="40"/>
      <c r="UN53" s="40"/>
      <c r="UO53" s="40"/>
      <c r="UP53" s="40"/>
      <c r="UQ53" s="40"/>
      <c r="UR53" s="40"/>
      <c r="US53" s="40"/>
      <c r="UT53" s="40"/>
      <c r="UU53" s="40"/>
      <c r="UV53" s="40"/>
      <c r="UW53" s="40"/>
      <c r="UX53" s="40"/>
      <c r="UY53" s="40"/>
      <c r="UZ53" s="40"/>
      <c r="VA53" s="40"/>
      <c r="VB53" s="40"/>
      <c r="VC53" s="40"/>
      <c r="VD53" s="40"/>
      <c r="VE53" s="40"/>
      <c r="VF53" s="40"/>
      <c r="VG53" s="40"/>
      <c r="VH53" s="40"/>
      <c r="VI53" s="40"/>
      <c r="VJ53" s="40"/>
      <c r="VK53" s="40"/>
      <c r="VL53" s="40"/>
      <c r="VM53" s="40"/>
      <c r="VN53" s="40"/>
      <c r="VO53" s="40"/>
      <c r="VP53" s="40"/>
      <c r="VQ53" s="40"/>
      <c r="VR53" s="40"/>
      <c r="VS53" s="40"/>
      <c r="VT53" s="40"/>
      <c r="VU53" s="40"/>
      <c r="VV53" s="40"/>
      <c r="VW53" s="40"/>
      <c r="VX53" s="40"/>
      <c r="VY53" s="40"/>
      <c r="VZ53" s="40"/>
      <c r="WA53" s="40"/>
      <c r="WB53" s="40"/>
      <c r="WC53" s="40"/>
      <c r="WD53" s="40"/>
      <c r="WE53" s="40"/>
      <c r="WF53" s="40"/>
      <c r="WG53" s="40"/>
      <c r="WH53" s="40"/>
      <c r="WI53" s="40"/>
      <c r="WJ53" s="40"/>
      <c r="WK53" s="40"/>
      <c r="WL53" s="40"/>
      <c r="WM53" s="40"/>
      <c r="WN53" s="40"/>
      <c r="WO53" s="40"/>
      <c r="WP53" s="40"/>
      <c r="WQ53" s="40"/>
      <c r="WR53" s="40"/>
      <c r="WS53" s="40"/>
      <c r="WT53" s="40"/>
      <c r="WU53" s="40"/>
      <c r="WV53" s="40"/>
      <c r="WW53" s="40"/>
      <c r="WX53" s="40"/>
      <c r="WY53" s="40"/>
      <c r="WZ53" s="40"/>
      <c r="XA53" s="40"/>
      <c r="XB53" s="40"/>
      <c r="XC53" s="40"/>
      <c r="XD53" s="40"/>
      <c r="XE53" s="40"/>
      <c r="XF53" s="40"/>
      <c r="XG53" s="40"/>
      <c r="XH53" s="40"/>
      <c r="XI53" s="40"/>
      <c r="XJ53" s="40"/>
      <c r="XK53" s="40"/>
      <c r="XL53" s="40"/>
      <c r="XM53" s="40"/>
      <c r="XN53" s="40"/>
      <c r="XO53" s="40"/>
      <c r="XP53" s="40"/>
      <c r="XQ53" s="40"/>
      <c r="XR53" s="40"/>
      <c r="XS53" s="40"/>
      <c r="XT53" s="40"/>
      <c r="XU53" s="40"/>
      <c r="XV53" s="40"/>
      <c r="XW53" s="40"/>
      <c r="XX53" s="40"/>
      <c r="XY53" s="40"/>
      <c r="XZ53" s="40"/>
      <c r="YA53" s="40"/>
      <c r="YB53" s="40"/>
      <c r="YC53" s="40"/>
      <c r="YD53" s="40"/>
      <c r="YE53" s="40"/>
      <c r="YF53" s="40"/>
      <c r="YG53" s="40"/>
      <c r="YH53" s="40"/>
      <c r="YI53" s="40"/>
      <c r="YJ53" s="40"/>
      <c r="YK53" s="40"/>
      <c r="YL53" s="40"/>
      <c r="YM53" s="40"/>
      <c r="YN53" s="40"/>
      <c r="YO53" s="40"/>
      <c r="YP53" s="40"/>
      <c r="YQ53" s="40"/>
      <c r="YR53" s="40"/>
      <c r="YS53" s="40"/>
      <c r="YT53" s="40"/>
      <c r="YU53" s="40"/>
      <c r="YV53" s="40"/>
      <c r="YW53" s="40"/>
      <c r="YX53" s="40"/>
      <c r="YY53" s="40"/>
      <c r="YZ53" s="40"/>
      <c r="ZA53" s="40"/>
      <c r="ZB53" s="40"/>
      <c r="ZC53" s="40"/>
      <c r="ZD53" s="40"/>
      <c r="ZE53" s="40"/>
      <c r="ZF53" s="40"/>
      <c r="ZG53" s="40"/>
      <c r="ZH53" s="40"/>
      <c r="ZI53" s="40"/>
      <c r="ZJ53" s="40"/>
      <c r="ZK53" s="40"/>
      <c r="ZL53" s="40"/>
      <c r="ZM53" s="40"/>
      <c r="ZN53" s="40"/>
      <c r="ZO53" s="40"/>
      <c r="ZP53" s="40"/>
      <c r="ZQ53" s="40"/>
      <c r="ZR53" s="40"/>
      <c r="ZS53" s="40"/>
      <c r="ZT53" s="40"/>
      <c r="ZU53" s="40"/>
      <c r="ZV53" s="40"/>
      <c r="ZW53" s="40"/>
      <c r="ZX53" s="40"/>
      <c r="ZY53" s="40"/>
      <c r="ZZ53" s="40"/>
      <c r="AAA53" s="40"/>
      <c r="AAB53" s="40"/>
      <c r="AAC53" s="40"/>
      <c r="AAD53" s="40"/>
      <c r="AAE53" s="40"/>
      <c r="AAF53" s="40"/>
      <c r="AAG53" s="40"/>
      <c r="AAH53" s="40"/>
      <c r="AAI53" s="40"/>
      <c r="AAJ53" s="40"/>
      <c r="AAK53" s="40"/>
      <c r="AAL53" s="40"/>
      <c r="AAM53" s="40"/>
      <c r="AAN53" s="40"/>
      <c r="AAO53" s="40"/>
      <c r="AAP53" s="40"/>
      <c r="AAQ53" s="40"/>
      <c r="AAR53" s="40"/>
      <c r="AAS53" s="40"/>
      <c r="AAT53" s="40"/>
      <c r="AAU53" s="40"/>
      <c r="AAV53" s="40"/>
      <c r="AAW53" s="40"/>
      <c r="AAX53" s="40"/>
      <c r="AAY53" s="40"/>
      <c r="AAZ53" s="40"/>
      <c r="ABA53" s="40"/>
      <c r="ABB53" s="40"/>
      <c r="ABC53" s="40"/>
      <c r="ABD53" s="40"/>
      <c r="ABE53" s="40"/>
      <c r="ABF53" s="40"/>
      <c r="ABG53" s="40"/>
      <c r="ABH53" s="40"/>
      <c r="ABI53" s="40"/>
      <c r="ABJ53" s="40"/>
      <c r="ABK53" s="40"/>
      <c r="ABL53" s="40"/>
      <c r="ABM53" s="40"/>
      <c r="ABN53" s="40"/>
      <c r="ABO53" s="40"/>
      <c r="ABP53" s="40"/>
      <c r="ABQ53" s="40"/>
      <c r="ABR53" s="40"/>
      <c r="ABS53" s="40"/>
      <c r="ABT53" s="40"/>
      <c r="ABU53" s="40"/>
      <c r="ABV53" s="40"/>
      <c r="ABW53" s="40"/>
      <c r="ABX53" s="40"/>
      <c r="ABY53" s="40"/>
      <c r="ABZ53" s="40"/>
      <c r="ACA53" s="40"/>
      <c r="ACB53" s="40"/>
      <c r="ACC53" s="40"/>
      <c r="ACD53" s="40"/>
      <c r="ACE53" s="40"/>
      <c r="ACF53" s="40"/>
      <c r="ACG53" s="40"/>
      <c r="ACH53" s="40"/>
      <c r="ACI53" s="40"/>
      <c r="ACJ53" s="40"/>
      <c r="ACK53" s="40"/>
      <c r="ACL53" s="40"/>
      <c r="ACM53" s="40"/>
      <c r="ACN53" s="40"/>
      <c r="ACO53" s="40"/>
      <c r="ACP53" s="40"/>
      <c r="ACQ53" s="40"/>
      <c r="ACR53" s="40"/>
      <c r="ACS53" s="40"/>
      <c r="ACT53" s="40"/>
      <c r="ACU53" s="40"/>
      <c r="ACV53" s="40"/>
      <c r="ACW53" s="40"/>
      <c r="ACX53" s="40"/>
      <c r="ACY53" s="40"/>
      <c r="ACZ53" s="40"/>
      <c r="ADA53" s="40"/>
      <c r="ADB53" s="40"/>
      <c r="ADC53" s="40"/>
      <c r="ADD53" s="40"/>
      <c r="ADE53" s="40"/>
      <c r="ADF53" s="40"/>
      <c r="ADG53" s="40"/>
      <c r="ADH53" s="40"/>
      <c r="ADI53" s="40"/>
      <c r="ADJ53" s="40"/>
      <c r="ADK53" s="40"/>
      <c r="ADL53" s="40"/>
      <c r="ADM53" s="40"/>
      <c r="ADN53" s="40"/>
      <c r="ADO53" s="40"/>
      <c r="ADP53" s="40"/>
      <c r="ADQ53" s="40"/>
      <c r="ADR53" s="40"/>
      <c r="ADS53" s="40"/>
      <c r="ADT53" s="40"/>
      <c r="ADU53" s="40"/>
      <c r="ADV53" s="40"/>
      <c r="ADW53" s="40"/>
      <c r="ADX53" s="40"/>
      <c r="ADY53" s="40"/>
      <c r="ADZ53" s="40"/>
      <c r="AEA53" s="40"/>
      <c r="AEB53" s="40"/>
      <c r="AEC53" s="40"/>
      <c r="AED53" s="40"/>
      <c r="AEE53" s="40"/>
      <c r="AEF53" s="40"/>
      <c r="AEG53" s="40"/>
      <c r="AEH53" s="40"/>
      <c r="AEI53" s="40"/>
      <c r="AEJ53" s="40"/>
      <c r="AEK53" s="40"/>
      <c r="AEL53" s="40"/>
      <c r="AEM53" s="40"/>
      <c r="AEN53" s="40"/>
      <c r="AEO53" s="40"/>
      <c r="AEP53" s="40"/>
      <c r="AEQ53" s="40"/>
      <c r="AER53" s="40"/>
      <c r="AES53" s="40"/>
      <c r="AET53" s="40"/>
      <c r="AEU53" s="40"/>
      <c r="AEV53" s="40"/>
      <c r="AEW53" s="40"/>
      <c r="AEX53" s="40"/>
      <c r="AEY53" s="40"/>
      <c r="AEZ53" s="40"/>
      <c r="AFA53" s="40"/>
      <c r="AFB53" s="40"/>
      <c r="AFC53" s="40"/>
      <c r="AFD53" s="40"/>
      <c r="AFE53" s="40"/>
      <c r="AFF53" s="40"/>
      <c r="AFG53" s="40"/>
      <c r="AFH53" s="40"/>
      <c r="AFI53" s="40"/>
      <c r="AFJ53" s="40"/>
      <c r="AFK53" s="40"/>
      <c r="AFL53" s="40"/>
      <c r="AFM53" s="40"/>
      <c r="AFN53" s="40"/>
      <c r="AFO53" s="40"/>
      <c r="AFP53" s="40"/>
      <c r="AFQ53" s="40"/>
      <c r="AFR53" s="40"/>
      <c r="AFS53" s="40"/>
      <c r="AFT53" s="40"/>
      <c r="AFU53" s="40"/>
      <c r="AFV53" s="40"/>
      <c r="AFW53" s="40"/>
      <c r="AFX53" s="40"/>
      <c r="AFY53" s="40"/>
      <c r="AFZ53" s="40"/>
      <c r="AGA53" s="40"/>
      <c r="AGB53" s="40"/>
      <c r="AGC53" s="40"/>
      <c r="AGD53" s="40"/>
      <c r="AGE53" s="40"/>
      <c r="AGF53" s="40"/>
      <c r="AGG53" s="40"/>
      <c r="AGH53" s="40"/>
      <c r="AGI53" s="40"/>
      <c r="AGJ53" s="40"/>
      <c r="AGK53" s="40"/>
      <c r="AGL53" s="40"/>
      <c r="AGM53" s="40"/>
      <c r="AGN53" s="40"/>
      <c r="AGO53" s="40"/>
      <c r="AGP53" s="40"/>
      <c r="AGQ53" s="40"/>
      <c r="AGR53" s="40"/>
      <c r="AGS53" s="40"/>
    </row>
    <row r="54" spans="1:877" ht="13">
      <c r="A54" s="45"/>
      <c r="B54" s="42" t="s">
        <v>23</v>
      </c>
      <c r="C54" s="46" t="s">
        <v>24</v>
      </c>
      <c r="D54" s="47"/>
      <c r="E54" s="4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37500</v>
      </c>
      <c r="BD54" s="28">
        <v>37500</v>
      </c>
      <c r="BE54" s="28">
        <v>37500</v>
      </c>
      <c r="BF54" s="28">
        <v>37500</v>
      </c>
      <c r="BG54" s="28">
        <v>37500</v>
      </c>
      <c r="BH54" s="28">
        <v>37500</v>
      </c>
      <c r="BI54" s="28">
        <v>37500</v>
      </c>
      <c r="BJ54" s="28">
        <v>37500</v>
      </c>
      <c r="BK54" s="28">
        <v>37500</v>
      </c>
      <c r="BL54" s="28">
        <v>37500</v>
      </c>
      <c r="BM54" s="28">
        <v>37500</v>
      </c>
      <c r="BN54" s="28">
        <v>37500</v>
      </c>
      <c r="BO54" s="28">
        <v>75000</v>
      </c>
      <c r="BP54" s="28">
        <v>75000</v>
      </c>
      <c r="BQ54" s="28">
        <v>75000</v>
      </c>
      <c r="BR54" s="28">
        <v>75000</v>
      </c>
      <c r="BS54" s="28">
        <v>75000</v>
      </c>
      <c r="BT54" s="28">
        <v>75000</v>
      </c>
      <c r="BU54" s="28">
        <v>75000</v>
      </c>
      <c r="BV54" s="28">
        <v>75000</v>
      </c>
      <c r="BW54" s="28">
        <v>75000</v>
      </c>
      <c r="BX54" s="28">
        <v>75000</v>
      </c>
      <c r="BY54" s="28">
        <v>75000</v>
      </c>
      <c r="BZ54" s="28">
        <v>75000</v>
      </c>
      <c r="CA54" s="28">
        <v>75000</v>
      </c>
      <c r="CB54" s="28">
        <v>75000</v>
      </c>
      <c r="CC54" s="28">
        <v>75000</v>
      </c>
      <c r="CD54" s="28">
        <v>75000</v>
      </c>
      <c r="CE54" s="28">
        <v>75000</v>
      </c>
      <c r="CF54" s="28">
        <v>75000</v>
      </c>
      <c r="CG54" s="28">
        <v>75000</v>
      </c>
      <c r="CH54" s="28">
        <v>75000</v>
      </c>
      <c r="CI54" s="28">
        <v>75000</v>
      </c>
      <c r="CJ54" s="28">
        <v>75000</v>
      </c>
      <c r="CK54" s="28">
        <v>75000</v>
      </c>
      <c r="CL54" s="28">
        <v>75000</v>
      </c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47"/>
      <c r="FG54" s="47"/>
      <c r="FH54" s="47"/>
      <c r="FI54" s="47"/>
      <c r="FJ54" s="47"/>
      <c r="FK54" s="47"/>
      <c r="FL54" s="47"/>
      <c r="FM54" s="47"/>
      <c r="FN54" s="47"/>
      <c r="FO54" s="47"/>
      <c r="FP54" s="47"/>
      <c r="FQ54" s="47"/>
      <c r="FR54" s="47"/>
      <c r="FS54" s="47"/>
      <c r="FT54" s="47"/>
      <c r="FU54" s="47"/>
      <c r="FV54" s="47"/>
      <c r="FW54" s="47"/>
      <c r="FX54" s="47"/>
      <c r="FY54" s="47"/>
      <c r="FZ54" s="47"/>
      <c r="GA54" s="47"/>
      <c r="GB54" s="47"/>
      <c r="GC54" s="47"/>
      <c r="GD54" s="47"/>
      <c r="GE54" s="47"/>
      <c r="GF54" s="47"/>
      <c r="GG54" s="47"/>
      <c r="GH54" s="47"/>
      <c r="GI54" s="47"/>
      <c r="GJ54" s="47"/>
      <c r="GK54" s="47"/>
      <c r="GL54" s="47"/>
      <c r="GM54" s="47"/>
      <c r="GN54" s="47"/>
      <c r="GO54" s="47"/>
      <c r="GP54" s="47"/>
      <c r="GQ54" s="47"/>
      <c r="GR54" s="47"/>
      <c r="GS54" s="47"/>
      <c r="GT54" s="47"/>
      <c r="GU54" s="47"/>
      <c r="GV54" s="47"/>
      <c r="GW54" s="47"/>
      <c r="GX54" s="47"/>
      <c r="GY54" s="47"/>
      <c r="GZ54" s="47"/>
      <c r="HA54" s="47"/>
      <c r="HB54" s="47"/>
      <c r="HC54" s="47"/>
      <c r="HD54" s="47"/>
      <c r="HE54" s="47"/>
      <c r="HF54" s="47"/>
      <c r="HG54" s="47"/>
      <c r="HH54" s="47"/>
      <c r="HI54" s="47"/>
      <c r="HJ54" s="47"/>
      <c r="HK54" s="47"/>
      <c r="HL54" s="47"/>
      <c r="HM54" s="47"/>
      <c r="HN54" s="47"/>
      <c r="HO54" s="47"/>
      <c r="HP54" s="47"/>
      <c r="HQ54" s="47"/>
      <c r="HR54" s="47"/>
      <c r="HS54" s="47"/>
      <c r="HT54" s="47"/>
      <c r="HU54" s="47"/>
      <c r="HV54" s="47"/>
      <c r="HW54" s="47"/>
      <c r="HX54" s="47"/>
      <c r="HY54" s="47"/>
      <c r="HZ54" s="47"/>
      <c r="IA54" s="47"/>
      <c r="IB54" s="47"/>
      <c r="IC54" s="47"/>
      <c r="ID54" s="47"/>
      <c r="IE54" s="47"/>
      <c r="IF54" s="47"/>
      <c r="IG54" s="47"/>
      <c r="IH54" s="47"/>
      <c r="II54" s="47"/>
      <c r="IJ54" s="47"/>
      <c r="IK54" s="47"/>
      <c r="IL54" s="47"/>
      <c r="IM54" s="47"/>
      <c r="IN54" s="47"/>
      <c r="IO54" s="47"/>
      <c r="IP54" s="47"/>
      <c r="IQ54" s="47"/>
      <c r="IR54" s="47"/>
      <c r="IS54" s="47"/>
      <c r="IT54" s="47"/>
      <c r="IU54" s="47"/>
      <c r="IV54" s="47"/>
      <c r="IW54" s="47"/>
      <c r="IX54" s="47"/>
      <c r="IY54" s="47"/>
      <c r="IZ54" s="47"/>
      <c r="JA54" s="47"/>
      <c r="JB54" s="47"/>
      <c r="JC54" s="47"/>
      <c r="JD54" s="47"/>
      <c r="JE54" s="47"/>
      <c r="JF54" s="47"/>
      <c r="JG54" s="47"/>
      <c r="JH54" s="47"/>
      <c r="JI54" s="47"/>
      <c r="JJ54" s="47"/>
      <c r="JK54" s="47"/>
      <c r="JL54" s="47"/>
      <c r="JM54" s="47"/>
      <c r="JN54" s="47"/>
      <c r="JO54" s="47"/>
      <c r="JP54" s="47"/>
      <c r="JQ54" s="47"/>
      <c r="JR54" s="47"/>
      <c r="JS54" s="47"/>
      <c r="JT54" s="47"/>
      <c r="JU54" s="47"/>
      <c r="JV54" s="47"/>
      <c r="JW54" s="47"/>
      <c r="JX54" s="47"/>
      <c r="JY54" s="47"/>
      <c r="JZ54" s="47"/>
      <c r="KA54" s="47"/>
      <c r="KB54" s="47"/>
      <c r="KC54" s="47"/>
      <c r="KD54" s="47"/>
      <c r="KE54" s="47"/>
      <c r="KF54" s="47"/>
      <c r="KG54" s="47"/>
      <c r="KH54" s="47"/>
      <c r="KI54" s="47"/>
      <c r="KJ54" s="47"/>
      <c r="KK54" s="47"/>
      <c r="KL54" s="47"/>
      <c r="KM54" s="47"/>
      <c r="KN54" s="47"/>
      <c r="KO54" s="47"/>
      <c r="KP54" s="47"/>
      <c r="KQ54" s="47"/>
      <c r="KR54" s="47"/>
      <c r="KS54" s="47"/>
      <c r="KT54" s="47"/>
      <c r="KU54" s="47"/>
      <c r="KV54" s="47"/>
      <c r="KW54" s="47"/>
      <c r="KX54" s="47"/>
      <c r="KY54" s="47"/>
      <c r="KZ54" s="47"/>
      <c r="LA54" s="47"/>
      <c r="LB54" s="47"/>
      <c r="LC54" s="47"/>
      <c r="LD54" s="47"/>
      <c r="LE54" s="47"/>
      <c r="LF54" s="47"/>
      <c r="LG54" s="47"/>
      <c r="LH54" s="47"/>
      <c r="LI54" s="47"/>
      <c r="LJ54" s="47"/>
      <c r="LK54" s="47"/>
      <c r="LL54" s="47"/>
      <c r="LM54" s="47"/>
      <c r="LN54" s="47"/>
      <c r="LO54" s="47"/>
      <c r="LP54" s="47"/>
      <c r="LQ54" s="47"/>
      <c r="LR54" s="47"/>
      <c r="LS54" s="47"/>
      <c r="LT54" s="47"/>
      <c r="LU54" s="47"/>
      <c r="LV54" s="47"/>
      <c r="LW54" s="47"/>
      <c r="LX54" s="47"/>
      <c r="LY54" s="47"/>
      <c r="LZ54" s="47"/>
      <c r="MA54" s="47"/>
      <c r="MB54" s="47"/>
      <c r="MC54" s="47"/>
      <c r="MD54" s="47"/>
      <c r="ME54" s="47"/>
      <c r="MF54" s="47"/>
      <c r="MG54" s="47"/>
      <c r="MH54" s="47"/>
      <c r="MI54" s="47"/>
      <c r="MJ54" s="47"/>
      <c r="MK54" s="47"/>
      <c r="ML54" s="47"/>
      <c r="MM54" s="47"/>
      <c r="MN54" s="47"/>
      <c r="MO54" s="47"/>
      <c r="MP54" s="47"/>
      <c r="MQ54" s="47"/>
      <c r="MR54" s="47"/>
      <c r="MS54" s="47"/>
      <c r="MT54" s="47"/>
      <c r="MU54" s="47"/>
      <c r="MV54" s="47"/>
      <c r="MW54" s="47"/>
      <c r="MX54" s="47"/>
      <c r="MY54" s="47"/>
      <c r="MZ54" s="47"/>
      <c r="NA54" s="47"/>
      <c r="NB54" s="47"/>
      <c r="NC54" s="47"/>
      <c r="ND54" s="47"/>
      <c r="NE54" s="47"/>
      <c r="NF54" s="47"/>
      <c r="NG54" s="47"/>
      <c r="NH54" s="47"/>
      <c r="NI54" s="47"/>
      <c r="NJ54" s="47"/>
      <c r="NK54" s="47"/>
      <c r="NL54" s="47"/>
      <c r="NM54" s="47"/>
      <c r="NN54" s="47"/>
      <c r="NO54" s="47"/>
      <c r="NP54" s="47"/>
      <c r="NQ54" s="47"/>
      <c r="NR54" s="47"/>
      <c r="NS54" s="47"/>
      <c r="NT54" s="47"/>
      <c r="NU54" s="47"/>
      <c r="NV54" s="47"/>
      <c r="NW54" s="47"/>
      <c r="NX54" s="47"/>
      <c r="NY54" s="47"/>
      <c r="NZ54" s="47"/>
      <c r="OA54" s="47"/>
      <c r="OB54" s="47"/>
      <c r="OC54" s="47"/>
      <c r="OD54" s="47"/>
      <c r="OE54" s="47"/>
      <c r="OF54" s="47"/>
      <c r="OG54" s="47"/>
      <c r="OH54" s="47"/>
      <c r="OI54" s="47"/>
      <c r="OJ54" s="47"/>
      <c r="OK54" s="47"/>
      <c r="OL54" s="47"/>
      <c r="OM54" s="47"/>
      <c r="ON54" s="47"/>
      <c r="OO54" s="47"/>
      <c r="OP54" s="47"/>
      <c r="OQ54" s="47"/>
      <c r="OR54" s="47"/>
      <c r="OS54" s="47"/>
      <c r="OT54" s="47"/>
      <c r="OU54" s="47"/>
      <c r="OV54" s="47"/>
      <c r="OW54" s="47"/>
      <c r="OX54" s="47"/>
      <c r="OY54" s="47"/>
      <c r="OZ54" s="47"/>
      <c r="PA54" s="47"/>
      <c r="PB54" s="47"/>
      <c r="PC54" s="47"/>
      <c r="PD54" s="47"/>
      <c r="PE54" s="47"/>
      <c r="PF54" s="47"/>
      <c r="PG54" s="47"/>
      <c r="PH54" s="47"/>
      <c r="PI54" s="47"/>
      <c r="PJ54" s="47"/>
      <c r="PK54" s="47"/>
      <c r="PL54" s="47"/>
      <c r="PM54" s="47"/>
      <c r="PN54" s="47"/>
      <c r="PO54" s="47"/>
      <c r="PP54" s="47"/>
      <c r="PQ54" s="47"/>
      <c r="PR54" s="47"/>
      <c r="PS54" s="47"/>
      <c r="PT54" s="47"/>
      <c r="PU54" s="47"/>
      <c r="PV54" s="47"/>
      <c r="PW54" s="47"/>
      <c r="PX54" s="47"/>
      <c r="PY54" s="47"/>
      <c r="PZ54" s="47"/>
      <c r="QA54" s="47"/>
      <c r="QB54" s="47"/>
      <c r="QC54" s="47"/>
      <c r="QD54" s="47"/>
      <c r="QE54" s="47"/>
      <c r="QF54" s="47"/>
      <c r="QG54" s="47"/>
      <c r="QH54" s="47"/>
      <c r="QI54" s="47"/>
      <c r="QJ54" s="47"/>
      <c r="QK54" s="47"/>
      <c r="QL54" s="47"/>
      <c r="QM54" s="47"/>
      <c r="QN54" s="47"/>
      <c r="QO54" s="47"/>
      <c r="QP54" s="47"/>
      <c r="QQ54" s="47"/>
      <c r="QR54" s="47"/>
      <c r="QS54" s="47"/>
      <c r="QT54" s="47"/>
      <c r="QU54" s="47"/>
      <c r="QV54" s="47"/>
      <c r="QW54" s="47"/>
      <c r="QX54" s="47"/>
      <c r="QY54" s="47"/>
      <c r="QZ54" s="47"/>
      <c r="RA54" s="47"/>
      <c r="RB54" s="47"/>
      <c r="RC54" s="47"/>
      <c r="RD54" s="47"/>
      <c r="RE54" s="47"/>
      <c r="RF54" s="47"/>
      <c r="RG54" s="47"/>
      <c r="RH54" s="47"/>
      <c r="RI54" s="47"/>
      <c r="RJ54" s="47"/>
      <c r="RK54" s="47"/>
      <c r="RL54" s="47"/>
      <c r="RM54" s="47"/>
      <c r="RN54" s="47"/>
      <c r="RO54" s="47"/>
      <c r="RP54" s="47"/>
      <c r="RQ54" s="47"/>
      <c r="RR54" s="47"/>
      <c r="RS54" s="47"/>
      <c r="RT54" s="47"/>
      <c r="RU54" s="47"/>
      <c r="RV54" s="47"/>
      <c r="RW54" s="47"/>
      <c r="RX54" s="47"/>
      <c r="RY54" s="47"/>
      <c r="RZ54" s="47"/>
      <c r="SA54" s="47"/>
      <c r="SB54" s="47"/>
      <c r="SC54" s="47"/>
      <c r="SD54" s="47"/>
      <c r="SE54" s="47"/>
      <c r="SF54" s="47"/>
      <c r="SG54" s="47"/>
      <c r="SH54" s="47"/>
      <c r="SI54" s="47"/>
      <c r="SJ54" s="47"/>
      <c r="SK54" s="47"/>
      <c r="SL54" s="47"/>
      <c r="SM54" s="47"/>
      <c r="SN54" s="47"/>
      <c r="SO54" s="47"/>
      <c r="SP54" s="47"/>
      <c r="SQ54" s="47"/>
      <c r="SR54" s="47"/>
      <c r="SS54" s="47"/>
      <c r="ST54" s="47"/>
      <c r="SU54" s="47"/>
      <c r="SV54" s="47"/>
      <c r="SW54" s="47"/>
      <c r="SX54" s="47"/>
      <c r="SY54" s="47"/>
      <c r="SZ54" s="47"/>
      <c r="TA54" s="47"/>
      <c r="TB54" s="47"/>
      <c r="TC54" s="47"/>
      <c r="TD54" s="47"/>
      <c r="TE54" s="47"/>
      <c r="TF54" s="47"/>
      <c r="TG54" s="47"/>
      <c r="TH54" s="47"/>
      <c r="TI54" s="47"/>
      <c r="TJ54" s="47"/>
      <c r="TK54" s="47"/>
      <c r="TL54" s="47"/>
      <c r="TM54" s="47"/>
      <c r="TN54" s="47"/>
      <c r="TO54" s="47"/>
      <c r="TP54" s="47"/>
      <c r="TQ54" s="47"/>
      <c r="TR54" s="47"/>
      <c r="TS54" s="47"/>
      <c r="TT54" s="47"/>
      <c r="TU54" s="47"/>
      <c r="TV54" s="47"/>
      <c r="TW54" s="47"/>
      <c r="TX54" s="47"/>
      <c r="TY54" s="47"/>
      <c r="TZ54" s="47"/>
      <c r="UA54" s="47"/>
      <c r="UB54" s="47"/>
      <c r="UC54" s="47"/>
      <c r="UD54" s="47"/>
      <c r="UE54" s="47"/>
      <c r="UF54" s="47"/>
      <c r="UG54" s="47"/>
      <c r="UH54" s="47"/>
      <c r="UI54" s="47"/>
      <c r="UJ54" s="47"/>
      <c r="UK54" s="47"/>
      <c r="UL54" s="47"/>
      <c r="UM54" s="47"/>
      <c r="UN54" s="47"/>
      <c r="UO54" s="47"/>
      <c r="UP54" s="47"/>
      <c r="UQ54" s="47"/>
      <c r="UR54" s="47"/>
      <c r="US54" s="47"/>
      <c r="UT54" s="47"/>
      <c r="UU54" s="47"/>
      <c r="UV54" s="47"/>
      <c r="UW54" s="47"/>
      <c r="UX54" s="47"/>
      <c r="UY54" s="47"/>
      <c r="UZ54" s="47"/>
      <c r="VA54" s="47"/>
      <c r="VB54" s="47"/>
      <c r="VC54" s="47"/>
      <c r="VD54" s="47"/>
      <c r="VE54" s="47"/>
      <c r="VF54" s="47"/>
      <c r="VG54" s="47"/>
      <c r="VH54" s="47"/>
      <c r="VI54" s="47"/>
      <c r="VJ54" s="47"/>
      <c r="VK54" s="47"/>
      <c r="VL54" s="47"/>
      <c r="VM54" s="47"/>
      <c r="VN54" s="47"/>
      <c r="VO54" s="47"/>
      <c r="VP54" s="47"/>
      <c r="VQ54" s="47"/>
      <c r="VR54" s="47"/>
      <c r="VS54" s="47"/>
      <c r="VT54" s="47"/>
      <c r="VU54" s="47"/>
      <c r="VV54" s="47"/>
      <c r="VW54" s="47"/>
      <c r="VX54" s="47"/>
      <c r="VY54" s="47"/>
      <c r="VZ54" s="47"/>
      <c r="WA54" s="47"/>
      <c r="WB54" s="47"/>
      <c r="WC54" s="47"/>
      <c r="WD54" s="47"/>
      <c r="WE54" s="47"/>
      <c r="WF54" s="47"/>
      <c r="WG54" s="47"/>
      <c r="WH54" s="47"/>
      <c r="WI54" s="47"/>
      <c r="WJ54" s="47"/>
      <c r="WK54" s="47"/>
      <c r="WL54" s="47"/>
      <c r="WM54" s="47"/>
      <c r="WN54" s="47"/>
      <c r="WO54" s="47"/>
      <c r="WP54" s="47"/>
      <c r="WQ54" s="47"/>
      <c r="WR54" s="47"/>
      <c r="WS54" s="47"/>
      <c r="WT54" s="47"/>
      <c r="WU54" s="47"/>
      <c r="WV54" s="47"/>
      <c r="WW54" s="47"/>
      <c r="WX54" s="47"/>
      <c r="WY54" s="47"/>
      <c r="WZ54" s="47"/>
      <c r="XA54" s="47"/>
      <c r="XB54" s="47"/>
      <c r="XC54" s="47"/>
      <c r="XD54" s="47"/>
      <c r="XE54" s="47"/>
      <c r="XF54" s="47"/>
      <c r="XG54" s="47"/>
      <c r="XH54" s="47"/>
      <c r="XI54" s="47"/>
      <c r="XJ54" s="47"/>
      <c r="XK54" s="47"/>
      <c r="XL54" s="47"/>
      <c r="XM54" s="47"/>
      <c r="XN54" s="47"/>
      <c r="XO54" s="47"/>
      <c r="XP54" s="47"/>
      <c r="XQ54" s="47"/>
      <c r="XR54" s="47"/>
      <c r="XS54" s="47"/>
      <c r="XT54" s="47"/>
      <c r="XU54" s="47"/>
      <c r="XV54" s="47"/>
      <c r="XW54" s="47"/>
      <c r="XX54" s="47"/>
      <c r="XY54" s="47"/>
      <c r="XZ54" s="47"/>
      <c r="YA54" s="47"/>
      <c r="YB54" s="47"/>
      <c r="YC54" s="47"/>
      <c r="YD54" s="47"/>
      <c r="YE54" s="47"/>
      <c r="YF54" s="47"/>
      <c r="YG54" s="47"/>
      <c r="YH54" s="47"/>
      <c r="YI54" s="47"/>
      <c r="YJ54" s="47"/>
      <c r="YK54" s="47"/>
      <c r="YL54" s="47"/>
      <c r="YM54" s="47"/>
      <c r="YN54" s="47"/>
      <c r="YO54" s="47"/>
      <c r="YP54" s="47"/>
      <c r="YQ54" s="47"/>
      <c r="YR54" s="47"/>
      <c r="YS54" s="47"/>
      <c r="YT54" s="47"/>
      <c r="YU54" s="47"/>
      <c r="YV54" s="47"/>
      <c r="YW54" s="47"/>
      <c r="YX54" s="47"/>
      <c r="YY54" s="47"/>
      <c r="YZ54" s="47"/>
      <c r="ZA54" s="47"/>
      <c r="ZB54" s="47"/>
      <c r="ZC54" s="47"/>
      <c r="ZD54" s="47"/>
      <c r="ZE54" s="47"/>
      <c r="ZF54" s="47"/>
      <c r="ZG54" s="47"/>
      <c r="ZH54" s="47"/>
      <c r="ZI54" s="47"/>
      <c r="ZJ54" s="47"/>
      <c r="ZK54" s="47"/>
      <c r="ZL54" s="47"/>
      <c r="ZM54" s="47"/>
      <c r="ZN54" s="47"/>
      <c r="ZO54" s="47"/>
      <c r="ZP54" s="47"/>
      <c r="ZQ54" s="47"/>
      <c r="ZR54" s="47"/>
      <c r="ZS54" s="47"/>
      <c r="ZT54" s="47"/>
      <c r="ZU54" s="47"/>
      <c r="ZV54" s="47"/>
      <c r="ZW54" s="47"/>
      <c r="ZX54" s="47"/>
      <c r="ZY54" s="47"/>
      <c r="ZZ54" s="47"/>
      <c r="AAA54" s="47"/>
      <c r="AAB54" s="47"/>
      <c r="AAC54" s="47"/>
      <c r="AAD54" s="47"/>
      <c r="AAE54" s="47"/>
      <c r="AAF54" s="47"/>
      <c r="AAG54" s="47"/>
      <c r="AAH54" s="47"/>
      <c r="AAI54" s="47"/>
      <c r="AAJ54" s="47"/>
      <c r="AAK54" s="47"/>
      <c r="AAL54" s="47"/>
      <c r="AAM54" s="47"/>
      <c r="AAN54" s="47"/>
      <c r="AAO54" s="47"/>
      <c r="AAP54" s="47"/>
      <c r="AAQ54" s="47"/>
      <c r="AAR54" s="47"/>
      <c r="AAS54" s="47"/>
      <c r="AAT54" s="47"/>
      <c r="AAU54" s="47"/>
      <c r="AAV54" s="47"/>
      <c r="AAW54" s="47"/>
      <c r="AAX54" s="47"/>
      <c r="AAY54" s="47"/>
      <c r="AAZ54" s="47"/>
      <c r="ABA54" s="47"/>
      <c r="ABB54" s="47"/>
      <c r="ABC54" s="47"/>
      <c r="ABD54" s="47"/>
      <c r="ABE54" s="47"/>
      <c r="ABF54" s="47"/>
      <c r="ABG54" s="47"/>
      <c r="ABH54" s="47"/>
      <c r="ABI54" s="47"/>
      <c r="ABJ54" s="47"/>
      <c r="ABK54" s="47"/>
      <c r="ABL54" s="47"/>
      <c r="ABM54" s="47"/>
      <c r="ABN54" s="47"/>
      <c r="ABO54" s="47"/>
      <c r="ABP54" s="47"/>
      <c r="ABQ54" s="47"/>
      <c r="ABR54" s="47"/>
      <c r="ABS54" s="47"/>
      <c r="ABT54" s="47"/>
      <c r="ABU54" s="47"/>
      <c r="ABV54" s="47"/>
      <c r="ABW54" s="47"/>
      <c r="ABX54" s="47"/>
      <c r="ABY54" s="47"/>
      <c r="ABZ54" s="47"/>
      <c r="ACA54" s="47"/>
      <c r="ACB54" s="47"/>
      <c r="ACC54" s="47"/>
      <c r="ACD54" s="47"/>
      <c r="ACE54" s="47"/>
      <c r="ACF54" s="47"/>
      <c r="ACG54" s="47"/>
      <c r="ACH54" s="47"/>
      <c r="ACI54" s="47"/>
      <c r="ACJ54" s="47"/>
      <c r="ACK54" s="47"/>
      <c r="ACL54" s="47"/>
      <c r="ACM54" s="47"/>
      <c r="ACN54" s="47"/>
      <c r="ACO54" s="47"/>
      <c r="ACP54" s="47"/>
      <c r="ACQ54" s="47"/>
      <c r="ACR54" s="47"/>
      <c r="ACS54" s="47"/>
      <c r="ACT54" s="47"/>
      <c r="ACU54" s="47"/>
      <c r="ACV54" s="47"/>
      <c r="ACW54" s="47"/>
      <c r="ACX54" s="47"/>
      <c r="ACY54" s="47"/>
      <c r="ACZ54" s="47"/>
      <c r="ADA54" s="47"/>
      <c r="ADB54" s="47"/>
      <c r="ADC54" s="47"/>
      <c r="ADD54" s="47"/>
      <c r="ADE54" s="47"/>
      <c r="ADF54" s="47"/>
      <c r="ADG54" s="47"/>
      <c r="ADH54" s="47"/>
      <c r="ADI54" s="47"/>
      <c r="ADJ54" s="47"/>
      <c r="ADK54" s="47"/>
      <c r="ADL54" s="47"/>
      <c r="ADM54" s="47"/>
      <c r="ADN54" s="47"/>
      <c r="ADO54" s="47"/>
      <c r="ADP54" s="47"/>
      <c r="ADQ54" s="47"/>
      <c r="ADR54" s="47"/>
      <c r="ADS54" s="47"/>
      <c r="ADT54" s="47"/>
      <c r="ADU54" s="47"/>
      <c r="ADV54" s="47"/>
      <c r="ADW54" s="47"/>
      <c r="ADX54" s="47"/>
      <c r="ADY54" s="47"/>
      <c r="ADZ54" s="47"/>
      <c r="AEA54" s="47"/>
      <c r="AEB54" s="47"/>
      <c r="AEC54" s="47"/>
      <c r="AED54" s="47"/>
      <c r="AEE54" s="47"/>
      <c r="AEF54" s="47"/>
      <c r="AEG54" s="47"/>
      <c r="AEH54" s="47"/>
      <c r="AEI54" s="47"/>
      <c r="AEJ54" s="47"/>
      <c r="AEK54" s="47"/>
      <c r="AEL54" s="47"/>
      <c r="AEM54" s="47"/>
      <c r="AEN54" s="47"/>
      <c r="AEO54" s="47"/>
      <c r="AEP54" s="47"/>
      <c r="AEQ54" s="47"/>
      <c r="AER54" s="47"/>
      <c r="AES54" s="47"/>
      <c r="AET54" s="47"/>
      <c r="AEU54" s="47"/>
      <c r="AEV54" s="47"/>
      <c r="AEW54" s="47"/>
      <c r="AEX54" s="47"/>
      <c r="AEY54" s="47"/>
      <c r="AEZ54" s="47"/>
      <c r="AFA54" s="47"/>
      <c r="AFB54" s="47"/>
      <c r="AFC54" s="47"/>
      <c r="AFD54" s="47"/>
      <c r="AFE54" s="47"/>
      <c r="AFF54" s="47"/>
      <c r="AFG54" s="47"/>
      <c r="AFH54" s="47"/>
      <c r="AFI54" s="47"/>
      <c r="AFJ54" s="47"/>
      <c r="AFK54" s="47"/>
      <c r="AFL54" s="47"/>
      <c r="AFM54" s="47"/>
      <c r="AFN54" s="47"/>
      <c r="AFO54" s="47"/>
      <c r="AFP54" s="47"/>
      <c r="AFQ54" s="47"/>
      <c r="AFR54" s="47"/>
      <c r="AFS54" s="47"/>
      <c r="AFT54" s="47"/>
      <c r="AFU54" s="47"/>
      <c r="AFV54" s="47"/>
      <c r="AFW54" s="47"/>
      <c r="AFX54" s="47"/>
      <c r="AFY54" s="47"/>
      <c r="AFZ54" s="47"/>
      <c r="AGA54" s="47"/>
      <c r="AGB54" s="47"/>
      <c r="AGC54" s="47"/>
      <c r="AGD54" s="47"/>
      <c r="AGE54" s="47"/>
      <c r="AGF54" s="47"/>
      <c r="AGG54" s="47"/>
      <c r="AGH54" s="47"/>
      <c r="AGI54" s="47"/>
      <c r="AGJ54" s="47"/>
      <c r="AGK54" s="47"/>
      <c r="AGL54" s="47"/>
      <c r="AGM54" s="47"/>
      <c r="AGN54" s="47"/>
      <c r="AGO54" s="47"/>
      <c r="AGP54" s="47"/>
      <c r="AGQ54" s="47"/>
      <c r="AGR54" s="47"/>
      <c r="AGS54" s="47"/>
    </row>
    <row r="55" spans="1:877" ht="13">
      <c r="A55" s="12"/>
      <c r="B55" s="44">
        <v>25</v>
      </c>
      <c r="C55" s="51" t="s">
        <v>25</v>
      </c>
      <c r="D55" s="52"/>
      <c r="E55" s="52"/>
      <c r="F55" s="27"/>
      <c r="G55" s="27">
        <f t="shared" ref="G55:CL55" si="19">G54*$B$15</f>
        <v>0</v>
      </c>
      <c r="H55" s="27">
        <f t="shared" si="19"/>
        <v>0</v>
      </c>
      <c r="I55" s="27">
        <f t="shared" si="19"/>
        <v>0</v>
      </c>
      <c r="J55" s="27">
        <f t="shared" si="19"/>
        <v>0</v>
      </c>
      <c r="K55" s="27">
        <f t="shared" si="19"/>
        <v>0</v>
      </c>
      <c r="L55" s="27">
        <f t="shared" si="19"/>
        <v>0</v>
      </c>
      <c r="M55" s="27">
        <f t="shared" si="19"/>
        <v>0</v>
      </c>
      <c r="N55" s="27">
        <f t="shared" si="19"/>
        <v>0</v>
      </c>
      <c r="O55" s="27">
        <f t="shared" si="19"/>
        <v>0</v>
      </c>
      <c r="P55" s="27">
        <f t="shared" si="19"/>
        <v>0</v>
      </c>
      <c r="Q55" s="27">
        <f t="shared" si="19"/>
        <v>0</v>
      </c>
      <c r="R55" s="27">
        <f t="shared" si="19"/>
        <v>0</v>
      </c>
      <c r="S55" s="27">
        <f t="shared" si="19"/>
        <v>0</v>
      </c>
      <c r="T55" s="27">
        <f t="shared" si="19"/>
        <v>0</v>
      </c>
      <c r="U55" s="27">
        <f t="shared" si="19"/>
        <v>0</v>
      </c>
      <c r="V55" s="27">
        <f t="shared" si="19"/>
        <v>0</v>
      </c>
      <c r="W55" s="27">
        <f t="shared" si="19"/>
        <v>0</v>
      </c>
      <c r="X55" s="27">
        <f t="shared" si="19"/>
        <v>0</v>
      </c>
      <c r="Y55" s="27">
        <f t="shared" si="19"/>
        <v>0</v>
      </c>
      <c r="Z55" s="27">
        <f t="shared" si="19"/>
        <v>0</v>
      </c>
      <c r="AA55" s="27">
        <f t="shared" si="19"/>
        <v>0</v>
      </c>
      <c r="AB55" s="27">
        <f t="shared" si="19"/>
        <v>0</v>
      </c>
      <c r="AC55" s="27">
        <f t="shared" si="19"/>
        <v>0</v>
      </c>
      <c r="AD55" s="27">
        <f t="shared" si="19"/>
        <v>0</v>
      </c>
      <c r="AE55" s="27">
        <f t="shared" si="19"/>
        <v>0</v>
      </c>
      <c r="AF55" s="27">
        <f t="shared" si="19"/>
        <v>0</v>
      </c>
      <c r="AG55" s="27">
        <f t="shared" si="19"/>
        <v>0</v>
      </c>
      <c r="AH55" s="27">
        <f t="shared" si="19"/>
        <v>0</v>
      </c>
      <c r="AI55" s="27">
        <f t="shared" si="19"/>
        <v>0</v>
      </c>
      <c r="AJ55" s="27">
        <f t="shared" si="19"/>
        <v>0</v>
      </c>
      <c r="AK55" s="27">
        <f t="shared" si="19"/>
        <v>0</v>
      </c>
      <c r="AL55" s="27">
        <f t="shared" si="19"/>
        <v>0</v>
      </c>
      <c r="AM55" s="27">
        <f t="shared" si="19"/>
        <v>0</v>
      </c>
      <c r="AN55" s="27">
        <f t="shared" si="19"/>
        <v>0</v>
      </c>
      <c r="AO55" s="27">
        <f t="shared" si="19"/>
        <v>0</v>
      </c>
      <c r="AP55" s="27">
        <f t="shared" si="19"/>
        <v>0</v>
      </c>
      <c r="AQ55" s="27">
        <f t="shared" si="19"/>
        <v>0</v>
      </c>
      <c r="AR55" s="27">
        <f t="shared" si="19"/>
        <v>0</v>
      </c>
      <c r="AS55" s="27">
        <f t="shared" si="19"/>
        <v>0</v>
      </c>
      <c r="AT55" s="27">
        <f t="shared" si="19"/>
        <v>0</v>
      </c>
      <c r="AU55" s="27">
        <f t="shared" si="19"/>
        <v>0</v>
      </c>
      <c r="AV55" s="27">
        <f t="shared" si="19"/>
        <v>0</v>
      </c>
      <c r="AW55" s="27">
        <f t="shared" si="19"/>
        <v>0</v>
      </c>
      <c r="AX55" s="27">
        <f t="shared" si="19"/>
        <v>0</v>
      </c>
      <c r="AY55" s="27">
        <f t="shared" si="19"/>
        <v>0</v>
      </c>
      <c r="AZ55" s="27">
        <f t="shared" si="19"/>
        <v>0</v>
      </c>
      <c r="BA55" s="27">
        <f t="shared" si="19"/>
        <v>0</v>
      </c>
      <c r="BB55" s="27">
        <f t="shared" si="19"/>
        <v>0</v>
      </c>
      <c r="BC55" s="27">
        <f t="shared" si="19"/>
        <v>937500</v>
      </c>
      <c r="BD55" s="27">
        <f t="shared" si="19"/>
        <v>937500</v>
      </c>
      <c r="BE55" s="27">
        <f t="shared" si="19"/>
        <v>937500</v>
      </c>
      <c r="BF55" s="27">
        <f t="shared" si="19"/>
        <v>937500</v>
      </c>
      <c r="BG55" s="27">
        <f t="shared" si="19"/>
        <v>937500</v>
      </c>
      <c r="BH55" s="27">
        <f t="shared" si="19"/>
        <v>937500</v>
      </c>
      <c r="BI55" s="27">
        <f t="shared" si="19"/>
        <v>937500</v>
      </c>
      <c r="BJ55" s="27">
        <f t="shared" si="19"/>
        <v>937500</v>
      </c>
      <c r="BK55" s="27">
        <f t="shared" si="19"/>
        <v>937500</v>
      </c>
      <c r="BL55" s="27">
        <f t="shared" si="19"/>
        <v>937500</v>
      </c>
      <c r="BM55" s="27">
        <f t="shared" si="19"/>
        <v>937500</v>
      </c>
      <c r="BN55" s="27">
        <f t="shared" si="19"/>
        <v>937500</v>
      </c>
      <c r="BO55" s="27">
        <f t="shared" si="19"/>
        <v>1875000</v>
      </c>
      <c r="BP55" s="27">
        <f t="shared" si="19"/>
        <v>1875000</v>
      </c>
      <c r="BQ55" s="27">
        <f t="shared" si="19"/>
        <v>1875000</v>
      </c>
      <c r="BR55" s="27">
        <f t="shared" si="19"/>
        <v>1875000</v>
      </c>
      <c r="BS55" s="27">
        <f t="shared" si="19"/>
        <v>1875000</v>
      </c>
      <c r="BT55" s="27">
        <f t="shared" si="19"/>
        <v>1875000</v>
      </c>
      <c r="BU55" s="27">
        <f t="shared" si="19"/>
        <v>1875000</v>
      </c>
      <c r="BV55" s="27">
        <f t="shared" si="19"/>
        <v>1875000</v>
      </c>
      <c r="BW55" s="27">
        <f t="shared" si="19"/>
        <v>1875000</v>
      </c>
      <c r="BX55" s="27">
        <f t="shared" si="19"/>
        <v>1875000</v>
      </c>
      <c r="BY55" s="27">
        <f t="shared" si="19"/>
        <v>1875000</v>
      </c>
      <c r="BZ55" s="27">
        <f t="shared" si="19"/>
        <v>1875000</v>
      </c>
      <c r="CA55" s="27">
        <f t="shared" si="19"/>
        <v>1875000</v>
      </c>
      <c r="CB55" s="27">
        <f t="shared" si="19"/>
        <v>1875000</v>
      </c>
      <c r="CC55" s="27">
        <f t="shared" si="19"/>
        <v>1875000</v>
      </c>
      <c r="CD55" s="27">
        <f t="shared" si="19"/>
        <v>1875000</v>
      </c>
      <c r="CE55" s="27">
        <f t="shared" si="19"/>
        <v>1875000</v>
      </c>
      <c r="CF55" s="27">
        <f t="shared" si="19"/>
        <v>1875000</v>
      </c>
      <c r="CG55" s="27">
        <f t="shared" si="19"/>
        <v>1875000</v>
      </c>
      <c r="CH55" s="27">
        <f t="shared" si="19"/>
        <v>1875000</v>
      </c>
      <c r="CI55" s="27">
        <f t="shared" si="19"/>
        <v>1875000</v>
      </c>
      <c r="CJ55" s="27">
        <f t="shared" si="19"/>
        <v>1875000</v>
      </c>
      <c r="CK55" s="27">
        <f t="shared" si="19"/>
        <v>1875000</v>
      </c>
      <c r="CL55" s="27">
        <f t="shared" si="19"/>
        <v>1875000</v>
      </c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</row>
    <row r="56" spans="1:877" ht="13">
      <c r="A56" s="12"/>
      <c r="B56" s="53"/>
      <c r="C56" s="49" t="s">
        <v>26</v>
      </c>
      <c r="D56" s="52"/>
      <c r="E56" s="52"/>
      <c r="F56" s="27"/>
      <c r="G56" s="27">
        <f t="shared" ref="G56:CL56" si="20">G54*$B$13</f>
        <v>0</v>
      </c>
      <c r="H56" s="27">
        <f t="shared" si="20"/>
        <v>0</v>
      </c>
      <c r="I56" s="27">
        <f t="shared" si="20"/>
        <v>0</v>
      </c>
      <c r="J56" s="27">
        <f t="shared" si="20"/>
        <v>0</v>
      </c>
      <c r="K56" s="27">
        <f t="shared" si="20"/>
        <v>0</v>
      </c>
      <c r="L56" s="27">
        <f t="shared" si="20"/>
        <v>0</v>
      </c>
      <c r="M56" s="27">
        <f t="shared" si="20"/>
        <v>0</v>
      </c>
      <c r="N56" s="27">
        <f t="shared" si="20"/>
        <v>0</v>
      </c>
      <c r="O56" s="27">
        <f t="shared" si="20"/>
        <v>0</v>
      </c>
      <c r="P56" s="27">
        <f t="shared" si="20"/>
        <v>0</v>
      </c>
      <c r="Q56" s="27">
        <f t="shared" si="20"/>
        <v>0</v>
      </c>
      <c r="R56" s="27">
        <f t="shared" si="20"/>
        <v>0</v>
      </c>
      <c r="S56" s="27">
        <f t="shared" si="20"/>
        <v>0</v>
      </c>
      <c r="T56" s="27">
        <f t="shared" si="20"/>
        <v>0</v>
      </c>
      <c r="U56" s="27">
        <f t="shared" si="20"/>
        <v>0</v>
      </c>
      <c r="V56" s="27">
        <f t="shared" si="20"/>
        <v>0</v>
      </c>
      <c r="W56" s="27">
        <f t="shared" si="20"/>
        <v>0</v>
      </c>
      <c r="X56" s="27">
        <f t="shared" si="20"/>
        <v>0</v>
      </c>
      <c r="Y56" s="27">
        <f t="shared" si="20"/>
        <v>0</v>
      </c>
      <c r="Z56" s="27">
        <f t="shared" si="20"/>
        <v>0</v>
      </c>
      <c r="AA56" s="27">
        <f t="shared" si="20"/>
        <v>0</v>
      </c>
      <c r="AB56" s="27">
        <f t="shared" si="20"/>
        <v>0</v>
      </c>
      <c r="AC56" s="27">
        <f t="shared" si="20"/>
        <v>0</v>
      </c>
      <c r="AD56" s="27">
        <f t="shared" si="20"/>
        <v>0</v>
      </c>
      <c r="AE56" s="27">
        <f t="shared" si="20"/>
        <v>0</v>
      </c>
      <c r="AF56" s="27">
        <f t="shared" si="20"/>
        <v>0</v>
      </c>
      <c r="AG56" s="27">
        <f t="shared" si="20"/>
        <v>0</v>
      </c>
      <c r="AH56" s="27">
        <f t="shared" si="20"/>
        <v>0</v>
      </c>
      <c r="AI56" s="27">
        <f t="shared" si="20"/>
        <v>0</v>
      </c>
      <c r="AJ56" s="27">
        <f t="shared" si="20"/>
        <v>0</v>
      </c>
      <c r="AK56" s="27">
        <f t="shared" si="20"/>
        <v>0</v>
      </c>
      <c r="AL56" s="27">
        <f t="shared" si="20"/>
        <v>0</v>
      </c>
      <c r="AM56" s="27">
        <f t="shared" si="20"/>
        <v>0</v>
      </c>
      <c r="AN56" s="27">
        <f t="shared" si="20"/>
        <v>0</v>
      </c>
      <c r="AO56" s="27">
        <f t="shared" si="20"/>
        <v>0</v>
      </c>
      <c r="AP56" s="27">
        <f t="shared" si="20"/>
        <v>0</v>
      </c>
      <c r="AQ56" s="27">
        <f t="shared" si="20"/>
        <v>0</v>
      </c>
      <c r="AR56" s="27">
        <f t="shared" si="20"/>
        <v>0</v>
      </c>
      <c r="AS56" s="27">
        <f t="shared" si="20"/>
        <v>0</v>
      </c>
      <c r="AT56" s="27">
        <f t="shared" si="20"/>
        <v>0</v>
      </c>
      <c r="AU56" s="27">
        <f t="shared" si="20"/>
        <v>0</v>
      </c>
      <c r="AV56" s="27">
        <f t="shared" si="20"/>
        <v>0</v>
      </c>
      <c r="AW56" s="27">
        <f t="shared" si="20"/>
        <v>0</v>
      </c>
      <c r="AX56" s="27">
        <f t="shared" si="20"/>
        <v>0</v>
      </c>
      <c r="AY56" s="27">
        <f t="shared" si="20"/>
        <v>0</v>
      </c>
      <c r="AZ56" s="27">
        <f t="shared" si="20"/>
        <v>0</v>
      </c>
      <c r="BA56" s="27">
        <f t="shared" si="20"/>
        <v>0</v>
      </c>
      <c r="BB56" s="27">
        <f t="shared" si="20"/>
        <v>0</v>
      </c>
      <c r="BC56" s="27">
        <f t="shared" si="20"/>
        <v>98245.065789473694</v>
      </c>
      <c r="BD56" s="27">
        <f t="shared" si="20"/>
        <v>98245.065789473694</v>
      </c>
      <c r="BE56" s="27">
        <f t="shared" si="20"/>
        <v>98245.065789473694</v>
      </c>
      <c r="BF56" s="27">
        <f t="shared" si="20"/>
        <v>98245.065789473694</v>
      </c>
      <c r="BG56" s="27">
        <f t="shared" si="20"/>
        <v>98245.065789473694</v>
      </c>
      <c r="BH56" s="27">
        <f t="shared" si="20"/>
        <v>98245.065789473694</v>
      </c>
      <c r="BI56" s="27">
        <f t="shared" si="20"/>
        <v>98245.065789473694</v>
      </c>
      <c r="BJ56" s="27">
        <f t="shared" si="20"/>
        <v>98245.065789473694</v>
      </c>
      <c r="BK56" s="27">
        <f t="shared" si="20"/>
        <v>98245.065789473694</v>
      </c>
      <c r="BL56" s="27">
        <f t="shared" si="20"/>
        <v>98245.065789473694</v>
      </c>
      <c r="BM56" s="27">
        <f t="shared" si="20"/>
        <v>98245.065789473694</v>
      </c>
      <c r="BN56" s="27">
        <f t="shared" si="20"/>
        <v>98245.065789473694</v>
      </c>
      <c r="BO56" s="27">
        <f t="shared" si="20"/>
        <v>196490.13157894739</v>
      </c>
      <c r="BP56" s="27">
        <f t="shared" si="20"/>
        <v>196490.13157894739</v>
      </c>
      <c r="BQ56" s="27">
        <f t="shared" si="20"/>
        <v>196490.13157894739</v>
      </c>
      <c r="BR56" s="27">
        <f t="shared" si="20"/>
        <v>196490.13157894739</v>
      </c>
      <c r="BS56" s="27">
        <f t="shared" si="20"/>
        <v>196490.13157894739</v>
      </c>
      <c r="BT56" s="27">
        <f t="shared" si="20"/>
        <v>196490.13157894739</v>
      </c>
      <c r="BU56" s="27">
        <f t="shared" si="20"/>
        <v>196490.13157894739</v>
      </c>
      <c r="BV56" s="27">
        <f t="shared" si="20"/>
        <v>196490.13157894739</v>
      </c>
      <c r="BW56" s="27">
        <f t="shared" si="20"/>
        <v>196490.13157894739</v>
      </c>
      <c r="BX56" s="27">
        <f t="shared" si="20"/>
        <v>196490.13157894739</v>
      </c>
      <c r="BY56" s="27">
        <f t="shared" si="20"/>
        <v>196490.13157894739</v>
      </c>
      <c r="BZ56" s="27">
        <f t="shared" si="20"/>
        <v>196490.13157894739</v>
      </c>
      <c r="CA56" s="27">
        <f t="shared" si="20"/>
        <v>196490.13157894739</v>
      </c>
      <c r="CB56" s="27">
        <f t="shared" si="20"/>
        <v>196490.13157894739</v>
      </c>
      <c r="CC56" s="27">
        <f t="shared" si="20"/>
        <v>196490.13157894739</v>
      </c>
      <c r="CD56" s="27">
        <f t="shared" si="20"/>
        <v>196490.13157894739</v>
      </c>
      <c r="CE56" s="27">
        <f t="shared" si="20"/>
        <v>196490.13157894739</v>
      </c>
      <c r="CF56" s="27">
        <f t="shared" si="20"/>
        <v>196490.13157894739</v>
      </c>
      <c r="CG56" s="27">
        <f t="shared" si="20"/>
        <v>196490.13157894739</v>
      </c>
      <c r="CH56" s="27">
        <f t="shared" si="20"/>
        <v>196490.13157894739</v>
      </c>
      <c r="CI56" s="27">
        <f t="shared" si="20"/>
        <v>196490.13157894739</v>
      </c>
      <c r="CJ56" s="27">
        <f t="shared" si="20"/>
        <v>196490.13157894739</v>
      </c>
      <c r="CK56" s="27">
        <f t="shared" si="20"/>
        <v>196490.13157894739</v>
      </c>
      <c r="CL56" s="27">
        <f t="shared" si="20"/>
        <v>196490.13157894739</v>
      </c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</row>
    <row r="57" spans="1:877" ht="13">
      <c r="A57" s="25"/>
      <c r="B57" s="50"/>
      <c r="C57" s="33" t="s">
        <v>27</v>
      </c>
      <c r="D57" s="34"/>
      <c r="E57" s="34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>
        <f t="shared" ref="AQ57:CL57" si="21">AQ54*($B$55-$B$53)</f>
        <v>0</v>
      </c>
      <c r="AR57" s="35">
        <f t="shared" si="21"/>
        <v>0</v>
      </c>
      <c r="AS57" s="35">
        <f t="shared" si="21"/>
        <v>0</v>
      </c>
      <c r="AT57" s="35">
        <f t="shared" si="21"/>
        <v>0</v>
      </c>
      <c r="AU57" s="35">
        <f t="shared" si="21"/>
        <v>0</v>
      </c>
      <c r="AV57" s="35">
        <f t="shared" si="21"/>
        <v>0</v>
      </c>
      <c r="AW57" s="35">
        <f t="shared" si="21"/>
        <v>0</v>
      </c>
      <c r="AX57" s="35">
        <f t="shared" si="21"/>
        <v>0</v>
      </c>
      <c r="AY57" s="35">
        <f t="shared" si="21"/>
        <v>0</v>
      </c>
      <c r="AZ57" s="35">
        <f t="shared" si="21"/>
        <v>0</v>
      </c>
      <c r="BA57" s="35">
        <f t="shared" si="21"/>
        <v>0</v>
      </c>
      <c r="BB57" s="35">
        <f t="shared" si="21"/>
        <v>0</v>
      </c>
      <c r="BC57" s="35">
        <f t="shared" si="21"/>
        <v>839254.93421052629</v>
      </c>
      <c r="BD57" s="35">
        <f t="shared" si="21"/>
        <v>839254.93421052629</v>
      </c>
      <c r="BE57" s="35">
        <f t="shared" si="21"/>
        <v>839254.93421052629</v>
      </c>
      <c r="BF57" s="35">
        <f t="shared" si="21"/>
        <v>839254.93421052629</v>
      </c>
      <c r="BG57" s="35">
        <f t="shared" si="21"/>
        <v>839254.93421052629</v>
      </c>
      <c r="BH57" s="35">
        <f t="shared" si="21"/>
        <v>839254.93421052629</v>
      </c>
      <c r="BI57" s="35">
        <f t="shared" si="21"/>
        <v>839254.93421052629</v>
      </c>
      <c r="BJ57" s="35">
        <f t="shared" si="21"/>
        <v>839254.93421052629</v>
      </c>
      <c r="BK57" s="35">
        <f t="shared" si="21"/>
        <v>839254.93421052629</v>
      </c>
      <c r="BL57" s="35">
        <f t="shared" si="21"/>
        <v>839254.93421052629</v>
      </c>
      <c r="BM57" s="35">
        <f t="shared" si="21"/>
        <v>839254.93421052629</v>
      </c>
      <c r="BN57" s="35">
        <f t="shared" si="21"/>
        <v>839254.93421052629</v>
      </c>
      <c r="BO57" s="35">
        <f t="shared" si="21"/>
        <v>1678509.8684210526</v>
      </c>
      <c r="BP57" s="35">
        <f t="shared" si="21"/>
        <v>1678509.8684210526</v>
      </c>
      <c r="BQ57" s="35">
        <f t="shared" si="21"/>
        <v>1678509.8684210526</v>
      </c>
      <c r="BR57" s="35">
        <f t="shared" si="21"/>
        <v>1678509.8684210526</v>
      </c>
      <c r="BS57" s="35">
        <f t="shared" si="21"/>
        <v>1678509.8684210526</v>
      </c>
      <c r="BT57" s="35">
        <f t="shared" si="21"/>
        <v>1678509.8684210526</v>
      </c>
      <c r="BU57" s="35">
        <f t="shared" si="21"/>
        <v>1678509.8684210526</v>
      </c>
      <c r="BV57" s="35">
        <f t="shared" si="21"/>
        <v>1678509.8684210526</v>
      </c>
      <c r="BW57" s="35">
        <f t="shared" si="21"/>
        <v>1678509.8684210526</v>
      </c>
      <c r="BX57" s="35">
        <f t="shared" si="21"/>
        <v>1678509.8684210526</v>
      </c>
      <c r="BY57" s="35">
        <f t="shared" si="21"/>
        <v>1678509.8684210526</v>
      </c>
      <c r="BZ57" s="35">
        <f t="shared" si="21"/>
        <v>1678509.8684210526</v>
      </c>
      <c r="CA57" s="35">
        <f t="shared" si="21"/>
        <v>1678509.8684210526</v>
      </c>
      <c r="CB57" s="35">
        <f t="shared" si="21"/>
        <v>1678509.8684210526</v>
      </c>
      <c r="CC57" s="35">
        <f t="shared" si="21"/>
        <v>1678509.8684210526</v>
      </c>
      <c r="CD57" s="35">
        <f t="shared" si="21"/>
        <v>1678509.8684210526</v>
      </c>
      <c r="CE57" s="35">
        <f t="shared" si="21"/>
        <v>1678509.8684210526</v>
      </c>
      <c r="CF57" s="35">
        <f t="shared" si="21"/>
        <v>1678509.8684210526</v>
      </c>
      <c r="CG57" s="35">
        <f t="shared" si="21"/>
        <v>1678509.8684210526</v>
      </c>
      <c r="CH57" s="35">
        <f t="shared" si="21"/>
        <v>1678509.8684210526</v>
      </c>
      <c r="CI57" s="35">
        <f t="shared" si="21"/>
        <v>1678509.8684210526</v>
      </c>
      <c r="CJ57" s="35">
        <f t="shared" si="21"/>
        <v>1678509.8684210526</v>
      </c>
      <c r="CK57" s="35">
        <f t="shared" si="21"/>
        <v>1678509.8684210526</v>
      </c>
      <c r="CL57" s="35">
        <f t="shared" si="21"/>
        <v>1678509.8684210526</v>
      </c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1"/>
      <c r="JV57" s="21"/>
      <c r="JW57" s="21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  <c r="KJ57" s="21"/>
      <c r="KK57" s="21"/>
      <c r="KL57" s="21"/>
      <c r="KM57" s="21"/>
      <c r="KN57" s="21"/>
      <c r="KO57" s="21"/>
      <c r="KP57" s="21"/>
      <c r="KQ57" s="21"/>
      <c r="KR57" s="21"/>
      <c r="KS57" s="21"/>
      <c r="KT57" s="21"/>
      <c r="KU57" s="21"/>
      <c r="KV57" s="21"/>
      <c r="KW57" s="21"/>
      <c r="KX57" s="21"/>
      <c r="KY57" s="21"/>
      <c r="KZ57" s="21"/>
      <c r="LA57" s="21"/>
      <c r="LB57" s="21"/>
      <c r="LC57" s="21"/>
      <c r="LD57" s="21"/>
      <c r="LE57" s="21"/>
      <c r="LF57" s="21"/>
      <c r="LG57" s="21"/>
      <c r="LH57" s="21"/>
      <c r="LI57" s="21"/>
      <c r="LJ57" s="21"/>
      <c r="LK57" s="21"/>
      <c r="LL57" s="21"/>
      <c r="LM57" s="21"/>
      <c r="LN57" s="21"/>
      <c r="LO57" s="21"/>
      <c r="LP57" s="21"/>
      <c r="LQ57" s="21"/>
      <c r="LR57" s="21"/>
      <c r="LS57" s="21"/>
      <c r="LT57" s="21"/>
      <c r="LU57" s="21"/>
      <c r="LV57" s="21"/>
      <c r="LW57" s="21"/>
      <c r="LX57" s="21"/>
      <c r="LY57" s="21"/>
      <c r="LZ57" s="21"/>
      <c r="MA57" s="21"/>
      <c r="MB57" s="21"/>
      <c r="MC57" s="21"/>
      <c r="MD57" s="21"/>
      <c r="ME57" s="21"/>
      <c r="MF57" s="21"/>
      <c r="MG57" s="21"/>
      <c r="MH57" s="21"/>
      <c r="MI57" s="21"/>
      <c r="MJ57" s="21"/>
      <c r="MK57" s="21"/>
      <c r="ML57" s="21"/>
      <c r="MM57" s="21"/>
      <c r="MN57" s="21"/>
      <c r="MO57" s="21"/>
      <c r="MP57" s="21"/>
      <c r="MQ57" s="21"/>
      <c r="MR57" s="21"/>
      <c r="MS57" s="21"/>
      <c r="MT57" s="21"/>
      <c r="MU57" s="21"/>
      <c r="MV57" s="21"/>
      <c r="MW57" s="21"/>
      <c r="MX57" s="21"/>
      <c r="MY57" s="21"/>
      <c r="MZ57" s="21"/>
      <c r="NA57" s="21"/>
      <c r="NB57" s="21"/>
      <c r="NC57" s="21"/>
      <c r="ND57" s="21"/>
      <c r="NE57" s="21"/>
      <c r="NF57" s="21"/>
      <c r="NG57" s="21"/>
      <c r="NH57" s="21"/>
      <c r="NI57" s="21"/>
      <c r="NJ57" s="21"/>
      <c r="NK57" s="21"/>
      <c r="NL57" s="21"/>
      <c r="NM57" s="21"/>
      <c r="NN57" s="21"/>
      <c r="NO57" s="21"/>
      <c r="NP57" s="21"/>
      <c r="NQ57" s="21"/>
      <c r="NR57" s="21"/>
      <c r="NS57" s="21"/>
      <c r="NT57" s="21"/>
      <c r="NU57" s="21"/>
      <c r="NV57" s="21"/>
      <c r="NW57" s="21"/>
      <c r="NX57" s="21"/>
      <c r="NY57" s="21"/>
      <c r="NZ57" s="21"/>
      <c r="OA57" s="21"/>
      <c r="OB57" s="21"/>
      <c r="OC57" s="21"/>
      <c r="OD57" s="21"/>
      <c r="OE57" s="21"/>
      <c r="OF57" s="21"/>
      <c r="OG57" s="21"/>
      <c r="OH57" s="21"/>
      <c r="OI57" s="21"/>
      <c r="OJ57" s="21"/>
      <c r="OK57" s="21"/>
      <c r="OL57" s="21"/>
      <c r="OM57" s="21"/>
      <c r="ON57" s="21"/>
      <c r="OO57" s="21"/>
      <c r="OP57" s="21"/>
      <c r="OQ57" s="21"/>
      <c r="OR57" s="21"/>
      <c r="OS57" s="21"/>
      <c r="OT57" s="21"/>
      <c r="OU57" s="21"/>
      <c r="OV57" s="21"/>
      <c r="OW57" s="21"/>
      <c r="OX57" s="21"/>
      <c r="OY57" s="21"/>
      <c r="OZ57" s="21"/>
      <c r="PA57" s="21"/>
      <c r="PB57" s="21"/>
      <c r="PC57" s="21"/>
      <c r="PD57" s="21"/>
      <c r="PE57" s="21"/>
      <c r="PF57" s="21"/>
      <c r="PG57" s="21"/>
      <c r="PH57" s="21"/>
      <c r="PI57" s="21"/>
      <c r="PJ57" s="21"/>
      <c r="PK57" s="21"/>
      <c r="PL57" s="21"/>
      <c r="PM57" s="21"/>
      <c r="PN57" s="21"/>
      <c r="PO57" s="21"/>
      <c r="PP57" s="21"/>
      <c r="PQ57" s="21"/>
      <c r="PR57" s="21"/>
      <c r="PS57" s="21"/>
      <c r="PT57" s="21"/>
      <c r="PU57" s="21"/>
      <c r="PV57" s="21"/>
      <c r="PW57" s="21"/>
      <c r="PX57" s="21"/>
      <c r="PY57" s="21"/>
      <c r="PZ57" s="21"/>
      <c r="QA57" s="21"/>
      <c r="QB57" s="21"/>
      <c r="QC57" s="21"/>
      <c r="QD57" s="21"/>
      <c r="QE57" s="21"/>
      <c r="QF57" s="21"/>
      <c r="QG57" s="21"/>
      <c r="QH57" s="21"/>
      <c r="QI57" s="21"/>
      <c r="QJ57" s="21"/>
      <c r="QK57" s="21"/>
      <c r="QL57" s="21"/>
      <c r="QM57" s="21"/>
      <c r="QN57" s="21"/>
      <c r="QO57" s="21"/>
      <c r="QP57" s="21"/>
      <c r="QQ57" s="21"/>
      <c r="QR57" s="21"/>
      <c r="QS57" s="21"/>
      <c r="QT57" s="21"/>
      <c r="QU57" s="21"/>
      <c r="QV57" s="21"/>
      <c r="QW57" s="21"/>
      <c r="QX57" s="21"/>
      <c r="QY57" s="21"/>
      <c r="QZ57" s="21"/>
      <c r="RA57" s="21"/>
      <c r="RB57" s="21"/>
      <c r="RC57" s="21"/>
      <c r="RD57" s="21"/>
      <c r="RE57" s="21"/>
      <c r="RF57" s="21"/>
      <c r="RG57" s="21"/>
      <c r="RH57" s="21"/>
      <c r="RI57" s="21"/>
      <c r="RJ57" s="21"/>
      <c r="RK57" s="21"/>
      <c r="RL57" s="21"/>
      <c r="RM57" s="21"/>
      <c r="RN57" s="21"/>
      <c r="RO57" s="21"/>
      <c r="RP57" s="21"/>
      <c r="RQ57" s="21"/>
      <c r="RR57" s="21"/>
      <c r="RS57" s="21"/>
      <c r="RT57" s="21"/>
      <c r="RU57" s="21"/>
      <c r="RV57" s="21"/>
      <c r="RW57" s="21"/>
      <c r="RX57" s="21"/>
      <c r="RY57" s="21"/>
      <c r="RZ57" s="21"/>
      <c r="SA57" s="21"/>
      <c r="SB57" s="21"/>
      <c r="SC57" s="21"/>
      <c r="SD57" s="21"/>
      <c r="SE57" s="21"/>
      <c r="SF57" s="21"/>
      <c r="SG57" s="21"/>
      <c r="SH57" s="21"/>
      <c r="SI57" s="21"/>
      <c r="SJ57" s="21"/>
      <c r="SK57" s="21"/>
      <c r="SL57" s="21"/>
      <c r="SM57" s="21"/>
      <c r="SN57" s="21"/>
      <c r="SO57" s="21"/>
      <c r="SP57" s="21"/>
      <c r="SQ57" s="21"/>
      <c r="SR57" s="21"/>
      <c r="SS57" s="21"/>
      <c r="ST57" s="21"/>
      <c r="SU57" s="21"/>
      <c r="SV57" s="21"/>
      <c r="SW57" s="21"/>
      <c r="SX57" s="21"/>
      <c r="SY57" s="21"/>
      <c r="SZ57" s="21"/>
      <c r="TA57" s="21"/>
      <c r="TB57" s="21"/>
      <c r="TC57" s="21"/>
      <c r="TD57" s="21"/>
      <c r="TE57" s="21"/>
      <c r="TF57" s="21"/>
      <c r="TG57" s="21"/>
      <c r="TH57" s="21"/>
      <c r="TI57" s="21"/>
      <c r="TJ57" s="21"/>
      <c r="TK57" s="21"/>
      <c r="TL57" s="21"/>
      <c r="TM57" s="21"/>
      <c r="TN57" s="21"/>
      <c r="TO57" s="21"/>
      <c r="TP57" s="21"/>
      <c r="TQ57" s="21"/>
      <c r="TR57" s="21"/>
      <c r="TS57" s="21"/>
      <c r="TT57" s="21"/>
      <c r="TU57" s="21"/>
      <c r="TV57" s="21"/>
      <c r="TW57" s="21"/>
      <c r="TX57" s="21"/>
      <c r="TY57" s="21"/>
      <c r="TZ57" s="21"/>
      <c r="UA57" s="21"/>
      <c r="UB57" s="21"/>
      <c r="UC57" s="21"/>
      <c r="UD57" s="21"/>
      <c r="UE57" s="21"/>
      <c r="UF57" s="21"/>
      <c r="UG57" s="21"/>
      <c r="UH57" s="21"/>
      <c r="UI57" s="21"/>
      <c r="UJ57" s="21"/>
      <c r="UK57" s="21"/>
      <c r="UL57" s="21"/>
      <c r="UM57" s="21"/>
      <c r="UN57" s="21"/>
      <c r="UO57" s="21"/>
      <c r="UP57" s="21"/>
      <c r="UQ57" s="21"/>
      <c r="UR57" s="21"/>
      <c r="US57" s="21"/>
      <c r="UT57" s="21"/>
      <c r="UU57" s="21"/>
      <c r="UV57" s="21"/>
      <c r="UW57" s="21"/>
      <c r="UX57" s="21"/>
      <c r="UY57" s="21"/>
      <c r="UZ57" s="21"/>
      <c r="VA57" s="21"/>
      <c r="VB57" s="21"/>
      <c r="VC57" s="21"/>
      <c r="VD57" s="21"/>
      <c r="VE57" s="21"/>
      <c r="VF57" s="21"/>
      <c r="VG57" s="21"/>
      <c r="VH57" s="21"/>
      <c r="VI57" s="21"/>
      <c r="VJ57" s="21"/>
      <c r="VK57" s="21"/>
      <c r="VL57" s="21"/>
      <c r="VM57" s="21"/>
      <c r="VN57" s="21"/>
      <c r="VO57" s="21"/>
      <c r="VP57" s="21"/>
      <c r="VQ57" s="21"/>
      <c r="VR57" s="21"/>
      <c r="VS57" s="21"/>
      <c r="VT57" s="21"/>
      <c r="VU57" s="21"/>
      <c r="VV57" s="21"/>
      <c r="VW57" s="21"/>
      <c r="VX57" s="21"/>
      <c r="VY57" s="21"/>
      <c r="VZ57" s="21"/>
      <c r="WA57" s="21"/>
      <c r="WB57" s="21"/>
      <c r="WC57" s="21"/>
      <c r="WD57" s="21"/>
      <c r="WE57" s="21"/>
      <c r="WF57" s="21"/>
      <c r="WG57" s="21"/>
      <c r="WH57" s="21"/>
      <c r="WI57" s="21"/>
      <c r="WJ57" s="21"/>
      <c r="WK57" s="21"/>
      <c r="WL57" s="21"/>
      <c r="WM57" s="21"/>
      <c r="WN57" s="21"/>
      <c r="WO57" s="21"/>
      <c r="WP57" s="21"/>
      <c r="WQ57" s="21"/>
      <c r="WR57" s="21"/>
      <c r="WS57" s="21"/>
      <c r="WT57" s="21"/>
      <c r="WU57" s="21"/>
      <c r="WV57" s="21"/>
      <c r="WW57" s="21"/>
      <c r="WX57" s="21"/>
      <c r="WY57" s="21"/>
      <c r="WZ57" s="21"/>
      <c r="XA57" s="21"/>
      <c r="XB57" s="21"/>
      <c r="XC57" s="21"/>
      <c r="XD57" s="21"/>
      <c r="XE57" s="21"/>
      <c r="XF57" s="21"/>
      <c r="XG57" s="21"/>
      <c r="XH57" s="21"/>
      <c r="XI57" s="21"/>
      <c r="XJ57" s="21"/>
      <c r="XK57" s="21"/>
      <c r="XL57" s="21"/>
      <c r="XM57" s="21"/>
      <c r="XN57" s="21"/>
      <c r="XO57" s="21"/>
      <c r="XP57" s="21"/>
      <c r="XQ57" s="21"/>
      <c r="XR57" s="21"/>
      <c r="XS57" s="21"/>
      <c r="XT57" s="21"/>
      <c r="XU57" s="21"/>
      <c r="XV57" s="21"/>
      <c r="XW57" s="21"/>
      <c r="XX57" s="21"/>
      <c r="XY57" s="21"/>
      <c r="XZ57" s="21"/>
      <c r="YA57" s="21"/>
      <c r="YB57" s="21"/>
      <c r="YC57" s="21"/>
      <c r="YD57" s="21"/>
      <c r="YE57" s="21"/>
      <c r="YF57" s="21"/>
      <c r="YG57" s="21"/>
      <c r="YH57" s="21"/>
      <c r="YI57" s="21"/>
      <c r="YJ57" s="21"/>
      <c r="YK57" s="21"/>
      <c r="YL57" s="21"/>
      <c r="YM57" s="21"/>
      <c r="YN57" s="21"/>
      <c r="YO57" s="21"/>
      <c r="YP57" s="21"/>
      <c r="YQ57" s="21"/>
      <c r="YR57" s="21"/>
      <c r="YS57" s="21"/>
      <c r="YT57" s="21"/>
      <c r="YU57" s="21"/>
      <c r="YV57" s="21"/>
      <c r="YW57" s="21"/>
      <c r="YX57" s="21"/>
      <c r="YY57" s="21"/>
      <c r="YZ57" s="21"/>
      <c r="ZA57" s="21"/>
      <c r="ZB57" s="21"/>
      <c r="ZC57" s="21"/>
      <c r="ZD57" s="21"/>
      <c r="ZE57" s="21"/>
      <c r="ZF57" s="21"/>
      <c r="ZG57" s="21"/>
      <c r="ZH57" s="21"/>
      <c r="ZI57" s="21"/>
      <c r="ZJ57" s="21"/>
      <c r="ZK57" s="21"/>
      <c r="ZL57" s="21"/>
      <c r="ZM57" s="21"/>
      <c r="ZN57" s="21"/>
      <c r="ZO57" s="21"/>
      <c r="ZP57" s="21"/>
      <c r="ZQ57" s="21"/>
      <c r="ZR57" s="21"/>
      <c r="ZS57" s="21"/>
      <c r="ZT57" s="21"/>
      <c r="ZU57" s="21"/>
      <c r="ZV57" s="21"/>
      <c r="ZW57" s="21"/>
      <c r="ZX57" s="21"/>
      <c r="ZY57" s="21"/>
      <c r="ZZ57" s="21"/>
      <c r="AAA57" s="21"/>
      <c r="AAB57" s="21"/>
      <c r="AAC57" s="21"/>
      <c r="AAD57" s="21"/>
      <c r="AAE57" s="21"/>
      <c r="AAF57" s="21"/>
      <c r="AAG57" s="21"/>
      <c r="AAH57" s="21"/>
      <c r="AAI57" s="21"/>
      <c r="AAJ57" s="21"/>
      <c r="AAK57" s="21"/>
      <c r="AAL57" s="21"/>
      <c r="AAM57" s="21"/>
      <c r="AAN57" s="21"/>
      <c r="AAO57" s="21"/>
      <c r="AAP57" s="21"/>
      <c r="AAQ57" s="21"/>
      <c r="AAR57" s="21"/>
      <c r="AAS57" s="21"/>
      <c r="AAT57" s="21"/>
      <c r="AAU57" s="21"/>
      <c r="AAV57" s="21"/>
      <c r="AAW57" s="21"/>
      <c r="AAX57" s="21"/>
      <c r="AAY57" s="21"/>
      <c r="AAZ57" s="21"/>
      <c r="ABA57" s="21"/>
      <c r="ABB57" s="21"/>
      <c r="ABC57" s="21"/>
      <c r="ABD57" s="21"/>
      <c r="ABE57" s="21"/>
      <c r="ABF57" s="21"/>
      <c r="ABG57" s="21"/>
      <c r="ABH57" s="21"/>
      <c r="ABI57" s="21"/>
      <c r="ABJ57" s="21"/>
      <c r="ABK57" s="21"/>
      <c r="ABL57" s="21"/>
      <c r="ABM57" s="21"/>
      <c r="ABN57" s="21"/>
      <c r="ABO57" s="21"/>
      <c r="ABP57" s="21"/>
      <c r="ABQ57" s="21"/>
      <c r="ABR57" s="21"/>
      <c r="ABS57" s="21"/>
      <c r="ABT57" s="21"/>
      <c r="ABU57" s="21"/>
      <c r="ABV57" s="21"/>
      <c r="ABW57" s="21"/>
      <c r="ABX57" s="21"/>
      <c r="ABY57" s="21"/>
      <c r="ABZ57" s="21"/>
      <c r="ACA57" s="21"/>
      <c r="ACB57" s="21"/>
      <c r="ACC57" s="21"/>
      <c r="ACD57" s="21"/>
      <c r="ACE57" s="21"/>
      <c r="ACF57" s="21"/>
      <c r="ACG57" s="21"/>
      <c r="ACH57" s="21"/>
      <c r="ACI57" s="21"/>
      <c r="ACJ57" s="21"/>
      <c r="ACK57" s="21"/>
      <c r="ACL57" s="21"/>
      <c r="ACM57" s="21"/>
      <c r="ACN57" s="21"/>
      <c r="ACO57" s="21"/>
      <c r="ACP57" s="21"/>
      <c r="ACQ57" s="21"/>
      <c r="ACR57" s="21"/>
      <c r="ACS57" s="21"/>
      <c r="ACT57" s="21"/>
      <c r="ACU57" s="21"/>
      <c r="ACV57" s="21"/>
      <c r="ACW57" s="21"/>
      <c r="ACX57" s="21"/>
      <c r="ACY57" s="21"/>
      <c r="ACZ57" s="21"/>
      <c r="ADA57" s="21"/>
      <c r="ADB57" s="21"/>
      <c r="ADC57" s="21"/>
      <c r="ADD57" s="21"/>
      <c r="ADE57" s="21"/>
      <c r="ADF57" s="21"/>
      <c r="ADG57" s="21"/>
      <c r="ADH57" s="21"/>
      <c r="ADI57" s="21"/>
      <c r="ADJ57" s="21"/>
      <c r="ADK57" s="21"/>
      <c r="ADL57" s="21"/>
      <c r="ADM57" s="21"/>
      <c r="ADN57" s="21"/>
      <c r="ADO57" s="21"/>
      <c r="ADP57" s="21"/>
      <c r="ADQ57" s="21"/>
      <c r="ADR57" s="21"/>
      <c r="ADS57" s="21"/>
      <c r="ADT57" s="21"/>
      <c r="ADU57" s="21"/>
      <c r="ADV57" s="21"/>
      <c r="ADW57" s="21"/>
      <c r="ADX57" s="21"/>
      <c r="ADY57" s="21"/>
      <c r="ADZ57" s="21"/>
      <c r="AEA57" s="21"/>
      <c r="AEB57" s="21"/>
      <c r="AEC57" s="21"/>
      <c r="AED57" s="21"/>
      <c r="AEE57" s="21"/>
      <c r="AEF57" s="21"/>
      <c r="AEG57" s="21"/>
      <c r="AEH57" s="21"/>
      <c r="AEI57" s="21"/>
      <c r="AEJ57" s="21"/>
      <c r="AEK57" s="21"/>
      <c r="AEL57" s="21"/>
      <c r="AEM57" s="21"/>
      <c r="AEN57" s="21"/>
      <c r="AEO57" s="21"/>
      <c r="AEP57" s="21"/>
      <c r="AEQ57" s="21"/>
      <c r="AER57" s="21"/>
      <c r="AES57" s="21"/>
      <c r="AET57" s="21"/>
      <c r="AEU57" s="21"/>
      <c r="AEV57" s="21"/>
      <c r="AEW57" s="21"/>
      <c r="AEX57" s="21"/>
      <c r="AEY57" s="21"/>
      <c r="AEZ57" s="21"/>
      <c r="AFA57" s="21"/>
      <c r="AFB57" s="21"/>
      <c r="AFC57" s="21"/>
      <c r="AFD57" s="21"/>
      <c r="AFE57" s="21"/>
      <c r="AFF57" s="21"/>
      <c r="AFG57" s="21"/>
      <c r="AFH57" s="21"/>
      <c r="AFI57" s="21"/>
      <c r="AFJ57" s="21"/>
      <c r="AFK57" s="21"/>
      <c r="AFL57" s="21"/>
      <c r="AFM57" s="21"/>
      <c r="AFN57" s="21"/>
      <c r="AFO57" s="21"/>
      <c r="AFP57" s="21"/>
      <c r="AFQ57" s="21"/>
      <c r="AFR57" s="21"/>
      <c r="AFS57" s="21"/>
      <c r="AFT57" s="21"/>
      <c r="AFU57" s="21"/>
      <c r="AFV57" s="21"/>
      <c r="AFW57" s="21"/>
      <c r="AFX57" s="21"/>
      <c r="AFY57" s="21"/>
      <c r="AFZ57" s="21"/>
      <c r="AGA57" s="21"/>
      <c r="AGB57" s="21"/>
      <c r="AGC57" s="21"/>
      <c r="AGD57" s="21"/>
      <c r="AGE57" s="21"/>
      <c r="AGF57" s="21"/>
      <c r="AGG57" s="21"/>
      <c r="AGH57" s="21"/>
      <c r="AGI57" s="21"/>
      <c r="AGJ57" s="21"/>
      <c r="AGK57" s="21"/>
      <c r="AGL57" s="21"/>
      <c r="AGM57" s="21"/>
      <c r="AGN57" s="21"/>
      <c r="AGO57" s="21"/>
      <c r="AGP57" s="21"/>
      <c r="AGQ57" s="21"/>
      <c r="AGR57" s="21"/>
      <c r="AGS57" s="21"/>
    </row>
    <row r="58" spans="1:877" ht="13">
      <c r="A58" s="41"/>
      <c r="B58" s="41"/>
      <c r="C58" s="26"/>
      <c r="D58" s="21"/>
      <c r="E58" s="21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  <c r="JM58" s="21"/>
      <c r="JN58" s="21"/>
      <c r="JO58" s="21"/>
      <c r="JP58" s="21"/>
      <c r="JQ58" s="21"/>
      <c r="JR58" s="21"/>
      <c r="JS58" s="21"/>
      <c r="JT58" s="21"/>
      <c r="JU58" s="21"/>
      <c r="JV58" s="21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  <c r="KJ58" s="21"/>
      <c r="KK58" s="21"/>
      <c r="KL58" s="21"/>
      <c r="KM58" s="21"/>
      <c r="KN58" s="21"/>
      <c r="KO58" s="21"/>
      <c r="KP58" s="21"/>
      <c r="KQ58" s="21"/>
      <c r="KR58" s="21"/>
      <c r="KS58" s="21"/>
      <c r="KT58" s="21"/>
      <c r="KU58" s="21"/>
      <c r="KV58" s="21"/>
      <c r="KW58" s="21"/>
      <c r="KX58" s="21"/>
      <c r="KY58" s="21"/>
      <c r="KZ58" s="21"/>
      <c r="LA58" s="21"/>
      <c r="LB58" s="21"/>
      <c r="LC58" s="21"/>
      <c r="LD58" s="21"/>
      <c r="LE58" s="21"/>
      <c r="LF58" s="21"/>
      <c r="LG58" s="21"/>
      <c r="LH58" s="21"/>
      <c r="LI58" s="21"/>
      <c r="LJ58" s="21"/>
      <c r="LK58" s="21"/>
      <c r="LL58" s="21"/>
      <c r="LM58" s="21"/>
      <c r="LN58" s="21"/>
      <c r="LO58" s="21"/>
      <c r="LP58" s="21"/>
      <c r="LQ58" s="21"/>
      <c r="LR58" s="21"/>
      <c r="LS58" s="21"/>
      <c r="LT58" s="21"/>
      <c r="LU58" s="21"/>
      <c r="LV58" s="21"/>
      <c r="LW58" s="21"/>
      <c r="LX58" s="21"/>
      <c r="LY58" s="21"/>
      <c r="LZ58" s="21"/>
      <c r="MA58" s="21"/>
      <c r="MB58" s="21"/>
      <c r="MC58" s="21"/>
      <c r="MD58" s="21"/>
      <c r="ME58" s="21"/>
      <c r="MF58" s="21"/>
      <c r="MG58" s="21"/>
      <c r="MH58" s="21"/>
      <c r="MI58" s="21"/>
      <c r="MJ58" s="21"/>
      <c r="MK58" s="21"/>
      <c r="ML58" s="21"/>
      <c r="MM58" s="21"/>
      <c r="MN58" s="21"/>
      <c r="MO58" s="21"/>
      <c r="MP58" s="21"/>
      <c r="MQ58" s="21"/>
      <c r="MR58" s="21"/>
      <c r="MS58" s="21"/>
      <c r="MT58" s="21"/>
      <c r="MU58" s="21"/>
      <c r="MV58" s="21"/>
      <c r="MW58" s="21"/>
      <c r="MX58" s="21"/>
      <c r="MY58" s="21"/>
      <c r="MZ58" s="21"/>
      <c r="NA58" s="21"/>
      <c r="NB58" s="21"/>
      <c r="NC58" s="21"/>
      <c r="ND58" s="21"/>
      <c r="NE58" s="21"/>
      <c r="NF58" s="21"/>
      <c r="NG58" s="21"/>
      <c r="NH58" s="21"/>
      <c r="NI58" s="21"/>
      <c r="NJ58" s="21"/>
      <c r="NK58" s="21"/>
      <c r="NL58" s="21"/>
      <c r="NM58" s="21"/>
      <c r="NN58" s="21"/>
      <c r="NO58" s="21"/>
      <c r="NP58" s="21"/>
      <c r="NQ58" s="21"/>
      <c r="NR58" s="21"/>
      <c r="NS58" s="21"/>
      <c r="NT58" s="21"/>
      <c r="NU58" s="21"/>
      <c r="NV58" s="21"/>
      <c r="NW58" s="21"/>
      <c r="NX58" s="21"/>
      <c r="NY58" s="21"/>
      <c r="NZ58" s="21"/>
      <c r="OA58" s="21"/>
      <c r="OB58" s="21"/>
      <c r="OC58" s="21"/>
      <c r="OD58" s="21"/>
      <c r="OE58" s="21"/>
      <c r="OF58" s="21"/>
      <c r="OG58" s="21"/>
      <c r="OH58" s="21"/>
      <c r="OI58" s="21"/>
      <c r="OJ58" s="21"/>
      <c r="OK58" s="21"/>
      <c r="OL58" s="21"/>
      <c r="OM58" s="21"/>
      <c r="ON58" s="21"/>
      <c r="OO58" s="21"/>
      <c r="OP58" s="21"/>
      <c r="OQ58" s="21"/>
      <c r="OR58" s="21"/>
      <c r="OS58" s="21"/>
      <c r="OT58" s="21"/>
      <c r="OU58" s="21"/>
      <c r="OV58" s="21"/>
      <c r="OW58" s="21"/>
      <c r="OX58" s="21"/>
      <c r="OY58" s="21"/>
      <c r="OZ58" s="21"/>
      <c r="PA58" s="21"/>
      <c r="PB58" s="21"/>
      <c r="PC58" s="21"/>
      <c r="PD58" s="21"/>
      <c r="PE58" s="21"/>
      <c r="PF58" s="21"/>
      <c r="PG58" s="21"/>
      <c r="PH58" s="21"/>
      <c r="PI58" s="21"/>
      <c r="PJ58" s="21"/>
      <c r="PK58" s="21"/>
      <c r="PL58" s="21"/>
      <c r="PM58" s="21"/>
      <c r="PN58" s="21"/>
      <c r="PO58" s="21"/>
      <c r="PP58" s="21"/>
      <c r="PQ58" s="21"/>
      <c r="PR58" s="21"/>
      <c r="PS58" s="21"/>
      <c r="PT58" s="21"/>
      <c r="PU58" s="21"/>
      <c r="PV58" s="21"/>
      <c r="PW58" s="21"/>
      <c r="PX58" s="21"/>
      <c r="PY58" s="21"/>
      <c r="PZ58" s="21"/>
      <c r="QA58" s="21"/>
      <c r="QB58" s="21"/>
      <c r="QC58" s="21"/>
      <c r="QD58" s="21"/>
      <c r="QE58" s="21"/>
      <c r="QF58" s="21"/>
      <c r="QG58" s="21"/>
      <c r="QH58" s="21"/>
      <c r="QI58" s="21"/>
      <c r="QJ58" s="21"/>
      <c r="QK58" s="21"/>
      <c r="QL58" s="21"/>
      <c r="QM58" s="21"/>
      <c r="QN58" s="21"/>
      <c r="QO58" s="21"/>
      <c r="QP58" s="21"/>
      <c r="QQ58" s="21"/>
      <c r="QR58" s="21"/>
      <c r="QS58" s="21"/>
      <c r="QT58" s="21"/>
      <c r="QU58" s="21"/>
      <c r="QV58" s="21"/>
      <c r="QW58" s="21"/>
      <c r="QX58" s="21"/>
      <c r="QY58" s="21"/>
      <c r="QZ58" s="21"/>
      <c r="RA58" s="21"/>
      <c r="RB58" s="21"/>
      <c r="RC58" s="21"/>
      <c r="RD58" s="21"/>
      <c r="RE58" s="21"/>
      <c r="RF58" s="21"/>
      <c r="RG58" s="21"/>
      <c r="RH58" s="21"/>
      <c r="RI58" s="21"/>
      <c r="RJ58" s="21"/>
      <c r="RK58" s="21"/>
      <c r="RL58" s="21"/>
      <c r="RM58" s="21"/>
      <c r="RN58" s="21"/>
      <c r="RO58" s="21"/>
      <c r="RP58" s="21"/>
      <c r="RQ58" s="21"/>
      <c r="RR58" s="21"/>
      <c r="RS58" s="21"/>
      <c r="RT58" s="21"/>
      <c r="RU58" s="21"/>
      <c r="RV58" s="21"/>
      <c r="RW58" s="21"/>
      <c r="RX58" s="21"/>
      <c r="RY58" s="21"/>
      <c r="RZ58" s="21"/>
      <c r="SA58" s="21"/>
      <c r="SB58" s="21"/>
      <c r="SC58" s="21"/>
      <c r="SD58" s="21"/>
      <c r="SE58" s="21"/>
      <c r="SF58" s="21"/>
      <c r="SG58" s="21"/>
      <c r="SH58" s="21"/>
      <c r="SI58" s="21"/>
      <c r="SJ58" s="21"/>
      <c r="SK58" s="21"/>
      <c r="SL58" s="21"/>
      <c r="SM58" s="21"/>
      <c r="SN58" s="21"/>
      <c r="SO58" s="21"/>
      <c r="SP58" s="21"/>
      <c r="SQ58" s="21"/>
      <c r="SR58" s="21"/>
      <c r="SS58" s="21"/>
      <c r="ST58" s="21"/>
      <c r="SU58" s="21"/>
      <c r="SV58" s="21"/>
      <c r="SW58" s="21"/>
      <c r="SX58" s="21"/>
      <c r="SY58" s="21"/>
      <c r="SZ58" s="21"/>
      <c r="TA58" s="21"/>
      <c r="TB58" s="21"/>
      <c r="TC58" s="21"/>
      <c r="TD58" s="21"/>
      <c r="TE58" s="21"/>
      <c r="TF58" s="21"/>
      <c r="TG58" s="21"/>
      <c r="TH58" s="21"/>
      <c r="TI58" s="21"/>
      <c r="TJ58" s="21"/>
      <c r="TK58" s="21"/>
      <c r="TL58" s="21"/>
      <c r="TM58" s="21"/>
      <c r="TN58" s="21"/>
      <c r="TO58" s="21"/>
      <c r="TP58" s="21"/>
      <c r="TQ58" s="21"/>
      <c r="TR58" s="21"/>
      <c r="TS58" s="21"/>
      <c r="TT58" s="21"/>
      <c r="TU58" s="21"/>
      <c r="TV58" s="21"/>
      <c r="TW58" s="21"/>
      <c r="TX58" s="21"/>
      <c r="TY58" s="21"/>
      <c r="TZ58" s="21"/>
      <c r="UA58" s="21"/>
      <c r="UB58" s="21"/>
      <c r="UC58" s="21"/>
      <c r="UD58" s="21"/>
      <c r="UE58" s="21"/>
      <c r="UF58" s="21"/>
      <c r="UG58" s="21"/>
      <c r="UH58" s="21"/>
      <c r="UI58" s="21"/>
      <c r="UJ58" s="21"/>
      <c r="UK58" s="21"/>
      <c r="UL58" s="21"/>
      <c r="UM58" s="21"/>
      <c r="UN58" s="21"/>
      <c r="UO58" s="21"/>
      <c r="UP58" s="21"/>
      <c r="UQ58" s="21"/>
      <c r="UR58" s="21"/>
      <c r="US58" s="21"/>
      <c r="UT58" s="21"/>
      <c r="UU58" s="21"/>
      <c r="UV58" s="21"/>
      <c r="UW58" s="21"/>
      <c r="UX58" s="21"/>
      <c r="UY58" s="21"/>
      <c r="UZ58" s="21"/>
      <c r="VA58" s="21"/>
      <c r="VB58" s="21"/>
      <c r="VC58" s="21"/>
      <c r="VD58" s="21"/>
      <c r="VE58" s="21"/>
      <c r="VF58" s="21"/>
      <c r="VG58" s="21"/>
      <c r="VH58" s="21"/>
      <c r="VI58" s="21"/>
      <c r="VJ58" s="21"/>
      <c r="VK58" s="21"/>
      <c r="VL58" s="21"/>
      <c r="VM58" s="21"/>
      <c r="VN58" s="21"/>
      <c r="VO58" s="21"/>
      <c r="VP58" s="21"/>
      <c r="VQ58" s="21"/>
      <c r="VR58" s="21"/>
      <c r="VS58" s="21"/>
      <c r="VT58" s="21"/>
      <c r="VU58" s="21"/>
      <c r="VV58" s="21"/>
      <c r="VW58" s="21"/>
      <c r="VX58" s="21"/>
      <c r="VY58" s="21"/>
      <c r="VZ58" s="21"/>
      <c r="WA58" s="21"/>
      <c r="WB58" s="21"/>
      <c r="WC58" s="21"/>
      <c r="WD58" s="21"/>
      <c r="WE58" s="21"/>
      <c r="WF58" s="21"/>
      <c r="WG58" s="21"/>
      <c r="WH58" s="21"/>
      <c r="WI58" s="21"/>
      <c r="WJ58" s="21"/>
      <c r="WK58" s="21"/>
      <c r="WL58" s="21"/>
      <c r="WM58" s="21"/>
      <c r="WN58" s="21"/>
      <c r="WO58" s="21"/>
      <c r="WP58" s="21"/>
      <c r="WQ58" s="21"/>
      <c r="WR58" s="21"/>
      <c r="WS58" s="21"/>
      <c r="WT58" s="21"/>
      <c r="WU58" s="21"/>
      <c r="WV58" s="21"/>
      <c r="WW58" s="21"/>
      <c r="WX58" s="21"/>
      <c r="WY58" s="21"/>
      <c r="WZ58" s="21"/>
      <c r="XA58" s="21"/>
      <c r="XB58" s="21"/>
      <c r="XC58" s="21"/>
      <c r="XD58" s="21"/>
      <c r="XE58" s="21"/>
      <c r="XF58" s="21"/>
      <c r="XG58" s="21"/>
      <c r="XH58" s="21"/>
      <c r="XI58" s="21"/>
      <c r="XJ58" s="21"/>
      <c r="XK58" s="21"/>
      <c r="XL58" s="21"/>
      <c r="XM58" s="21"/>
      <c r="XN58" s="21"/>
      <c r="XO58" s="21"/>
      <c r="XP58" s="21"/>
      <c r="XQ58" s="21"/>
      <c r="XR58" s="21"/>
      <c r="XS58" s="21"/>
      <c r="XT58" s="21"/>
      <c r="XU58" s="21"/>
      <c r="XV58" s="21"/>
      <c r="XW58" s="21"/>
      <c r="XX58" s="21"/>
      <c r="XY58" s="21"/>
      <c r="XZ58" s="21"/>
      <c r="YA58" s="21"/>
      <c r="YB58" s="21"/>
      <c r="YC58" s="21"/>
      <c r="YD58" s="21"/>
      <c r="YE58" s="21"/>
      <c r="YF58" s="21"/>
      <c r="YG58" s="21"/>
      <c r="YH58" s="21"/>
      <c r="YI58" s="21"/>
      <c r="YJ58" s="21"/>
      <c r="YK58" s="21"/>
      <c r="YL58" s="21"/>
      <c r="YM58" s="21"/>
      <c r="YN58" s="21"/>
      <c r="YO58" s="21"/>
      <c r="YP58" s="21"/>
      <c r="YQ58" s="21"/>
      <c r="YR58" s="21"/>
      <c r="YS58" s="21"/>
      <c r="YT58" s="21"/>
      <c r="YU58" s="21"/>
      <c r="YV58" s="21"/>
      <c r="YW58" s="21"/>
      <c r="YX58" s="21"/>
      <c r="YY58" s="21"/>
      <c r="YZ58" s="21"/>
      <c r="ZA58" s="21"/>
      <c r="ZB58" s="21"/>
      <c r="ZC58" s="21"/>
      <c r="ZD58" s="21"/>
      <c r="ZE58" s="21"/>
      <c r="ZF58" s="21"/>
      <c r="ZG58" s="21"/>
      <c r="ZH58" s="21"/>
      <c r="ZI58" s="21"/>
      <c r="ZJ58" s="21"/>
      <c r="ZK58" s="21"/>
      <c r="ZL58" s="21"/>
      <c r="ZM58" s="21"/>
      <c r="ZN58" s="21"/>
      <c r="ZO58" s="21"/>
      <c r="ZP58" s="21"/>
      <c r="ZQ58" s="21"/>
      <c r="ZR58" s="21"/>
      <c r="ZS58" s="21"/>
      <c r="ZT58" s="21"/>
      <c r="ZU58" s="21"/>
      <c r="ZV58" s="21"/>
      <c r="ZW58" s="21"/>
      <c r="ZX58" s="21"/>
      <c r="ZY58" s="21"/>
      <c r="ZZ58" s="21"/>
      <c r="AAA58" s="21"/>
      <c r="AAB58" s="21"/>
      <c r="AAC58" s="21"/>
      <c r="AAD58" s="21"/>
      <c r="AAE58" s="21"/>
      <c r="AAF58" s="21"/>
      <c r="AAG58" s="21"/>
      <c r="AAH58" s="21"/>
      <c r="AAI58" s="21"/>
      <c r="AAJ58" s="21"/>
      <c r="AAK58" s="21"/>
      <c r="AAL58" s="21"/>
      <c r="AAM58" s="21"/>
      <c r="AAN58" s="21"/>
      <c r="AAO58" s="21"/>
      <c r="AAP58" s="21"/>
      <c r="AAQ58" s="21"/>
      <c r="AAR58" s="21"/>
      <c r="AAS58" s="21"/>
      <c r="AAT58" s="21"/>
      <c r="AAU58" s="21"/>
      <c r="AAV58" s="21"/>
      <c r="AAW58" s="21"/>
      <c r="AAX58" s="21"/>
      <c r="AAY58" s="21"/>
      <c r="AAZ58" s="21"/>
      <c r="ABA58" s="21"/>
      <c r="ABB58" s="21"/>
      <c r="ABC58" s="21"/>
      <c r="ABD58" s="21"/>
      <c r="ABE58" s="21"/>
      <c r="ABF58" s="21"/>
      <c r="ABG58" s="21"/>
      <c r="ABH58" s="21"/>
      <c r="ABI58" s="21"/>
      <c r="ABJ58" s="21"/>
      <c r="ABK58" s="21"/>
      <c r="ABL58" s="21"/>
      <c r="ABM58" s="21"/>
      <c r="ABN58" s="21"/>
      <c r="ABO58" s="21"/>
      <c r="ABP58" s="21"/>
      <c r="ABQ58" s="21"/>
      <c r="ABR58" s="21"/>
      <c r="ABS58" s="21"/>
      <c r="ABT58" s="21"/>
      <c r="ABU58" s="21"/>
      <c r="ABV58" s="21"/>
      <c r="ABW58" s="21"/>
      <c r="ABX58" s="21"/>
      <c r="ABY58" s="21"/>
      <c r="ABZ58" s="21"/>
      <c r="ACA58" s="21"/>
      <c r="ACB58" s="21"/>
      <c r="ACC58" s="21"/>
      <c r="ACD58" s="21"/>
      <c r="ACE58" s="21"/>
      <c r="ACF58" s="21"/>
      <c r="ACG58" s="21"/>
      <c r="ACH58" s="21"/>
      <c r="ACI58" s="21"/>
      <c r="ACJ58" s="21"/>
      <c r="ACK58" s="21"/>
      <c r="ACL58" s="21"/>
      <c r="ACM58" s="21"/>
      <c r="ACN58" s="21"/>
      <c r="ACO58" s="21"/>
      <c r="ACP58" s="21"/>
      <c r="ACQ58" s="21"/>
      <c r="ACR58" s="21"/>
      <c r="ACS58" s="21"/>
      <c r="ACT58" s="21"/>
      <c r="ACU58" s="21"/>
      <c r="ACV58" s="21"/>
      <c r="ACW58" s="21"/>
      <c r="ACX58" s="21"/>
      <c r="ACY58" s="21"/>
      <c r="ACZ58" s="21"/>
      <c r="ADA58" s="21"/>
      <c r="ADB58" s="21"/>
      <c r="ADC58" s="21"/>
      <c r="ADD58" s="21"/>
      <c r="ADE58" s="21"/>
      <c r="ADF58" s="21"/>
      <c r="ADG58" s="21"/>
      <c r="ADH58" s="21"/>
      <c r="ADI58" s="21"/>
      <c r="ADJ58" s="21"/>
      <c r="ADK58" s="21"/>
      <c r="ADL58" s="21"/>
      <c r="ADM58" s="21"/>
      <c r="ADN58" s="21"/>
      <c r="ADO58" s="21"/>
      <c r="ADP58" s="21"/>
      <c r="ADQ58" s="21"/>
      <c r="ADR58" s="21"/>
      <c r="ADS58" s="21"/>
      <c r="ADT58" s="21"/>
      <c r="ADU58" s="21"/>
      <c r="ADV58" s="21"/>
      <c r="ADW58" s="21"/>
      <c r="ADX58" s="21"/>
      <c r="ADY58" s="21"/>
      <c r="ADZ58" s="21"/>
      <c r="AEA58" s="21"/>
      <c r="AEB58" s="21"/>
      <c r="AEC58" s="21"/>
      <c r="AED58" s="21"/>
      <c r="AEE58" s="21"/>
      <c r="AEF58" s="21"/>
      <c r="AEG58" s="21"/>
      <c r="AEH58" s="21"/>
      <c r="AEI58" s="21"/>
      <c r="AEJ58" s="21"/>
      <c r="AEK58" s="21"/>
      <c r="AEL58" s="21"/>
      <c r="AEM58" s="21"/>
      <c r="AEN58" s="21"/>
      <c r="AEO58" s="21"/>
      <c r="AEP58" s="21"/>
      <c r="AEQ58" s="21"/>
      <c r="AER58" s="21"/>
      <c r="AES58" s="21"/>
      <c r="AET58" s="21"/>
      <c r="AEU58" s="21"/>
      <c r="AEV58" s="21"/>
      <c r="AEW58" s="21"/>
      <c r="AEX58" s="21"/>
      <c r="AEY58" s="21"/>
      <c r="AEZ58" s="21"/>
      <c r="AFA58" s="21"/>
      <c r="AFB58" s="21"/>
      <c r="AFC58" s="21"/>
      <c r="AFD58" s="21"/>
      <c r="AFE58" s="21"/>
      <c r="AFF58" s="21"/>
      <c r="AFG58" s="21"/>
      <c r="AFH58" s="21"/>
      <c r="AFI58" s="21"/>
      <c r="AFJ58" s="21"/>
      <c r="AFK58" s="21"/>
      <c r="AFL58" s="21"/>
      <c r="AFM58" s="21"/>
      <c r="AFN58" s="21"/>
      <c r="AFO58" s="21"/>
      <c r="AFP58" s="21"/>
      <c r="AFQ58" s="21"/>
      <c r="AFR58" s="21"/>
      <c r="AFS58" s="21"/>
      <c r="AFT58" s="21"/>
      <c r="AFU58" s="21"/>
      <c r="AFV58" s="21"/>
      <c r="AFW58" s="21"/>
      <c r="AFX58" s="21"/>
      <c r="AFY58" s="21"/>
      <c r="AFZ58" s="21"/>
      <c r="AGA58" s="21"/>
      <c r="AGB58" s="21"/>
      <c r="AGC58" s="21"/>
      <c r="AGD58" s="21"/>
      <c r="AGE58" s="21"/>
      <c r="AGF58" s="21"/>
      <c r="AGG58" s="21"/>
      <c r="AGH58" s="21"/>
      <c r="AGI58" s="21"/>
      <c r="AGJ58" s="21"/>
      <c r="AGK58" s="21"/>
      <c r="AGL58" s="21"/>
      <c r="AGM58" s="21"/>
      <c r="AGN58" s="21"/>
      <c r="AGO58" s="21"/>
      <c r="AGP58" s="21"/>
      <c r="AGQ58" s="21"/>
      <c r="AGR58" s="21"/>
      <c r="AGS58" s="21"/>
    </row>
    <row r="59" spans="1:877" ht="17">
      <c r="A59" s="36"/>
      <c r="B59" s="37" t="s">
        <v>33</v>
      </c>
      <c r="C59" s="38"/>
      <c r="D59" s="39"/>
      <c r="E59" s="39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>
        <f>(BC44+BC52+BC60)*12</f>
        <v>22440000</v>
      </c>
      <c r="BD59" s="32">
        <f>BD60*12</f>
        <v>19440000</v>
      </c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>
        <f>BO60*12</f>
        <v>9000000</v>
      </c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 s="40"/>
      <c r="DT59" s="40"/>
      <c r="DU59" s="40"/>
      <c r="DV59" s="40"/>
      <c r="DW59" s="40"/>
      <c r="DX59" s="40"/>
      <c r="DY59" s="40"/>
      <c r="DZ59" s="40"/>
      <c r="EA59" s="40"/>
      <c r="EB59" s="40"/>
      <c r="EC59" s="40"/>
      <c r="ED59" s="40"/>
      <c r="EE59" s="40"/>
      <c r="EF59" s="40"/>
      <c r="EG59" s="40"/>
      <c r="EH59" s="40"/>
      <c r="EI59" s="40"/>
      <c r="EJ59" s="40"/>
      <c r="EK59" s="40"/>
      <c r="EL59" s="40"/>
      <c r="EM59" s="40"/>
      <c r="EN59" s="40"/>
      <c r="EO59" s="40"/>
      <c r="EP59" s="40"/>
      <c r="EQ59" s="40"/>
      <c r="ER59" s="40"/>
      <c r="ES59" s="40"/>
      <c r="ET59" s="40"/>
      <c r="EU59" s="40"/>
      <c r="EV59" s="40"/>
      <c r="EW59" s="40"/>
      <c r="EX59" s="40"/>
      <c r="EY59" s="40"/>
      <c r="EZ59" s="40"/>
      <c r="FA59" s="40"/>
      <c r="FB59" s="40"/>
      <c r="FC59" s="40"/>
      <c r="FD59" s="40"/>
      <c r="FE59" s="40"/>
      <c r="FF59" s="40"/>
      <c r="FG59" s="40"/>
      <c r="FH59" s="40"/>
      <c r="FI59" s="40"/>
      <c r="FJ59" s="40"/>
      <c r="FK59" s="40"/>
      <c r="FL59" s="40"/>
      <c r="FM59" s="40"/>
      <c r="FN59" s="40"/>
      <c r="FO59" s="40"/>
      <c r="FP59" s="40"/>
      <c r="FQ59" s="40"/>
      <c r="FR59" s="40"/>
      <c r="FS59" s="40"/>
      <c r="FT59" s="40"/>
      <c r="FU59" s="40"/>
      <c r="FV59" s="40"/>
      <c r="FW59" s="40"/>
      <c r="FX59" s="40"/>
      <c r="FY59" s="40"/>
      <c r="FZ59" s="40"/>
      <c r="GA59" s="40"/>
      <c r="GB59" s="40"/>
      <c r="GC59" s="40"/>
      <c r="GD59" s="40"/>
      <c r="GE59" s="40"/>
      <c r="GF59" s="40"/>
      <c r="GG59" s="40"/>
      <c r="GH59" s="40"/>
      <c r="GI59" s="40"/>
      <c r="GJ59" s="40"/>
      <c r="GK59" s="40"/>
      <c r="GL59" s="40"/>
      <c r="GM59" s="40"/>
      <c r="GN59" s="40"/>
      <c r="GO59" s="40"/>
      <c r="GP59" s="40"/>
      <c r="GQ59" s="40"/>
      <c r="GR59" s="40"/>
      <c r="GS59" s="40"/>
      <c r="GT59" s="40"/>
      <c r="GU59" s="40"/>
      <c r="GV59" s="40"/>
      <c r="GW59" s="40"/>
      <c r="GX59" s="40"/>
      <c r="GY59" s="40"/>
      <c r="GZ59" s="40"/>
      <c r="HA59" s="40"/>
      <c r="HB59" s="40"/>
      <c r="HC59" s="40"/>
      <c r="HD59" s="40"/>
      <c r="HE59" s="40"/>
      <c r="HF59" s="40"/>
      <c r="HG59" s="40"/>
      <c r="HH59" s="40"/>
      <c r="HI59" s="40"/>
      <c r="HJ59" s="40"/>
      <c r="HK59" s="40"/>
      <c r="HL59" s="40"/>
      <c r="HM59" s="40"/>
      <c r="HN59" s="40"/>
      <c r="HO59" s="40"/>
      <c r="HP59" s="40"/>
      <c r="HQ59" s="40"/>
      <c r="HR59" s="40"/>
      <c r="HS59" s="40"/>
      <c r="HT59" s="40"/>
      <c r="HU59" s="40"/>
      <c r="HV59" s="40"/>
      <c r="HW59" s="40"/>
      <c r="HX59" s="40"/>
      <c r="HY59" s="40"/>
      <c r="HZ59" s="40"/>
      <c r="IA59" s="40"/>
      <c r="IB59" s="40"/>
      <c r="IC59" s="40"/>
      <c r="ID59" s="40"/>
      <c r="IE59" s="40"/>
      <c r="IF59" s="40"/>
      <c r="IG59" s="40"/>
      <c r="IH59" s="40"/>
      <c r="II59" s="40"/>
      <c r="IJ59" s="40"/>
      <c r="IK59" s="40"/>
      <c r="IL59" s="40"/>
      <c r="IM59" s="40"/>
      <c r="IN59" s="40"/>
      <c r="IO59" s="40"/>
      <c r="IP59" s="40"/>
      <c r="IQ59" s="40"/>
      <c r="IR59" s="40"/>
      <c r="IS59" s="40"/>
      <c r="IT59" s="40"/>
      <c r="IU59" s="40"/>
      <c r="IV59" s="40"/>
      <c r="IW59" s="40"/>
      <c r="IX59" s="40"/>
      <c r="IY59" s="40"/>
      <c r="IZ59" s="40"/>
      <c r="JA59" s="40"/>
      <c r="JB59" s="40"/>
      <c r="JC59" s="40"/>
      <c r="JD59" s="40"/>
      <c r="JE59" s="40"/>
      <c r="JF59" s="40"/>
      <c r="JG59" s="40"/>
      <c r="JH59" s="40"/>
      <c r="JI59" s="40"/>
      <c r="JJ59" s="40"/>
      <c r="JK59" s="40"/>
      <c r="JL59" s="40"/>
      <c r="JM59" s="40"/>
      <c r="JN59" s="40"/>
      <c r="JO59" s="40"/>
      <c r="JP59" s="40"/>
      <c r="JQ59" s="40"/>
      <c r="JR59" s="40"/>
      <c r="JS59" s="40"/>
      <c r="JT59" s="40"/>
      <c r="JU59" s="40"/>
      <c r="JV59" s="40"/>
      <c r="JW59" s="40"/>
      <c r="JX59" s="40"/>
      <c r="JY59" s="40"/>
      <c r="JZ59" s="40"/>
      <c r="KA59" s="40"/>
      <c r="KB59" s="40"/>
      <c r="KC59" s="40"/>
      <c r="KD59" s="40"/>
      <c r="KE59" s="40"/>
      <c r="KF59" s="40"/>
      <c r="KG59" s="40"/>
      <c r="KH59" s="40"/>
      <c r="KI59" s="40"/>
      <c r="KJ59" s="40"/>
      <c r="KK59" s="40"/>
      <c r="KL59" s="40"/>
      <c r="KM59" s="40"/>
      <c r="KN59" s="40"/>
      <c r="KO59" s="40"/>
      <c r="KP59" s="40"/>
      <c r="KQ59" s="40"/>
      <c r="KR59" s="40"/>
      <c r="KS59" s="40"/>
      <c r="KT59" s="40"/>
      <c r="KU59" s="40"/>
      <c r="KV59" s="40"/>
      <c r="KW59" s="40"/>
      <c r="KX59" s="40"/>
      <c r="KY59" s="40"/>
      <c r="KZ59" s="40"/>
      <c r="LA59" s="40"/>
      <c r="LB59" s="40"/>
      <c r="LC59" s="40"/>
      <c r="LD59" s="40"/>
      <c r="LE59" s="40"/>
      <c r="LF59" s="40"/>
      <c r="LG59" s="40"/>
      <c r="LH59" s="40"/>
      <c r="LI59" s="40"/>
      <c r="LJ59" s="40"/>
      <c r="LK59" s="40"/>
      <c r="LL59" s="40"/>
      <c r="LM59" s="40"/>
      <c r="LN59" s="40"/>
      <c r="LO59" s="40"/>
      <c r="LP59" s="40"/>
      <c r="LQ59" s="40"/>
      <c r="LR59" s="40"/>
      <c r="LS59" s="40"/>
      <c r="LT59" s="40"/>
      <c r="LU59" s="40"/>
      <c r="LV59" s="40"/>
      <c r="LW59" s="40"/>
      <c r="LX59" s="40"/>
      <c r="LY59" s="40"/>
      <c r="LZ59" s="40"/>
      <c r="MA59" s="40"/>
      <c r="MB59" s="40"/>
      <c r="MC59" s="40"/>
      <c r="MD59" s="40"/>
      <c r="ME59" s="40"/>
      <c r="MF59" s="40"/>
      <c r="MG59" s="40"/>
      <c r="MH59" s="40"/>
      <c r="MI59" s="40"/>
      <c r="MJ59" s="40"/>
      <c r="MK59" s="40"/>
      <c r="ML59" s="40"/>
      <c r="MM59" s="40"/>
      <c r="MN59" s="40"/>
      <c r="MO59" s="40"/>
      <c r="MP59" s="40"/>
      <c r="MQ59" s="40"/>
      <c r="MR59" s="40"/>
      <c r="MS59" s="40"/>
      <c r="MT59" s="40"/>
      <c r="MU59" s="40"/>
      <c r="MV59" s="40"/>
      <c r="MW59" s="40"/>
      <c r="MX59" s="40"/>
      <c r="MY59" s="40"/>
      <c r="MZ59" s="40"/>
      <c r="NA59" s="40"/>
      <c r="NB59" s="40"/>
      <c r="NC59" s="40"/>
      <c r="ND59" s="40"/>
      <c r="NE59" s="40"/>
      <c r="NF59" s="40"/>
      <c r="NG59" s="40"/>
      <c r="NH59" s="40"/>
      <c r="NI59" s="40"/>
      <c r="NJ59" s="40"/>
      <c r="NK59" s="40"/>
      <c r="NL59" s="40"/>
      <c r="NM59" s="40"/>
      <c r="NN59" s="40"/>
      <c r="NO59" s="40"/>
      <c r="NP59" s="40"/>
      <c r="NQ59" s="40"/>
      <c r="NR59" s="40"/>
      <c r="NS59" s="40"/>
      <c r="NT59" s="40"/>
      <c r="NU59" s="40"/>
      <c r="NV59" s="40"/>
      <c r="NW59" s="40"/>
      <c r="NX59" s="40"/>
      <c r="NY59" s="40"/>
      <c r="NZ59" s="40"/>
      <c r="OA59" s="40"/>
      <c r="OB59" s="40"/>
      <c r="OC59" s="40"/>
      <c r="OD59" s="40"/>
      <c r="OE59" s="40"/>
      <c r="OF59" s="40"/>
      <c r="OG59" s="40"/>
      <c r="OH59" s="40"/>
      <c r="OI59" s="40"/>
      <c r="OJ59" s="40"/>
      <c r="OK59" s="40"/>
      <c r="OL59" s="40"/>
      <c r="OM59" s="40"/>
      <c r="ON59" s="40"/>
      <c r="OO59" s="40"/>
      <c r="OP59" s="40"/>
      <c r="OQ59" s="40"/>
      <c r="OR59" s="40"/>
      <c r="OS59" s="40"/>
      <c r="OT59" s="40"/>
      <c r="OU59" s="40"/>
      <c r="OV59" s="40"/>
      <c r="OW59" s="40"/>
      <c r="OX59" s="40"/>
      <c r="OY59" s="40"/>
      <c r="OZ59" s="40"/>
      <c r="PA59" s="40"/>
      <c r="PB59" s="40"/>
      <c r="PC59" s="40"/>
      <c r="PD59" s="40"/>
      <c r="PE59" s="40"/>
      <c r="PF59" s="40"/>
      <c r="PG59" s="40"/>
      <c r="PH59" s="40"/>
      <c r="PI59" s="40"/>
      <c r="PJ59" s="40"/>
      <c r="PK59" s="40"/>
      <c r="PL59" s="40"/>
      <c r="PM59" s="40"/>
      <c r="PN59" s="40"/>
      <c r="PO59" s="40"/>
      <c r="PP59" s="40"/>
      <c r="PQ59" s="40"/>
      <c r="PR59" s="40"/>
      <c r="PS59" s="40"/>
      <c r="PT59" s="40"/>
      <c r="PU59" s="40"/>
      <c r="PV59" s="40"/>
      <c r="PW59" s="40"/>
      <c r="PX59" s="40"/>
      <c r="PY59" s="40"/>
      <c r="PZ59" s="40"/>
      <c r="QA59" s="40"/>
      <c r="QB59" s="40"/>
      <c r="QC59" s="40"/>
      <c r="QD59" s="40"/>
      <c r="QE59" s="40"/>
      <c r="QF59" s="40"/>
      <c r="QG59" s="40"/>
      <c r="QH59" s="40"/>
      <c r="QI59" s="40"/>
      <c r="QJ59" s="40"/>
      <c r="QK59" s="40"/>
      <c r="QL59" s="40"/>
      <c r="QM59" s="40"/>
      <c r="QN59" s="40"/>
      <c r="QO59" s="40"/>
      <c r="QP59" s="40"/>
      <c r="QQ59" s="40"/>
      <c r="QR59" s="40"/>
      <c r="QS59" s="40"/>
      <c r="QT59" s="40"/>
      <c r="QU59" s="40"/>
      <c r="QV59" s="40"/>
      <c r="QW59" s="40"/>
      <c r="QX59" s="40"/>
      <c r="QY59" s="40"/>
      <c r="QZ59" s="40"/>
      <c r="RA59" s="40"/>
      <c r="RB59" s="40"/>
      <c r="RC59" s="40"/>
      <c r="RD59" s="40"/>
      <c r="RE59" s="40"/>
      <c r="RF59" s="40"/>
      <c r="RG59" s="40"/>
      <c r="RH59" s="40"/>
      <c r="RI59" s="40"/>
      <c r="RJ59" s="40"/>
      <c r="RK59" s="40"/>
      <c r="RL59" s="40"/>
      <c r="RM59" s="40"/>
      <c r="RN59" s="40"/>
      <c r="RO59" s="40"/>
      <c r="RP59" s="40"/>
      <c r="RQ59" s="40"/>
      <c r="RR59" s="40"/>
      <c r="RS59" s="40"/>
      <c r="RT59" s="40"/>
      <c r="RU59" s="40"/>
      <c r="RV59" s="40"/>
      <c r="RW59" s="40"/>
      <c r="RX59" s="40"/>
      <c r="RY59" s="40"/>
      <c r="RZ59" s="40"/>
      <c r="SA59" s="40"/>
      <c r="SB59" s="40"/>
      <c r="SC59" s="40"/>
      <c r="SD59" s="40"/>
      <c r="SE59" s="40"/>
      <c r="SF59" s="40"/>
      <c r="SG59" s="40"/>
      <c r="SH59" s="40"/>
      <c r="SI59" s="40"/>
      <c r="SJ59" s="40"/>
      <c r="SK59" s="40"/>
      <c r="SL59" s="40"/>
      <c r="SM59" s="40"/>
      <c r="SN59" s="40"/>
      <c r="SO59" s="40"/>
      <c r="SP59" s="40"/>
      <c r="SQ59" s="40"/>
      <c r="SR59" s="40"/>
      <c r="SS59" s="40"/>
      <c r="ST59" s="40"/>
      <c r="SU59" s="40"/>
      <c r="SV59" s="40"/>
      <c r="SW59" s="40"/>
      <c r="SX59" s="40"/>
      <c r="SY59" s="40"/>
      <c r="SZ59" s="40"/>
      <c r="TA59" s="40"/>
      <c r="TB59" s="40"/>
      <c r="TC59" s="40"/>
      <c r="TD59" s="40"/>
      <c r="TE59" s="40"/>
      <c r="TF59" s="40"/>
      <c r="TG59" s="40"/>
      <c r="TH59" s="40"/>
      <c r="TI59" s="40"/>
      <c r="TJ59" s="40"/>
      <c r="TK59" s="40"/>
      <c r="TL59" s="40"/>
      <c r="TM59" s="40"/>
      <c r="TN59" s="40"/>
      <c r="TO59" s="40"/>
      <c r="TP59" s="40"/>
      <c r="TQ59" s="40"/>
      <c r="TR59" s="40"/>
      <c r="TS59" s="40"/>
      <c r="TT59" s="40"/>
      <c r="TU59" s="40"/>
      <c r="TV59" s="40"/>
      <c r="TW59" s="40"/>
      <c r="TX59" s="40"/>
      <c r="TY59" s="40"/>
      <c r="TZ59" s="40"/>
      <c r="UA59" s="40"/>
      <c r="UB59" s="40"/>
      <c r="UC59" s="40"/>
      <c r="UD59" s="40"/>
      <c r="UE59" s="40"/>
      <c r="UF59" s="40"/>
      <c r="UG59" s="40"/>
      <c r="UH59" s="40"/>
      <c r="UI59" s="40"/>
      <c r="UJ59" s="40"/>
      <c r="UK59" s="40"/>
      <c r="UL59" s="40"/>
      <c r="UM59" s="40"/>
      <c r="UN59" s="40"/>
      <c r="UO59" s="40"/>
      <c r="UP59" s="40"/>
      <c r="UQ59" s="40"/>
      <c r="UR59" s="40"/>
      <c r="US59" s="40"/>
      <c r="UT59" s="40"/>
      <c r="UU59" s="40"/>
      <c r="UV59" s="40"/>
      <c r="UW59" s="40"/>
      <c r="UX59" s="40"/>
      <c r="UY59" s="40"/>
      <c r="UZ59" s="40"/>
      <c r="VA59" s="40"/>
      <c r="VB59" s="40"/>
      <c r="VC59" s="40"/>
      <c r="VD59" s="40"/>
      <c r="VE59" s="40"/>
      <c r="VF59" s="40"/>
      <c r="VG59" s="40"/>
      <c r="VH59" s="40"/>
      <c r="VI59" s="40"/>
      <c r="VJ59" s="40"/>
      <c r="VK59" s="40"/>
      <c r="VL59" s="40"/>
      <c r="VM59" s="40"/>
      <c r="VN59" s="40"/>
      <c r="VO59" s="40"/>
      <c r="VP59" s="40"/>
      <c r="VQ59" s="40"/>
      <c r="VR59" s="40"/>
      <c r="VS59" s="40"/>
      <c r="VT59" s="40"/>
      <c r="VU59" s="40"/>
      <c r="VV59" s="40"/>
      <c r="VW59" s="40"/>
      <c r="VX59" s="40"/>
      <c r="VY59" s="40"/>
      <c r="VZ59" s="40"/>
      <c r="WA59" s="40"/>
      <c r="WB59" s="40"/>
      <c r="WC59" s="40"/>
      <c r="WD59" s="40"/>
      <c r="WE59" s="40"/>
      <c r="WF59" s="40"/>
      <c r="WG59" s="40"/>
      <c r="WH59" s="40"/>
      <c r="WI59" s="40"/>
      <c r="WJ59" s="40"/>
      <c r="WK59" s="40"/>
      <c r="WL59" s="40"/>
      <c r="WM59" s="40"/>
      <c r="WN59" s="40"/>
      <c r="WO59" s="40"/>
      <c r="WP59" s="40"/>
      <c r="WQ59" s="40"/>
      <c r="WR59" s="40"/>
      <c r="WS59" s="40"/>
      <c r="WT59" s="40"/>
      <c r="WU59" s="40"/>
      <c r="WV59" s="40"/>
      <c r="WW59" s="40"/>
      <c r="WX59" s="40"/>
      <c r="WY59" s="40"/>
      <c r="WZ59" s="40"/>
      <c r="XA59" s="40"/>
      <c r="XB59" s="40"/>
      <c r="XC59" s="40"/>
      <c r="XD59" s="40"/>
      <c r="XE59" s="40"/>
      <c r="XF59" s="40"/>
      <c r="XG59" s="40"/>
      <c r="XH59" s="40"/>
      <c r="XI59" s="40"/>
      <c r="XJ59" s="40"/>
      <c r="XK59" s="40"/>
      <c r="XL59" s="40"/>
      <c r="XM59" s="40"/>
      <c r="XN59" s="40"/>
      <c r="XO59" s="40"/>
      <c r="XP59" s="40"/>
      <c r="XQ59" s="40"/>
      <c r="XR59" s="40"/>
      <c r="XS59" s="40"/>
      <c r="XT59" s="40"/>
      <c r="XU59" s="40"/>
      <c r="XV59" s="40"/>
      <c r="XW59" s="40"/>
      <c r="XX59" s="40"/>
      <c r="XY59" s="40"/>
      <c r="XZ59" s="40"/>
      <c r="YA59" s="40"/>
      <c r="YB59" s="40"/>
      <c r="YC59" s="40"/>
      <c r="YD59" s="40"/>
      <c r="YE59" s="40"/>
      <c r="YF59" s="40"/>
      <c r="YG59" s="40"/>
      <c r="YH59" s="40"/>
      <c r="YI59" s="40"/>
      <c r="YJ59" s="40"/>
      <c r="YK59" s="40"/>
      <c r="YL59" s="40"/>
      <c r="YM59" s="40"/>
      <c r="YN59" s="40"/>
      <c r="YO59" s="40"/>
      <c r="YP59" s="40"/>
      <c r="YQ59" s="40"/>
      <c r="YR59" s="40"/>
      <c r="YS59" s="40"/>
      <c r="YT59" s="40"/>
      <c r="YU59" s="40"/>
      <c r="YV59" s="40"/>
      <c r="YW59" s="40"/>
      <c r="YX59" s="40"/>
      <c r="YY59" s="40"/>
      <c r="YZ59" s="40"/>
      <c r="ZA59" s="40"/>
      <c r="ZB59" s="40"/>
      <c r="ZC59" s="40"/>
      <c r="ZD59" s="40"/>
      <c r="ZE59" s="40"/>
      <c r="ZF59" s="40"/>
      <c r="ZG59" s="40"/>
      <c r="ZH59" s="40"/>
      <c r="ZI59" s="40"/>
      <c r="ZJ59" s="40"/>
      <c r="ZK59" s="40"/>
      <c r="ZL59" s="40"/>
      <c r="ZM59" s="40"/>
      <c r="ZN59" s="40"/>
      <c r="ZO59" s="40"/>
      <c r="ZP59" s="40"/>
      <c r="ZQ59" s="40"/>
      <c r="ZR59" s="40"/>
      <c r="ZS59" s="40"/>
      <c r="ZT59" s="40"/>
      <c r="ZU59" s="40"/>
      <c r="ZV59" s="40"/>
      <c r="ZW59" s="40"/>
      <c r="ZX59" s="40"/>
      <c r="ZY59" s="40"/>
      <c r="ZZ59" s="40"/>
      <c r="AAA59" s="40"/>
      <c r="AAB59" s="40"/>
      <c r="AAC59" s="40"/>
      <c r="AAD59" s="40"/>
      <c r="AAE59" s="40"/>
      <c r="AAF59" s="40"/>
      <c r="AAG59" s="40"/>
      <c r="AAH59" s="40"/>
      <c r="AAI59" s="40"/>
      <c r="AAJ59" s="40"/>
      <c r="AAK59" s="40"/>
      <c r="AAL59" s="40"/>
      <c r="AAM59" s="40"/>
      <c r="AAN59" s="40"/>
      <c r="AAO59" s="40"/>
      <c r="AAP59" s="40"/>
      <c r="AAQ59" s="40"/>
      <c r="AAR59" s="40"/>
      <c r="AAS59" s="40"/>
      <c r="AAT59" s="40"/>
      <c r="AAU59" s="40"/>
      <c r="AAV59" s="40"/>
      <c r="AAW59" s="40"/>
      <c r="AAX59" s="40"/>
      <c r="AAY59" s="40"/>
      <c r="AAZ59" s="40"/>
      <c r="ABA59" s="40"/>
      <c r="ABB59" s="40"/>
      <c r="ABC59" s="40"/>
      <c r="ABD59" s="40"/>
      <c r="ABE59" s="40"/>
      <c r="ABF59" s="40"/>
      <c r="ABG59" s="40"/>
      <c r="ABH59" s="40"/>
      <c r="ABI59" s="40"/>
      <c r="ABJ59" s="40"/>
      <c r="ABK59" s="40"/>
      <c r="ABL59" s="40"/>
      <c r="ABM59" s="40"/>
      <c r="ABN59" s="40"/>
      <c r="ABO59" s="40"/>
      <c r="ABP59" s="40"/>
      <c r="ABQ59" s="40"/>
      <c r="ABR59" s="40"/>
      <c r="ABS59" s="40"/>
      <c r="ABT59" s="40"/>
      <c r="ABU59" s="40"/>
      <c r="ABV59" s="40"/>
      <c r="ABW59" s="40"/>
      <c r="ABX59" s="40"/>
      <c r="ABY59" s="40"/>
      <c r="ABZ59" s="40"/>
      <c r="ACA59" s="40"/>
      <c r="ACB59" s="40"/>
      <c r="ACC59" s="40"/>
      <c r="ACD59" s="40"/>
      <c r="ACE59" s="40"/>
      <c r="ACF59" s="40"/>
      <c r="ACG59" s="40"/>
      <c r="ACH59" s="40"/>
      <c r="ACI59" s="40"/>
      <c r="ACJ59" s="40"/>
      <c r="ACK59" s="40"/>
      <c r="ACL59" s="40"/>
      <c r="ACM59" s="40"/>
      <c r="ACN59" s="40"/>
      <c r="ACO59" s="40"/>
      <c r="ACP59" s="40"/>
      <c r="ACQ59" s="40"/>
      <c r="ACR59" s="40"/>
      <c r="ACS59" s="40"/>
      <c r="ACT59" s="40"/>
      <c r="ACU59" s="40"/>
      <c r="ACV59" s="40"/>
      <c r="ACW59" s="40"/>
      <c r="ACX59" s="40"/>
      <c r="ACY59" s="40"/>
      <c r="ACZ59" s="40"/>
      <c r="ADA59" s="40"/>
      <c r="ADB59" s="40"/>
      <c r="ADC59" s="40"/>
      <c r="ADD59" s="40"/>
      <c r="ADE59" s="40"/>
      <c r="ADF59" s="40"/>
      <c r="ADG59" s="40"/>
      <c r="ADH59" s="40"/>
      <c r="ADI59" s="40"/>
      <c r="ADJ59" s="40"/>
      <c r="ADK59" s="40"/>
      <c r="ADL59" s="40"/>
      <c r="ADM59" s="40"/>
      <c r="ADN59" s="40"/>
      <c r="ADO59" s="40"/>
      <c r="ADP59" s="40"/>
      <c r="ADQ59" s="40"/>
      <c r="ADR59" s="40"/>
      <c r="ADS59" s="40"/>
      <c r="ADT59" s="40"/>
      <c r="ADU59" s="40"/>
      <c r="ADV59" s="40"/>
      <c r="ADW59" s="40"/>
      <c r="ADX59" s="40"/>
      <c r="ADY59" s="40"/>
      <c r="ADZ59" s="40"/>
      <c r="AEA59" s="40"/>
      <c r="AEB59" s="40"/>
      <c r="AEC59" s="40"/>
      <c r="AED59" s="40"/>
      <c r="AEE59" s="40"/>
      <c r="AEF59" s="40"/>
      <c r="AEG59" s="40"/>
      <c r="AEH59" s="40"/>
      <c r="AEI59" s="40"/>
      <c r="AEJ59" s="40"/>
      <c r="AEK59" s="40"/>
      <c r="AEL59" s="40"/>
      <c r="AEM59" s="40"/>
      <c r="AEN59" s="40"/>
      <c r="AEO59" s="40"/>
      <c r="AEP59" s="40"/>
      <c r="AEQ59" s="40"/>
      <c r="AER59" s="40"/>
      <c r="AES59" s="40"/>
      <c r="AET59" s="40"/>
      <c r="AEU59" s="40"/>
      <c r="AEV59" s="40"/>
      <c r="AEW59" s="40"/>
      <c r="AEX59" s="40"/>
      <c r="AEY59" s="40"/>
      <c r="AEZ59" s="40"/>
      <c r="AFA59" s="40"/>
      <c r="AFB59" s="40"/>
      <c r="AFC59" s="40"/>
      <c r="AFD59" s="40"/>
      <c r="AFE59" s="40"/>
      <c r="AFF59" s="40"/>
      <c r="AFG59" s="40"/>
      <c r="AFH59" s="40"/>
      <c r="AFI59" s="40"/>
      <c r="AFJ59" s="40"/>
      <c r="AFK59" s="40"/>
      <c r="AFL59" s="40"/>
      <c r="AFM59" s="40"/>
      <c r="AFN59" s="40"/>
      <c r="AFO59" s="40"/>
      <c r="AFP59" s="40"/>
      <c r="AFQ59" s="40"/>
      <c r="AFR59" s="40"/>
      <c r="AFS59" s="40"/>
      <c r="AFT59" s="40"/>
      <c r="AFU59" s="40"/>
      <c r="AFV59" s="40"/>
      <c r="AFW59" s="40"/>
      <c r="AFX59" s="40"/>
      <c r="AFY59" s="40"/>
      <c r="AFZ59" s="40"/>
      <c r="AGA59" s="40"/>
      <c r="AGB59" s="40"/>
      <c r="AGC59" s="40"/>
      <c r="AGD59" s="40"/>
      <c r="AGE59" s="40"/>
      <c r="AGF59" s="40"/>
      <c r="AGG59" s="40"/>
      <c r="AGH59" s="40"/>
      <c r="AGI59" s="40"/>
      <c r="AGJ59" s="40"/>
      <c r="AGK59" s="40"/>
      <c r="AGL59" s="40"/>
      <c r="AGM59" s="40"/>
      <c r="AGN59" s="40"/>
      <c r="AGO59" s="40"/>
      <c r="AGP59" s="40"/>
      <c r="AGQ59" s="40"/>
      <c r="AGR59" s="40"/>
      <c r="AGS59" s="40"/>
    </row>
    <row r="60" spans="1:877" ht="13">
      <c r="A60" s="41"/>
      <c r="B60" s="42" t="s">
        <v>21</v>
      </c>
      <c r="C60" s="43" t="s">
        <v>22</v>
      </c>
      <c r="D60" s="40"/>
      <c r="E60" s="40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>
        <f>('Project Overview'!$C$12/12)*6</f>
        <v>1620000</v>
      </c>
      <c r="BD60" s="28">
        <f>('Project Overview'!$C$12/12)*6</f>
        <v>1620000</v>
      </c>
      <c r="BE60" s="28">
        <f>('Project Overview'!$C$12/12)*6</f>
        <v>1620000</v>
      </c>
      <c r="BF60" s="28">
        <f>('Project Overview'!$C$12/12)*6</f>
        <v>1620000</v>
      </c>
      <c r="BG60" s="28">
        <f>('Project Overview'!$C$12/12)*6</f>
        <v>1620000</v>
      </c>
      <c r="BH60" s="28">
        <f>('Project Overview'!$C$12/12)*6</f>
        <v>1620000</v>
      </c>
      <c r="BI60" s="28">
        <f>('Project Overview'!$C$12/12)*6</f>
        <v>1620000</v>
      </c>
      <c r="BJ60" s="28">
        <f>('Project Overview'!$C$12/12)*6</f>
        <v>1620000</v>
      </c>
      <c r="BK60" s="28">
        <f>('Project Overview'!$C$12/12)*6</f>
        <v>1620000</v>
      </c>
      <c r="BL60" s="28">
        <f>('Project Overview'!$C$12/12)*6</f>
        <v>1620000</v>
      </c>
      <c r="BM60" s="28">
        <f>('Project Overview'!$C$12/12)*6</f>
        <v>1620000</v>
      </c>
      <c r="BN60" s="28">
        <f>('Project Overview'!$C$12/12)*6</f>
        <v>1620000</v>
      </c>
      <c r="BO60" s="28">
        <f>('Project Overview'!$D$12/12)*6</f>
        <v>750000</v>
      </c>
      <c r="BP60" s="28">
        <f>('Project Overview'!$D$12/12)*6</f>
        <v>750000</v>
      </c>
      <c r="BQ60" s="28">
        <f>('Project Overview'!$D$12/12)*6</f>
        <v>750000</v>
      </c>
      <c r="BR60" s="28">
        <f>('Project Overview'!$D$12/12)*6</f>
        <v>750000</v>
      </c>
      <c r="BS60" s="28">
        <f>('Project Overview'!$D$12/12)*6</f>
        <v>750000</v>
      </c>
      <c r="BT60" s="28">
        <f>('Project Overview'!$D$12/12)*6</f>
        <v>750000</v>
      </c>
      <c r="BU60" s="28">
        <f>('Project Overview'!$D$12/12)*6</f>
        <v>750000</v>
      </c>
      <c r="BV60" s="28">
        <f>('Project Overview'!$D$12/12)*6</f>
        <v>750000</v>
      </c>
      <c r="BW60" s="28">
        <f>('Project Overview'!$D$12/12)*6</f>
        <v>750000</v>
      </c>
      <c r="BX60" s="28">
        <f>('Project Overview'!$D$12/12)*6</f>
        <v>750000</v>
      </c>
      <c r="BY60" s="28">
        <f>('Project Overview'!$D$12/12)*6</f>
        <v>750000</v>
      </c>
      <c r="BZ60" s="28">
        <f>('Project Overview'!$D$12/12)*6</f>
        <v>750000</v>
      </c>
      <c r="CA60" s="28">
        <f>('Project Overview'!$E$12/12)*6</f>
        <v>0</v>
      </c>
      <c r="CB60" s="28">
        <f>('Project Overview'!$E$12/12)*6</f>
        <v>0</v>
      </c>
      <c r="CC60" s="28">
        <f>('Project Overview'!$E$12/12)*6</f>
        <v>0</v>
      </c>
      <c r="CD60" s="28">
        <f>('Project Overview'!$E$12/12)*6</f>
        <v>0</v>
      </c>
      <c r="CE60" s="28">
        <f>('Project Overview'!$E$12/12)*6</f>
        <v>0</v>
      </c>
      <c r="CF60" s="28">
        <f>('Project Overview'!$E$12/12)*6</f>
        <v>0</v>
      </c>
      <c r="CG60" s="28">
        <f>('Project Overview'!$E$12/12)*6</f>
        <v>0</v>
      </c>
      <c r="CH60" s="28">
        <f>('Project Overview'!$E$12/12)*6</f>
        <v>0</v>
      </c>
      <c r="CI60" s="28">
        <f>('Project Overview'!$E$12/12)*6</f>
        <v>0</v>
      </c>
      <c r="CJ60" s="28">
        <f>('Project Overview'!$E$12/12)*6</f>
        <v>0</v>
      </c>
      <c r="CK60" s="28">
        <f>('Project Overview'!$E$12/12)*6</f>
        <v>0</v>
      </c>
      <c r="CL60" s="28">
        <f>('Project Overview'!$E$12/12)*6</f>
        <v>0</v>
      </c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40"/>
      <c r="DU60" s="40"/>
      <c r="DV60" s="40"/>
      <c r="DW60" s="40"/>
      <c r="DX60" s="40"/>
      <c r="DY60" s="40"/>
      <c r="DZ60" s="40"/>
      <c r="EA60" s="40"/>
      <c r="EB60" s="40"/>
      <c r="EC60" s="40"/>
      <c r="ED60" s="40"/>
      <c r="EE60" s="40"/>
      <c r="EF60" s="40"/>
      <c r="EG60" s="40"/>
      <c r="EH60" s="40"/>
      <c r="EI60" s="40"/>
      <c r="EJ60" s="40"/>
      <c r="EK60" s="40"/>
      <c r="EL60" s="40"/>
      <c r="EM60" s="40"/>
      <c r="EN60" s="40"/>
      <c r="EO60" s="40"/>
      <c r="EP60" s="40"/>
      <c r="EQ60" s="40"/>
      <c r="ER60" s="40"/>
      <c r="ES60" s="40"/>
      <c r="ET60" s="40"/>
      <c r="EU60" s="40"/>
      <c r="EV60" s="40"/>
      <c r="EW60" s="40"/>
      <c r="EX60" s="40"/>
      <c r="EY60" s="40"/>
      <c r="EZ60" s="40"/>
      <c r="FA60" s="40"/>
      <c r="FB60" s="40"/>
      <c r="FC60" s="40"/>
      <c r="FD60" s="40"/>
      <c r="FE60" s="40"/>
      <c r="FF60" s="40"/>
      <c r="FG60" s="40"/>
      <c r="FH60" s="40"/>
      <c r="FI60" s="40"/>
      <c r="FJ60" s="40"/>
      <c r="FK60" s="40"/>
      <c r="FL60" s="40"/>
      <c r="FM60" s="40"/>
      <c r="FN60" s="40"/>
      <c r="FO60" s="40"/>
      <c r="FP60" s="40"/>
      <c r="FQ60" s="40"/>
      <c r="FR60" s="40"/>
      <c r="FS60" s="40"/>
      <c r="FT60" s="40"/>
      <c r="FU60" s="40"/>
      <c r="FV60" s="40"/>
      <c r="FW60" s="40"/>
      <c r="FX60" s="40"/>
      <c r="FY60" s="40"/>
      <c r="FZ60" s="40"/>
      <c r="GA60" s="40"/>
      <c r="GB60" s="40"/>
      <c r="GC60" s="40"/>
      <c r="GD60" s="40"/>
      <c r="GE60" s="40"/>
      <c r="GF60" s="40"/>
      <c r="GG60" s="40"/>
      <c r="GH60" s="40"/>
      <c r="GI60" s="40"/>
      <c r="GJ60" s="40"/>
      <c r="GK60" s="40"/>
      <c r="GL60" s="40"/>
      <c r="GM60" s="40"/>
      <c r="GN60" s="40"/>
      <c r="GO60" s="40"/>
      <c r="GP60" s="40"/>
      <c r="GQ60" s="40"/>
      <c r="GR60" s="40"/>
      <c r="GS60" s="40"/>
      <c r="GT60" s="40"/>
      <c r="GU60" s="40"/>
      <c r="GV60" s="40"/>
      <c r="GW60" s="40"/>
      <c r="GX60" s="40"/>
      <c r="GY60" s="40"/>
      <c r="GZ60" s="40"/>
      <c r="HA60" s="40"/>
      <c r="HB60" s="40"/>
      <c r="HC60" s="40"/>
      <c r="HD60" s="40"/>
      <c r="HE60" s="40"/>
      <c r="HF60" s="40"/>
      <c r="HG60" s="40"/>
      <c r="HH60" s="40"/>
      <c r="HI60" s="40"/>
      <c r="HJ60" s="40"/>
      <c r="HK60" s="40"/>
      <c r="HL60" s="40"/>
      <c r="HM60" s="40"/>
      <c r="HN60" s="40"/>
      <c r="HO60" s="40"/>
      <c r="HP60" s="40"/>
      <c r="HQ60" s="40"/>
      <c r="HR60" s="40"/>
      <c r="HS60" s="40"/>
      <c r="HT60" s="40"/>
      <c r="HU60" s="40"/>
      <c r="HV60" s="40"/>
      <c r="HW60" s="40"/>
      <c r="HX60" s="40"/>
      <c r="HY60" s="40"/>
      <c r="HZ60" s="40"/>
      <c r="IA60" s="40"/>
      <c r="IB60" s="40"/>
      <c r="IC60" s="40"/>
      <c r="ID60" s="40"/>
      <c r="IE60" s="40"/>
      <c r="IF60" s="40"/>
      <c r="IG60" s="40"/>
      <c r="IH60" s="40"/>
      <c r="II60" s="40"/>
      <c r="IJ60" s="40"/>
      <c r="IK60" s="40"/>
      <c r="IL60" s="40"/>
      <c r="IM60" s="40"/>
      <c r="IN60" s="40"/>
      <c r="IO60" s="40"/>
      <c r="IP60" s="40"/>
      <c r="IQ60" s="40"/>
      <c r="IR60" s="40"/>
      <c r="IS60" s="40"/>
      <c r="IT60" s="40"/>
      <c r="IU60" s="40"/>
      <c r="IV60" s="40"/>
      <c r="IW60" s="40"/>
      <c r="IX60" s="40"/>
      <c r="IY60" s="40"/>
      <c r="IZ60" s="40"/>
      <c r="JA60" s="40"/>
      <c r="JB60" s="40"/>
      <c r="JC60" s="40"/>
      <c r="JD60" s="40"/>
      <c r="JE60" s="40"/>
      <c r="JF60" s="40"/>
      <c r="JG60" s="40"/>
      <c r="JH60" s="40"/>
      <c r="JI60" s="40"/>
      <c r="JJ60" s="40"/>
      <c r="JK60" s="40"/>
      <c r="JL60" s="40"/>
      <c r="JM60" s="40"/>
      <c r="JN60" s="40"/>
      <c r="JO60" s="40"/>
      <c r="JP60" s="40"/>
      <c r="JQ60" s="40"/>
      <c r="JR60" s="40"/>
      <c r="JS60" s="40"/>
      <c r="JT60" s="40"/>
      <c r="JU60" s="40"/>
      <c r="JV60" s="40"/>
      <c r="JW60" s="40"/>
      <c r="JX60" s="40"/>
      <c r="JY60" s="40"/>
      <c r="JZ60" s="40"/>
      <c r="KA60" s="40"/>
      <c r="KB60" s="40"/>
      <c r="KC60" s="40"/>
      <c r="KD60" s="40"/>
      <c r="KE60" s="40"/>
      <c r="KF60" s="40"/>
      <c r="KG60" s="40"/>
      <c r="KH60" s="40"/>
      <c r="KI60" s="40"/>
      <c r="KJ60" s="40"/>
      <c r="KK60" s="40"/>
      <c r="KL60" s="40"/>
      <c r="KM60" s="40"/>
      <c r="KN60" s="40"/>
      <c r="KO60" s="40"/>
      <c r="KP60" s="40"/>
      <c r="KQ60" s="40"/>
      <c r="KR60" s="40"/>
      <c r="KS60" s="40"/>
      <c r="KT60" s="40"/>
      <c r="KU60" s="40"/>
      <c r="KV60" s="40"/>
      <c r="KW60" s="40"/>
      <c r="KX60" s="40"/>
      <c r="KY60" s="40"/>
      <c r="KZ60" s="40"/>
      <c r="LA60" s="40"/>
      <c r="LB60" s="40"/>
      <c r="LC60" s="40"/>
      <c r="LD60" s="40"/>
      <c r="LE60" s="40"/>
      <c r="LF60" s="40"/>
      <c r="LG60" s="40"/>
      <c r="LH60" s="40"/>
      <c r="LI60" s="40"/>
      <c r="LJ60" s="40"/>
      <c r="LK60" s="40"/>
      <c r="LL60" s="40"/>
      <c r="LM60" s="40"/>
      <c r="LN60" s="40"/>
      <c r="LO60" s="40"/>
      <c r="LP60" s="40"/>
      <c r="LQ60" s="40"/>
      <c r="LR60" s="40"/>
      <c r="LS60" s="40"/>
      <c r="LT60" s="40"/>
      <c r="LU60" s="40"/>
      <c r="LV60" s="40"/>
      <c r="LW60" s="40"/>
      <c r="LX60" s="40"/>
      <c r="LY60" s="40"/>
      <c r="LZ60" s="40"/>
      <c r="MA60" s="40"/>
      <c r="MB60" s="40"/>
      <c r="MC60" s="40"/>
      <c r="MD60" s="40"/>
      <c r="ME60" s="40"/>
      <c r="MF60" s="40"/>
      <c r="MG60" s="40"/>
      <c r="MH60" s="40"/>
      <c r="MI60" s="40"/>
      <c r="MJ60" s="40"/>
      <c r="MK60" s="40"/>
      <c r="ML60" s="40"/>
      <c r="MM60" s="40"/>
      <c r="MN60" s="40"/>
      <c r="MO60" s="40"/>
      <c r="MP60" s="40"/>
      <c r="MQ60" s="40"/>
      <c r="MR60" s="40"/>
      <c r="MS60" s="40"/>
      <c r="MT60" s="40"/>
      <c r="MU60" s="40"/>
      <c r="MV60" s="40"/>
      <c r="MW60" s="40"/>
      <c r="MX60" s="40"/>
      <c r="MY60" s="40"/>
      <c r="MZ60" s="40"/>
      <c r="NA60" s="40"/>
      <c r="NB60" s="40"/>
      <c r="NC60" s="40"/>
      <c r="ND60" s="40"/>
      <c r="NE60" s="40"/>
      <c r="NF60" s="40"/>
      <c r="NG60" s="40"/>
      <c r="NH60" s="40"/>
      <c r="NI60" s="40"/>
      <c r="NJ60" s="40"/>
      <c r="NK60" s="40"/>
      <c r="NL60" s="40"/>
      <c r="NM60" s="40"/>
      <c r="NN60" s="40"/>
      <c r="NO60" s="40"/>
      <c r="NP60" s="40"/>
      <c r="NQ60" s="40"/>
      <c r="NR60" s="40"/>
      <c r="NS60" s="40"/>
      <c r="NT60" s="40"/>
      <c r="NU60" s="40"/>
      <c r="NV60" s="40"/>
      <c r="NW60" s="40"/>
      <c r="NX60" s="40"/>
      <c r="NY60" s="40"/>
      <c r="NZ60" s="40"/>
      <c r="OA60" s="40"/>
      <c r="OB60" s="40"/>
      <c r="OC60" s="40"/>
      <c r="OD60" s="40"/>
      <c r="OE60" s="40"/>
      <c r="OF60" s="40"/>
      <c r="OG60" s="40"/>
      <c r="OH60" s="40"/>
      <c r="OI60" s="40"/>
      <c r="OJ60" s="40"/>
      <c r="OK60" s="40"/>
      <c r="OL60" s="40"/>
      <c r="OM60" s="40"/>
      <c r="ON60" s="40"/>
      <c r="OO60" s="40"/>
      <c r="OP60" s="40"/>
      <c r="OQ60" s="40"/>
      <c r="OR60" s="40"/>
      <c r="OS60" s="40"/>
      <c r="OT60" s="40"/>
      <c r="OU60" s="40"/>
      <c r="OV60" s="40"/>
      <c r="OW60" s="40"/>
      <c r="OX60" s="40"/>
      <c r="OY60" s="40"/>
      <c r="OZ60" s="40"/>
      <c r="PA60" s="40"/>
      <c r="PB60" s="40"/>
      <c r="PC60" s="40"/>
      <c r="PD60" s="40"/>
      <c r="PE60" s="40"/>
      <c r="PF60" s="40"/>
      <c r="PG60" s="40"/>
      <c r="PH60" s="40"/>
      <c r="PI60" s="40"/>
      <c r="PJ60" s="40"/>
      <c r="PK60" s="40"/>
      <c r="PL60" s="40"/>
      <c r="PM60" s="40"/>
      <c r="PN60" s="40"/>
      <c r="PO60" s="40"/>
      <c r="PP60" s="40"/>
      <c r="PQ60" s="40"/>
      <c r="PR60" s="40"/>
      <c r="PS60" s="40"/>
      <c r="PT60" s="40"/>
      <c r="PU60" s="40"/>
      <c r="PV60" s="40"/>
      <c r="PW60" s="40"/>
      <c r="PX60" s="40"/>
      <c r="PY60" s="40"/>
      <c r="PZ60" s="40"/>
      <c r="QA60" s="40"/>
      <c r="QB60" s="40"/>
      <c r="QC60" s="40"/>
      <c r="QD60" s="40"/>
      <c r="QE60" s="40"/>
      <c r="QF60" s="40"/>
      <c r="QG60" s="40"/>
      <c r="QH60" s="40"/>
      <c r="QI60" s="40"/>
      <c r="QJ60" s="40"/>
      <c r="QK60" s="40"/>
      <c r="QL60" s="40"/>
      <c r="QM60" s="40"/>
      <c r="QN60" s="40"/>
      <c r="QO60" s="40"/>
      <c r="QP60" s="40"/>
      <c r="QQ60" s="40"/>
      <c r="QR60" s="40"/>
      <c r="QS60" s="40"/>
      <c r="QT60" s="40"/>
      <c r="QU60" s="40"/>
      <c r="QV60" s="40"/>
      <c r="QW60" s="40"/>
      <c r="QX60" s="40"/>
      <c r="QY60" s="40"/>
      <c r="QZ60" s="40"/>
      <c r="RA60" s="40"/>
      <c r="RB60" s="40"/>
      <c r="RC60" s="40"/>
      <c r="RD60" s="40"/>
      <c r="RE60" s="40"/>
      <c r="RF60" s="40"/>
      <c r="RG60" s="40"/>
      <c r="RH60" s="40"/>
      <c r="RI60" s="40"/>
      <c r="RJ60" s="40"/>
      <c r="RK60" s="40"/>
      <c r="RL60" s="40"/>
      <c r="RM60" s="40"/>
      <c r="RN60" s="40"/>
      <c r="RO60" s="40"/>
      <c r="RP60" s="40"/>
      <c r="RQ60" s="40"/>
      <c r="RR60" s="40"/>
      <c r="RS60" s="40"/>
      <c r="RT60" s="40"/>
      <c r="RU60" s="40"/>
      <c r="RV60" s="40"/>
      <c r="RW60" s="40"/>
      <c r="RX60" s="40"/>
      <c r="RY60" s="40"/>
      <c r="RZ60" s="40"/>
      <c r="SA60" s="40"/>
      <c r="SB60" s="40"/>
      <c r="SC60" s="40"/>
      <c r="SD60" s="40"/>
      <c r="SE60" s="40"/>
      <c r="SF60" s="40"/>
      <c r="SG60" s="40"/>
      <c r="SH60" s="40"/>
      <c r="SI60" s="40"/>
      <c r="SJ60" s="40"/>
      <c r="SK60" s="40"/>
      <c r="SL60" s="40"/>
      <c r="SM60" s="40"/>
      <c r="SN60" s="40"/>
      <c r="SO60" s="40"/>
      <c r="SP60" s="40"/>
      <c r="SQ60" s="40"/>
      <c r="SR60" s="40"/>
      <c r="SS60" s="40"/>
      <c r="ST60" s="40"/>
      <c r="SU60" s="40"/>
      <c r="SV60" s="40"/>
      <c r="SW60" s="40"/>
      <c r="SX60" s="40"/>
      <c r="SY60" s="40"/>
      <c r="SZ60" s="40"/>
      <c r="TA60" s="40"/>
      <c r="TB60" s="40"/>
      <c r="TC60" s="40"/>
      <c r="TD60" s="40"/>
      <c r="TE60" s="40"/>
      <c r="TF60" s="40"/>
      <c r="TG60" s="40"/>
      <c r="TH60" s="40"/>
      <c r="TI60" s="40"/>
      <c r="TJ60" s="40"/>
      <c r="TK60" s="40"/>
      <c r="TL60" s="40"/>
      <c r="TM60" s="40"/>
      <c r="TN60" s="40"/>
      <c r="TO60" s="40"/>
      <c r="TP60" s="40"/>
      <c r="TQ60" s="40"/>
      <c r="TR60" s="40"/>
      <c r="TS60" s="40"/>
      <c r="TT60" s="40"/>
      <c r="TU60" s="40"/>
      <c r="TV60" s="40"/>
      <c r="TW60" s="40"/>
      <c r="TX60" s="40"/>
      <c r="TY60" s="40"/>
      <c r="TZ60" s="40"/>
      <c r="UA60" s="40"/>
      <c r="UB60" s="40"/>
      <c r="UC60" s="40"/>
      <c r="UD60" s="40"/>
      <c r="UE60" s="40"/>
      <c r="UF60" s="40"/>
      <c r="UG60" s="40"/>
      <c r="UH60" s="40"/>
      <c r="UI60" s="40"/>
      <c r="UJ60" s="40"/>
      <c r="UK60" s="40"/>
      <c r="UL60" s="40"/>
      <c r="UM60" s="40"/>
      <c r="UN60" s="40"/>
      <c r="UO60" s="40"/>
      <c r="UP60" s="40"/>
      <c r="UQ60" s="40"/>
      <c r="UR60" s="40"/>
      <c r="US60" s="40"/>
      <c r="UT60" s="40"/>
      <c r="UU60" s="40"/>
      <c r="UV60" s="40"/>
      <c r="UW60" s="40"/>
      <c r="UX60" s="40"/>
      <c r="UY60" s="40"/>
      <c r="UZ60" s="40"/>
      <c r="VA60" s="40"/>
      <c r="VB60" s="40"/>
      <c r="VC60" s="40"/>
      <c r="VD60" s="40"/>
      <c r="VE60" s="40"/>
      <c r="VF60" s="40"/>
      <c r="VG60" s="40"/>
      <c r="VH60" s="40"/>
      <c r="VI60" s="40"/>
      <c r="VJ60" s="40"/>
      <c r="VK60" s="40"/>
      <c r="VL60" s="40"/>
      <c r="VM60" s="40"/>
      <c r="VN60" s="40"/>
      <c r="VO60" s="40"/>
      <c r="VP60" s="40"/>
      <c r="VQ60" s="40"/>
      <c r="VR60" s="40"/>
      <c r="VS60" s="40"/>
      <c r="VT60" s="40"/>
      <c r="VU60" s="40"/>
      <c r="VV60" s="40"/>
      <c r="VW60" s="40"/>
      <c r="VX60" s="40"/>
      <c r="VY60" s="40"/>
      <c r="VZ60" s="40"/>
      <c r="WA60" s="40"/>
      <c r="WB60" s="40"/>
      <c r="WC60" s="40"/>
      <c r="WD60" s="40"/>
      <c r="WE60" s="40"/>
      <c r="WF60" s="40"/>
      <c r="WG60" s="40"/>
      <c r="WH60" s="40"/>
      <c r="WI60" s="40"/>
      <c r="WJ60" s="40"/>
      <c r="WK60" s="40"/>
      <c r="WL60" s="40"/>
      <c r="WM60" s="40"/>
      <c r="WN60" s="40"/>
      <c r="WO60" s="40"/>
      <c r="WP60" s="40"/>
      <c r="WQ60" s="40"/>
      <c r="WR60" s="40"/>
      <c r="WS60" s="40"/>
      <c r="WT60" s="40"/>
      <c r="WU60" s="40"/>
      <c r="WV60" s="40"/>
      <c r="WW60" s="40"/>
      <c r="WX60" s="40"/>
      <c r="WY60" s="40"/>
      <c r="WZ60" s="40"/>
      <c r="XA60" s="40"/>
      <c r="XB60" s="40"/>
      <c r="XC60" s="40"/>
      <c r="XD60" s="40"/>
      <c r="XE60" s="40"/>
      <c r="XF60" s="40"/>
      <c r="XG60" s="40"/>
      <c r="XH60" s="40"/>
      <c r="XI60" s="40"/>
      <c r="XJ60" s="40"/>
      <c r="XK60" s="40"/>
      <c r="XL60" s="40"/>
      <c r="XM60" s="40"/>
      <c r="XN60" s="40"/>
      <c r="XO60" s="40"/>
      <c r="XP60" s="40"/>
      <c r="XQ60" s="40"/>
      <c r="XR60" s="40"/>
      <c r="XS60" s="40"/>
      <c r="XT60" s="40"/>
      <c r="XU60" s="40"/>
      <c r="XV60" s="40"/>
      <c r="XW60" s="40"/>
      <c r="XX60" s="40"/>
      <c r="XY60" s="40"/>
      <c r="XZ60" s="40"/>
      <c r="YA60" s="40"/>
      <c r="YB60" s="40"/>
      <c r="YC60" s="40"/>
      <c r="YD60" s="40"/>
      <c r="YE60" s="40"/>
      <c r="YF60" s="40"/>
      <c r="YG60" s="40"/>
      <c r="YH60" s="40"/>
      <c r="YI60" s="40"/>
      <c r="YJ60" s="40"/>
      <c r="YK60" s="40"/>
      <c r="YL60" s="40"/>
      <c r="YM60" s="40"/>
      <c r="YN60" s="40"/>
      <c r="YO60" s="40"/>
      <c r="YP60" s="40"/>
      <c r="YQ60" s="40"/>
      <c r="YR60" s="40"/>
      <c r="YS60" s="40"/>
      <c r="YT60" s="40"/>
      <c r="YU60" s="40"/>
      <c r="YV60" s="40"/>
      <c r="YW60" s="40"/>
      <c r="YX60" s="40"/>
      <c r="YY60" s="40"/>
      <c r="YZ60" s="40"/>
      <c r="ZA60" s="40"/>
      <c r="ZB60" s="40"/>
      <c r="ZC60" s="40"/>
      <c r="ZD60" s="40"/>
      <c r="ZE60" s="40"/>
      <c r="ZF60" s="40"/>
      <c r="ZG60" s="40"/>
      <c r="ZH60" s="40"/>
      <c r="ZI60" s="40"/>
      <c r="ZJ60" s="40"/>
      <c r="ZK60" s="40"/>
      <c r="ZL60" s="40"/>
      <c r="ZM60" s="40"/>
      <c r="ZN60" s="40"/>
      <c r="ZO60" s="40"/>
      <c r="ZP60" s="40"/>
      <c r="ZQ60" s="40"/>
      <c r="ZR60" s="40"/>
      <c r="ZS60" s="40"/>
      <c r="ZT60" s="40"/>
      <c r="ZU60" s="40"/>
      <c r="ZV60" s="40"/>
      <c r="ZW60" s="40"/>
      <c r="ZX60" s="40"/>
      <c r="ZY60" s="40"/>
      <c r="ZZ60" s="40"/>
      <c r="AAA60" s="40"/>
      <c r="AAB60" s="40"/>
      <c r="AAC60" s="40"/>
      <c r="AAD60" s="40"/>
      <c r="AAE60" s="40"/>
      <c r="AAF60" s="40"/>
      <c r="AAG60" s="40"/>
      <c r="AAH60" s="40"/>
      <c r="AAI60" s="40"/>
      <c r="AAJ60" s="40"/>
      <c r="AAK60" s="40"/>
      <c r="AAL60" s="40"/>
      <c r="AAM60" s="40"/>
      <c r="AAN60" s="40"/>
      <c r="AAO60" s="40"/>
      <c r="AAP60" s="40"/>
      <c r="AAQ60" s="40"/>
      <c r="AAR60" s="40"/>
      <c r="AAS60" s="40"/>
      <c r="AAT60" s="40"/>
      <c r="AAU60" s="40"/>
      <c r="AAV60" s="40"/>
      <c r="AAW60" s="40"/>
      <c r="AAX60" s="40"/>
      <c r="AAY60" s="40"/>
      <c r="AAZ60" s="40"/>
      <c r="ABA60" s="40"/>
      <c r="ABB60" s="40"/>
      <c r="ABC60" s="40"/>
      <c r="ABD60" s="40"/>
      <c r="ABE60" s="40"/>
      <c r="ABF60" s="40"/>
      <c r="ABG60" s="40"/>
      <c r="ABH60" s="40"/>
      <c r="ABI60" s="40"/>
      <c r="ABJ60" s="40"/>
      <c r="ABK60" s="40"/>
      <c r="ABL60" s="40"/>
      <c r="ABM60" s="40"/>
      <c r="ABN60" s="40"/>
      <c r="ABO60" s="40"/>
      <c r="ABP60" s="40"/>
      <c r="ABQ60" s="40"/>
      <c r="ABR60" s="40"/>
      <c r="ABS60" s="40"/>
      <c r="ABT60" s="40"/>
      <c r="ABU60" s="40"/>
      <c r="ABV60" s="40"/>
      <c r="ABW60" s="40"/>
      <c r="ABX60" s="40"/>
      <c r="ABY60" s="40"/>
      <c r="ABZ60" s="40"/>
      <c r="ACA60" s="40"/>
      <c r="ACB60" s="40"/>
      <c r="ACC60" s="40"/>
      <c r="ACD60" s="40"/>
      <c r="ACE60" s="40"/>
      <c r="ACF60" s="40"/>
      <c r="ACG60" s="40"/>
      <c r="ACH60" s="40"/>
      <c r="ACI60" s="40"/>
      <c r="ACJ60" s="40"/>
      <c r="ACK60" s="40"/>
      <c r="ACL60" s="40"/>
      <c r="ACM60" s="40"/>
      <c r="ACN60" s="40"/>
      <c r="ACO60" s="40"/>
      <c r="ACP60" s="40"/>
      <c r="ACQ60" s="40"/>
      <c r="ACR60" s="40"/>
      <c r="ACS60" s="40"/>
      <c r="ACT60" s="40"/>
      <c r="ACU60" s="40"/>
      <c r="ACV60" s="40"/>
      <c r="ACW60" s="40"/>
      <c r="ACX60" s="40"/>
      <c r="ACY60" s="40"/>
      <c r="ACZ60" s="40"/>
      <c r="ADA60" s="40"/>
      <c r="ADB60" s="40"/>
      <c r="ADC60" s="40"/>
      <c r="ADD60" s="40"/>
      <c r="ADE60" s="40"/>
      <c r="ADF60" s="40"/>
      <c r="ADG60" s="40"/>
      <c r="ADH60" s="40"/>
      <c r="ADI60" s="40"/>
      <c r="ADJ60" s="40"/>
      <c r="ADK60" s="40"/>
      <c r="ADL60" s="40"/>
      <c r="ADM60" s="40"/>
      <c r="ADN60" s="40"/>
      <c r="ADO60" s="40"/>
      <c r="ADP60" s="40"/>
      <c r="ADQ60" s="40"/>
      <c r="ADR60" s="40"/>
      <c r="ADS60" s="40"/>
      <c r="ADT60" s="40"/>
      <c r="ADU60" s="40"/>
      <c r="ADV60" s="40"/>
      <c r="ADW60" s="40"/>
      <c r="ADX60" s="40"/>
      <c r="ADY60" s="40"/>
      <c r="ADZ60" s="40"/>
      <c r="AEA60" s="40"/>
      <c r="AEB60" s="40"/>
      <c r="AEC60" s="40"/>
      <c r="AED60" s="40"/>
      <c r="AEE60" s="40"/>
      <c r="AEF60" s="40"/>
      <c r="AEG60" s="40"/>
      <c r="AEH60" s="40"/>
      <c r="AEI60" s="40"/>
      <c r="AEJ60" s="40"/>
      <c r="AEK60" s="40"/>
      <c r="AEL60" s="40"/>
      <c r="AEM60" s="40"/>
      <c r="AEN60" s="40"/>
      <c r="AEO60" s="40"/>
      <c r="AEP60" s="40"/>
      <c r="AEQ60" s="40"/>
      <c r="AER60" s="40"/>
      <c r="AES60" s="40"/>
      <c r="AET60" s="40"/>
      <c r="AEU60" s="40"/>
      <c r="AEV60" s="40"/>
      <c r="AEW60" s="40"/>
      <c r="AEX60" s="40"/>
      <c r="AEY60" s="40"/>
      <c r="AEZ60" s="40"/>
      <c r="AFA60" s="40"/>
      <c r="AFB60" s="40"/>
      <c r="AFC60" s="40"/>
      <c r="AFD60" s="40"/>
      <c r="AFE60" s="40"/>
      <c r="AFF60" s="40"/>
      <c r="AFG60" s="40"/>
      <c r="AFH60" s="40"/>
      <c r="AFI60" s="40"/>
      <c r="AFJ60" s="40"/>
      <c r="AFK60" s="40"/>
      <c r="AFL60" s="40"/>
      <c r="AFM60" s="40"/>
      <c r="AFN60" s="40"/>
      <c r="AFO60" s="40"/>
      <c r="AFP60" s="40"/>
      <c r="AFQ60" s="40"/>
      <c r="AFR60" s="40"/>
      <c r="AFS60" s="40"/>
      <c r="AFT60" s="40"/>
      <c r="AFU60" s="40"/>
      <c r="AFV60" s="40"/>
      <c r="AFW60" s="40"/>
      <c r="AFX60" s="40"/>
      <c r="AFY60" s="40"/>
      <c r="AFZ60" s="40"/>
      <c r="AGA60" s="40"/>
      <c r="AGB60" s="40"/>
      <c r="AGC60" s="40"/>
      <c r="AGD60" s="40"/>
      <c r="AGE60" s="40"/>
      <c r="AGF60" s="40"/>
      <c r="AGG60" s="40"/>
      <c r="AGH60" s="40"/>
      <c r="AGI60" s="40"/>
      <c r="AGJ60" s="40"/>
      <c r="AGK60" s="40"/>
      <c r="AGL60" s="40"/>
      <c r="AGM60" s="40"/>
      <c r="AGN60" s="40"/>
      <c r="AGO60" s="40"/>
      <c r="AGP60" s="40"/>
      <c r="AGQ60" s="40"/>
      <c r="AGR60" s="40"/>
      <c r="AGS60" s="40"/>
    </row>
    <row r="61" spans="1:877" ht="13">
      <c r="A61" s="41"/>
      <c r="B61" s="44">
        <f>'H2 Production Costs'!$D$9</f>
        <v>2.6198684210526317</v>
      </c>
      <c r="C61" s="43" t="s">
        <v>8</v>
      </c>
      <c r="D61" s="40"/>
      <c r="E61" s="40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>
        <f>('Project Overview'!$C$13/12)*6</f>
        <v>408646</v>
      </c>
      <c r="BD61" s="28">
        <f>('Project Overview'!$C$13/12)*6</f>
        <v>408646</v>
      </c>
      <c r="BE61" s="28">
        <f>('Project Overview'!$C$13/12)*6</f>
        <v>408646</v>
      </c>
      <c r="BF61" s="28">
        <f>('Project Overview'!$C$13/12)*6</f>
        <v>408646</v>
      </c>
      <c r="BG61" s="28">
        <f>('Project Overview'!$C$13/12)*6</f>
        <v>408646</v>
      </c>
      <c r="BH61" s="28">
        <f>('Project Overview'!$C$13/12)*6</f>
        <v>408646</v>
      </c>
      <c r="BI61" s="28">
        <f>('Project Overview'!$C$13/12)*6</f>
        <v>408646</v>
      </c>
      <c r="BJ61" s="28">
        <f>('Project Overview'!$C$13/12)*6</f>
        <v>408646</v>
      </c>
      <c r="BK61" s="28">
        <f>('Project Overview'!$C$13/12)*6</f>
        <v>408646</v>
      </c>
      <c r="BL61" s="28">
        <f>('Project Overview'!$C$13/12)*6</f>
        <v>408646</v>
      </c>
      <c r="BM61" s="28">
        <f>('Project Overview'!$C$13/12)*6</f>
        <v>408646</v>
      </c>
      <c r="BN61" s="28">
        <f>('Project Overview'!$C$13/12)*6</f>
        <v>408646</v>
      </c>
      <c r="BO61" s="28">
        <f>('Project Overview'!$D$13/12)*6</f>
        <v>541026.69999999995</v>
      </c>
      <c r="BP61" s="28">
        <f>('Project Overview'!$D$13/12)*6</f>
        <v>541026.69999999995</v>
      </c>
      <c r="BQ61" s="28">
        <f>('Project Overview'!$D$13/12)*6</f>
        <v>541026.69999999995</v>
      </c>
      <c r="BR61" s="28">
        <f>('Project Overview'!$D$13/12)*6</f>
        <v>541026.69999999995</v>
      </c>
      <c r="BS61" s="28">
        <f>('Project Overview'!$D$13/12)*6</f>
        <v>541026.69999999995</v>
      </c>
      <c r="BT61" s="28">
        <f>('Project Overview'!$D$13/12)*6</f>
        <v>541026.69999999995</v>
      </c>
      <c r="BU61" s="28">
        <f>('Project Overview'!$D$13/12)*6</f>
        <v>541026.69999999995</v>
      </c>
      <c r="BV61" s="28">
        <f>('Project Overview'!$D$13/12)*6</f>
        <v>541026.69999999995</v>
      </c>
      <c r="BW61" s="28">
        <f>('Project Overview'!$D$13/12)*6</f>
        <v>541026.69999999995</v>
      </c>
      <c r="BX61" s="28">
        <f>('Project Overview'!$D$13/12)*6</f>
        <v>541026.69999999995</v>
      </c>
      <c r="BY61" s="28">
        <f>('Project Overview'!$D$13/12)*6</f>
        <v>541026.69999999995</v>
      </c>
      <c r="BZ61" s="28">
        <f>('Project Overview'!$D$13/12)*6</f>
        <v>541026.69999999995</v>
      </c>
      <c r="CA61" s="28">
        <f>('Project Overview'!$E$13/12)*6</f>
        <v>622180.70499999996</v>
      </c>
      <c r="CB61" s="28">
        <f>('Project Overview'!$E$13/12)*6</f>
        <v>622180.70499999996</v>
      </c>
      <c r="CC61" s="28">
        <f>('Project Overview'!$E$13/12)*6</f>
        <v>622180.70499999996</v>
      </c>
      <c r="CD61" s="28">
        <f>('Project Overview'!$E$13/12)*6</f>
        <v>622180.70499999996</v>
      </c>
      <c r="CE61" s="28">
        <f>('Project Overview'!$E$13/12)*6</f>
        <v>622180.70499999996</v>
      </c>
      <c r="CF61" s="28">
        <f>('Project Overview'!$E$13/12)*6</f>
        <v>622180.70499999996</v>
      </c>
      <c r="CG61" s="28">
        <f>('Project Overview'!$E$13/12)*6</f>
        <v>622180.70499999996</v>
      </c>
      <c r="CH61" s="28">
        <f>('Project Overview'!$E$13/12)*6</f>
        <v>622180.70499999996</v>
      </c>
      <c r="CI61" s="28">
        <f>('Project Overview'!$E$13/12)*6</f>
        <v>622180.70499999996</v>
      </c>
      <c r="CJ61" s="28">
        <f>('Project Overview'!$E$13/12)*6</f>
        <v>622180.70499999996</v>
      </c>
      <c r="CK61" s="28">
        <f>('Project Overview'!$E$13/12)*6</f>
        <v>622180.70499999996</v>
      </c>
      <c r="CL61" s="28">
        <f>('Project Overview'!$E$13/12)*6</f>
        <v>622180.70499999996</v>
      </c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 s="40"/>
      <c r="DT61" s="40"/>
      <c r="DU61" s="40"/>
      <c r="DV61" s="40"/>
      <c r="DW61" s="40"/>
      <c r="DX61" s="40"/>
      <c r="DY61" s="40"/>
      <c r="DZ61" s="40"/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  <c r="ET61" s="40"/>
      <c r="EU61" s="40"/>
      <c r="EV61" s="40"/>
      <c r="EW61" s="40"/>
      <c r="EX61" s="40"/>
      <c r="EY61" s="40"/>
      <c r="EZ61" s="40"/>
      <c r="FA61" s="40"/>
      <c r="FB61" s="40"/>
      <c r="FC61" s="40"/>
      <c r="FD61" s="40"/>
      <c r="FE61" s="40"/>
      <c r="FF61" s="40"/>
      <c r="FG61" s="40"/>
      <c r="FH61" s="40"/>
      <c r="FI61" s="40"/>
      <c r="FJ61" s="40"/>
      <c r="FK61" s="40"/>
      <c r="FL61" s="40"/>
      <c r="FM61" s="40"/>
      <c r="FN61" s="40"/>
      <c r="FO61" s="40"/>
      <c r="FP61" s="40"/>
      <c r="FQ61" s="40"/>
      <c r="FR61" s="40"/>
      <c r="FS61" s="40"/>
      <c r="FT61" s="40"/>
      <c r="FU61" s="40"/>
      <c r="FV61" s="40"/>
      <c r="FW61" s="40"/>
      <c r="FX61" s="40"/>
      <c r="FY61" s="40"/>
      <c r="FZ61" s="40"/>
      <c r="GA61" s="40"/>
      <c r="GB61" s="40"/>
      <c r="GC61" s="40"/>
      <c r="GD61" s="40"/>
      <c r="GE61" s="40"/>
      <c r="GF61" s="40"/>
      <c r="GG61" s="40"/>
      <c r="GH61" s="40"/>
      <c r="GI61" s="40"/>
      <c r="GJ61" s="40"/>
      <c r="GK61" s="40"/>
      <c r="GL61" s="40"/>
      <c r="GM61" s="40"/>
      <c r="GN61" s="40"/>
      <c r="GO61" s="40"/>
      <c r="GP61" s="40"/>
      <c r="GQ61" s="40"/>
      <c r="GR61" s="40"/>
      <c r="GS61" s="40"/>
      <c r="GT61" s="40"/>
      <c r="GU61" s="40"/>
      <c r="GV61" s="40"/>
      <c r="GW61" s="40"/>
      <c r="GX61" s="40"/>
      <c r="GY61" s="40"/>
      <c r="GZ61" s="40"/>
      <c r="HA61" s="40"/>
      <c r="HB61" s="40"/>
      <c r="HC61" s="40"/>
      <c r="HD61" s="40"/>
      <c r="HE61" s="40"/>
      <c r="HF61" s="40"/>
      <c r="HG61" s="40"/>
      <c r="HH61" s="40"/>
      <c r="HI61" s="40"/>
      <c r="HJ61" s="40"/>
      <c r="HK61" s="40"/>
      <c r="HL61" s="40"/>
      <c r="HM61" s="40"/>
      <c r="HN61" s="40"/>
      <c r="HO61" s="40"/>
      <c r="HP61" s="40"/>
      <c r="HQ61" s="40"/>
      <c r="HR61" s="40"/>
      <c r="HS61" s="40"/>
      <c r="HT61" s="40"/>
      <c r="HU61" s="40"/>
      <c r="HV61" s="40"/>
      <c r="HW61" s="40"/>
      <c r="HX61" s="40"/>
      <c r="HY61" s="40"/>
      <c r="HZ61" s="40"/>
      <c r="IA61" s="40"/>
      <c r="IB61" s="40"/>
      <c r="IC61" s="40"/>
      <c r="ID61" s="40"/>
      <c r="IE61" s="40"/>
      <c r="IF61" s="40"/>
      <c r="IG61" s="40"/>
      <c r="IH61" s="40"/>
      <c r="II61" s="40"/>
      <c r="IJ61" s="40"/>
      <c r="IK61" s="40"/>
      <c r="IL61" s="40"/>
      <c r="IM61" s="40"/>
      <c r="IN61" s="40"/>
      <c r="IO61" s="40"/>
      <c r="IP61" s="40"/>
      <c r="IQ61" s="40"/>
      <c r="IR61" s="40"/>
      <c r="IS61" s="40"/>
      <c r="IT61" s="40"/>
      <c r="IU61" s="40"/>
      <c r="IV61" s="40"/>
      <c r="IW61" s="40"/>
      <c r="IX61" s="40"/>
      <c r="IY61" s="40"/>
      <c r="IZ61" s="40"/>
      <c r="JA61" s="40"/>
      <c r="JB61" s="40"/>
      <c r="JC61" s="40"/>
      <c r="JD61" s="40"/>
      <c r="JE61" s="40"/>
      <c r="JF61" s="40"/>
      <c r="JG61" s="40"/>
      <c r="JH61" s="40"/>
      <c r="JI61" s="40"/>
      <c r="JJ61" s="40"/>
      <c r="JK61" s="40"/>
      <c r="JL61" s="40"/>
      <c r="JM61" s="40"/>
      <c r="JN61" s="40"/>
      <c r="JO61" s="40"/>
      <c r="JP61" s="40"/>
      <c r="JQ61" s="40"/>
      <c r="JR61" s="40"/>
      <c r="JS61" s="40"/>
      <c r="JT61" s="40"/>
      <c r="JU61" s="40"/>
      <c r="JV61" s="40"/>
      <c r="JW61" s="40"/>
      <c r="JX61" s="40"/>
      <c r="JY61" s="40"/>
      <c r="JZ61" s="40"/>
      <c r="KA61" s="40"/>
      <c r="KB61" s="40"/>
      <c r="KC61" s="40"/>
      <c r="KD61" s="40"/>
      <c r="KE61" s="40"/>
      <c r="KF61" s="40"/>
      <c r="KG61" s="40"/>
      <c r="KH61" s="40"/>
      <c r="KI61" s="40"/>
      <c r="KJ61" s="40"/>
      <c r="KK61" s="40"/>
      <c r="KL61" s="40"/>
      <c r="KM61" s="40"/>
      <c r="KN61" s="40"/>
      <c r="KO61" s="40"/>
      <c r="KP61" s="40"/>
      <c r="KQ61" s="40"/>
      <c r="KR61" s="40"/>
      <c r="KS61" s="40"/>
      <c r="KT61" s="40"/>
      <c r="KU61" s="40"/>
      <c r="KV61" s="40"/>
      <c r="KW61" s="40"/>
      <c r="KX61" s="40"/>
      <c r="KY61" s="40"/>
      <c r="KZ61" s="40"/>
      <c r="LA61" s="40"/>
      <c r="LB61" s="40"/>
      <c r="LC61" s="40"/>
      <c r="LD61" s="40"/>
      <c r="LE61" s="40"/>
      <c r="LF61" s="40"/>
      <c r="LG61" s="40"/>
      <c r="LH61" s="40"/>
      <c r="LI61" s="40"/>
      <c r="LJ61" s="40"/>
      <c r="LK61" s="40"/>
      <c r="LL61" s="40"/>
      <c r="LM61" s="40"/>
      <c r="LN61" s="40"/>
      <c r="LO61" s="40"/>
      <c r="LP61" s="40"/>
      <c r="LQ61" s="40"/>
      <c r="LR61" s="40"/>
      <c r="LS61" s="40"/>
      <c r="LT61" s="40"/>
      <c r="LU61" s="40"/>
      <c r="LV61" s="40"/>
      <c r="LW61" s="40"/>
      <c r="LX61" s="40"/>
      <c r="LY61" s="40"/>
      <c r="LZ61" s="40"/>
      <c r="MA61" s="40"/>
      <c r="MB61" s="40"/>
      <c r="MC61" s="40"/>
      <c r="MD61" s="40"/>
      <c r="ME61" s="40"/>
      <c r="MF61" s="40"/>
      <c r="MG61" s="40"/>
      <c r="MH61" s="40"/>
      <c r="MI61" s="40"/>
      <c r="MJ61" s="40"/>
      <c r="MK61" s="40"/>
      <c r="ML61" s="40"/>
      <c r="MM61" s="40"/>
      <c r="MN61" s="40"/>
      <c r="MO61" s="40"/>
      <c r="MP61" s="40"/>
      <c r="MQ61" s="40"/>
      <c r="MR61" s="40"/>
      <c r="MS61" s="40"/>
      <c r="MT61" s="40"/>
      <c r="MU61" s="40"/>
      <c r="MV61" s="40"/>
      <c r="MW61" s="40"/>
      <c r="MX61" s="40"/>
      <c r="MY61" s="40"/>
      <c r="MZ61" s="40"/>
      <c r="NA61" s="40"/>
      <c r="NB61" s="40"/>
      <c r="NC61" s="40"/>
      <c r="ND61" s="40"/>
      <c r="NE61" s="40"/>
      <c r="NF61" s="40"/>
      <c r="NG61" s="40"/>
      <c r="NH61" s="40"/>
      <c r="NI61" s="40"/>
      <c r="NJ61" s="40"/>
      <c r="NK61" s="40"/>
      <c r="NL61" s="40"/>
      <c r="NM61" s="40"/>
      <c r="NN61" s="40"/>
      <c r="NO61" s="40"/>
      <c r="NP61" s="40"/>
      <c r="NQ61" s="40"/>
      <c r="NR61" s="40"/>
      <c r="NS61" s="40"/>
      <c r="NT61" s="40"/>
      <c r="NU61" s="40"/>
      <c r="NV61" s="40"/>
      <c r="NW61" s="40"/>
      <c r="NX61" s="40"/>
      <c r="NY61" s="40"/>
      <c r="NZ61" s="40"/>
      <c r="OA61" s="40"/>
      <c r="OB61" s="40"/>
      <c r="OC61" s="40"/>
      <c r="OD61" s="40"/>
      <c r="OE61" s="40"/>
      <c r="OF61" s="40"/>
      <c r="OG61" s="40"/>
      <c r="OH61" s="40"/>
      <c r="OI61" s="40"/>
      <c r="OJ61" s="40"/>
      <c r="OK61" s="40"/>
      <c r="OL61" s="40"/>
      <c r="OM61" s="40"/>
      <c r="ON61" s="40"/>
      <c r="OO61" s="40"/>
      <c r="OP61" s="40"/>
      <c r="OQ61" s="40"/>
      <c r="OR61" s="40"/>
      <c r="OS61" s="40"/>
      <c r="OT61" s="40"/>
      <c r="OU61" s="40"/>
      <c r="OV61" s="40"/>
      <c r="OW61" s="40"/>
      <c r="OX61" s="40"/>
      <c r="OY61" s="40"/>
      <c r="OZ61" s="40"/>
      <c r="PA61" s="40"/>
      <c r="PB61" s="40"/>
      <c r="PC61" s="40"/>
      <c r="PD61" s="40"/>
      <c r="PE61" s="40"/>
      <c r="PF61" s="40"/>
      <c r="PG61" s="40"/>
      <c r="PH61" s="40"/>
      <c r="PI61" s="40"/>
      <c r="PJ61" s="40"/>
      <c r="PK61" s="40"/>
      <c r="PL61" s="40"/>
      <c r="PM61" s="40"/>
      <c r="PN61" s="40"/>
      <c r="PO61" s="40"/>
      <c r="PP61" s="40"/>
      <c r="PQ61" s="40"/>
      <c r="PR61" s="40"/>
      <c r="PS61" s="40"/>
      <c r="PT61" s="40"/>
      <c r="PU61" s="40"/>
      <c r="PV61" s="40"/>
      <c r="PW61" s="40"/>
      <c r="PX61" s="40"/>
      <c r="PY61" s="40"/>
      <c r="PZ61" s="40"/>
      <c r="QA61" s="40"/>
      <c r="QB61" s="40"/>
      <c r="QC61" s="40"/>
      <c r="QD61" s="40"/>
      <c r="QE61" s="40"/>
      <c r="QF61" s="40"/>
      <c r="QG61" s="40"/>
      <c r="QH61" s="40"/>
      <c r="QI61" s="40"/>
      <c r="QJ61" s="40"/>
      <c r="QK61" s="40"/>
      <c r="QL61" s="40"/>
      <c r="QM61" s="40"/>
      <c r="QN61" s="40"/>
      <c r="QO61" s="40"/>
      <c r="QP61" s="40"/>
      <c r="QQ61" s="40"/>
      <c r="QR61" s="40"/>
      <c r="QS61" s="40"/>
      <c r="QT61" s="40"/>
      <c r="QU61" s="40"/>
      <c r="QV61" s="40"/>
      <c r="QW61" s="40"/>
      <c r="QX61" s="40"/>
      <c r="QY61" s="40"/>
      <c r="QZ61" s="40"/>
      <c r="RA61" s="40"/>
      <c r="RB61" s="40"/>
      <c r="RC61" s="40"/>
      <c r="RD61" s="40"/>
      <c r="RE61" s="40"/>
      <c r="RF61" s="40"/>
      <c r="RG61" s="40"/>
      <c r="RH61" s="40"/>
      <c r="RI61" s="40"/>
      <c r="RJ61" s="40"/>
      <c r="RK61" s="40"/>
      <c r="RL61" s="40"/>
      <c r="RM61" s="40"/>
      <c r="RN61" s="40"/>
      <c r="RO61" s="40"/>
      <c r="RP61" s="40"/>
      <c r="RQ61" s="40"/>
      <c r="RR61" s="40"/>
      <c r="RS61" s="40"/>
      <c r="RT61" s="40"/>
      <c r="RU61" s="40"/>
      <c r="RV61" s="40"/>
      <c r="RW61" s="40"/>
      <c r="RX61" s="40"/>
      <c r="RY61" s="40"/>
      <c r="RZ61" s="40"/>
      <c r="SA61" s="40"/>
      <c r="SB61" s="40"/>
      <c r="SC61" s="40"/>
      <c r="SD61" s="40"/>
      <c r="SE61" s="40"/>
      <c r="SF61" s="40"/>
      <c r="SG61" s="40"/>
      <c r="SH61" s="40"/>
      <c r="SI61" s="40"/>
      <c r="SJ61" s="40"/>
      <c r="SK61" s="40"/>
      <c r="SL61" s="40"/>
      <c r="SM61" s="40"/>
      <c r="SN61" s="40"/>
      <c r="SO61" s="40"/>
      <c r="SP61" s="40"/>
      <c r="SQ61" s="40"/>
      <c r="SR61" s="40"/>
      <c r="SS61" s="40"/>
      <c r="ST61" s="40"/>
      <c r="SU61" s="40"/>
      <c r="SV61" s="40"/>
      <c r="SW61" s="40"/>
      <c r="SX61" s="40"/>
      <c r="SY61" s="40"/>
      <c r="SZ61" s="40"/>
      <c r="TA61" s="40"/>
      <c r="TB61" s="40"/>
      <c r="TC61" s="40"/>
      <c r="TD61" s="40"/>
      <c r="TE61" s="40"/>
      <c r="TF61" s="40"/>
      <c r="TG61" s="40"/>
      <c r="TH61" s="40"/>
      <c r="TI61" s="40"/>
      <c r="TJ61" s="40"/>
      <c r="TK61" s="40"/>
      <c r="TL61" s="40"/>
      <c r="TM61" s="40"/>
      <c r="TN61" s="40"/>
      <c r="TO61" s="40"/>
      <c r="TP61" s="40"/>
      <c r="TQ61" s="40"/>
      <c r="TR61" s="40"/>
      <c r="TS61" s="40"/>
      <c r="TT61" s="40"/>
      <c r="TU61" s="40"/>
      <c r="TV61" s="40"/>
      <c r="TW61" s="40"/>
      <c r="TX61" s="40"/>
      <c r="TY61" s="40"/>
      <c r="TZ61" s="40"/>
      <c r="UA61" s="40"/>
      <c r="UB61" s="40"/>
      <c r="UC61" s="40"/>
      <c r="UD61" s="40"/>
      <c r="UE61" s="40"/>
      <c r="UF61" s="40"/>
      <c r="UG61" s="40"/>
      <c r="UH61" s="40"/>
      <c r="UI61" s="40"/>
      <c r="UJ61" s="40"/>
      <c r="UK61" s="40"/>
      <c r="UL61" s="40"/>
      <c r="UM61" s="40"/>
      <c r="UN61" s="40"/>
      <c r="UO61" s="40"/>
      <c r="UP61" s="40"/>
      <c r="UQ61" s="40"/>
      <c r="UR61" s="40"/>
      <c r="US61" s="40"/>
      <c r="UT61" s="40"/>
      <c r="UU61" s="40"/>
      <c r="UV61" s="40"/>
      <c r="UW61" s="40"/>
      <c r="UX61" s="40"/>
      <c r="UY61" s="40"/>
      <c r="UZ61" s="40"/>
      <c r="VA61" s="40"/>
      <c r="VB61" s="40"/>
      <c r="VC61" s="40"/>
      <c r="VD61" s="40"/>
      <c r="VE61" s="40"/>
      <c r="VF61" s="40"/>
      <c r="VG61" s="40"/>
      <c r="VH61" s="40"/>
      <c r="VI61" s="40"/>
      <c r="VJ61" s="40"/>
      <c r="VK61" s="40"/>
      <c r="VL61" s="40"/>
      <c r="VM61" s="40"/>
      <c r="VN61" s="40"/>
      <c r="VO61" s="40"/>
      <c r="VP61" s="40"/>
      <c r="VQ61" s="40"/>
      <c r="VR61" s="40"/>
      <c r="VS61" s="40"/>
      <c r="VT61" s="40"/>
      <c r="VU61" s="40"/>
      <c r="VV61" s="40"/>
      <c r="VW61" s="40"/>
      <c r="VX61" s="40"/>
      <c r="VY61" s="40"/>
      <c r="VZ61" s="40"/>
      <c r="WA61" s="40"/>
      <c r="WB61" s="40"/>
      <c r="WC61" s="40"/>
      <c r="WD61" s="40"/>
      <c r="WE61" s="40"/>
      <c r="WF61" s="40"/>
      <c r="WG61" s="40"/>
      <c r="WH61" s="40"/>
      <c r="WI61" s="40"/>
      <c r="WJ61" s="40"/>
      <c r="WK61" s="40"/>
      <c r="WL61" s="40"/>
      <c r="WM61" s="40"/>
      <c r="WN61" s="40"/>
      <c r="WO61" s="40"/>
      <c r="WP61" s="40"/>
      <c r="WQ61" s="40"/>
      <c r="WR61" s="40"/>
      <c r="WS61" s="40"/>
      <c r="WT61" s="40"/>
      <c r="WU61" s="40"/>
      <c r="WV61" s="40"/>
      <c r="WW61" s="40"/>
      <c r="WX61" s="40"/>
      <c r="WY61" s="40"/>
      <c r="WZ61" s="40"/>
      <c r="XA61" s="40"/>
      <c r="XB61" s="40"/>
      <c r="XC61" s="40"/>
      <c r="XD61" s="40"/>
      <c r="XE61" s="40"/>
      <c r="XF61" s="40"/>
      <c r="XG61" s="40"/>
      <c r="XH61" s="40"/>
      <c r="XI61" s="40"/>
      <c r="XJ61" s="40"/>
      <c r="XK61" s="40"/>
      <c r="XL61" s="40"/>
      <c r="XM61" s="40"/>
      <c r="XN61" s="40"/>
      <c r="XO61" s="40"/>
      <c r="XP61" s="40"/>
      <c r="XQ61" s="40"/>
      <c r="XR61" s="40"/>
      <c r="XS61" s="40"/>
      <c r="XT61" s="40"/>
      <c r="XU61" s="40"/>
      <c r="XV61" s="40"/>
      <c r="XW61" s="40"/>
      <c r="XX61" s="40"/>
      <c r="XY61" s="40"/>
      <c r="XZ61" s="40"/>
      <c r="YA61" s="40"/>
      <c r="YB61" s="40"/>
      <c r="YC61" s="40"/>
      <c r="YD61" s="40"/>
      <c r="YE61" s="40"/>
      <c r="YF61" s="40"/>
      <c r="YG61" s="40"/>
      <c r="YH61" s="40"/>
      <c r="YI61" s="40"/>
      <c r="YJ61" s="40"/>
      <c r="YK61" s="40"/>
      <c r="YL61" s="40"/>
      <c r="YM61" s="40"/>
      <c r="YN61" s="40"/>
      <c r="YO61" s="40"/>
      <c r="YP61" s="40"/>
      <c r="YQ61" s="40"/>
      <c r="YR61" s="40"/>
      <c r="YS61" s="40"/>
      <c r="YT61" s="40"/>
      <c r="YU61" s="40"/>
      <c r="YV61" s="40"/>
      <c r="YW61" s="40"/>
      <c r="YX61" s="40"/>
      <c r="YY61" s="40"/>
      <c r="YZ61" s="40"/>
      <c r="ZA61" s="40"/>
      <c r="ZB61" s="40"/>
      <c r="ZC61" s="40"/>
      <c r="ZD61" s="40"/>
      <c r="ZE61" s="40"/>
      <c r="ZF61" s="40"/>
      <c r="ZG61" s="40"/>
      <c r="ZH61" s="40"/>
      <c r="ZI61" s="40"/>
      <c r="ZJ61" s="40"/>
      <c r="ZK61" s="40"/>
      <c r="ZL61" s="40"/>
      <c r="ZM61" s="40"/>
      <c r="ZN61" s="40"/>
      <c r="ZO61" s="40"/>
      <c r="ZP61" s="40"/>
      <c r="ZQ61" s="40"/>
      <c r="ZR61" s="40"/>
      <c r="ZS61" s="40"/>
      <c r="ZT61" s="40"/>
      <c r="ZU61" s="40"/>
      <c r="ZV61" s="40"/>
      <c r="ZW61" s="40"/>
      <c r="ZX61" s="40"/>
      <c r="ZY61" s="40"/>
      <c r="ZZ61" s="40"/>
      <c r="AAA61" s="40"/>
      <c r="AAB61" s="40"/>
      <c r="AAC61" s="40"/>
      <c r="AAD61" s="40"/>
      <c r="AAE61" s="40"/>
      <c r="AAF61" s="40"/>
      <c r="AAG61" s="40"/>
      <c r="AAH61" s="40"/>
      <c r="AAI61" s="40"/>
      <c r="AAJ61" s="40"/>
      <c r="AAK61" s="40"/>
      <c r="AAL61" s="40"/>
      <c r="AAM61" s="40"/>
      <c r="AAN61" s="40"/>
      <c r="AAO61" s="40"/>
      <c r="AAP61" s="40"/>
      <c r="AAQ61" s="40"/>
      <c r="AAR61" s="40"/>
      <c r="AAS61" s="40"/>
      <c r="AAT61" s="40"/>
      <c r="AAU61" s="40"/>
      <c r="AAV61" s="40"/>
      <c r="AAW61" s="40"/>
      <c r="AAX61" s="40"/>
      <c r="AAY61" s="40"/>
      <c r="AAZ61" s="40"/>
      <c r="ABA61" s="40"/>
      <c r="ABB61" s="40"/>
      <c r="ABC61" s="40"/>
      <c r="ABD61" s="40"/>
      <c r="ABE61" s="40"/>
      <c r="ABF61" s="40"/>
      <c r="ABG61" s="40"/>
      <c r="ABH61" s="40"/>
      <c r="ABI61" s="40"/>
      <c r="ABJ61" s="40"/>
      <c r="ABK61" s="40"/>
      <c r="ABL61" s="40"/>
      <c r="ABM61" s="40"/>
      <c r="ABN61" s="40"/>
      <c r="ABO61" s="40"/>
      <c r="ABP61" s="40"/>
      <c r="ABQ61" s="40"/>
      <c r="ABR61" s="40"/>
      <c r="ABS61" s="40"/>
      <c r="ABT61" s="40"/>
      <c r="ABU61" s="40"/>
      <c r="ABV61" s="40"/>
      <c r="ABW61" s="40"/>
      <c r="ABX61" s="40"/>
      <c r="ABY61" s="40"/>
      <c r="ABZ61" s="40"/>
      <c r="ACA61" s="40"/>
      <c r="ACB61" s="40"/>
      <c r="ACC61" s="40"/>
      <c r="ACD61" s="40"/>
      <c r="ACE61" s="40"/>
      <c r="ACF61" s="40"/>
      <c r="ACG61" s="40"/>
      <c r="ACH61" s="40"/>
      <c r="ACI61" s="40"/>
      <c r="ACJ61" s="40"/>
      <c r="ACK61" s="40"/>
      <c r="ACL61" s="40"/>
      <c r="ACM61" s="40"/>
      <c r="ACN61" s="40"/>
      <c r="ACO61" s="40"/>
      <c r="ACP61" s="40"/>
      <c r="ACQ61" s="40"/>
      <c r="ACR61" s="40"/>
      <c r="ACS61" s="40"/>
      <c r="ACT61" s="40"/>
      <c r="ACU61" s="40"/>
      <c r="ACV61" s="40"/>
      <c r="ACW61" s="40"/>
      <c r="ACX61" s="40"/>
      <c r="ACY61" s="40"/>
      <c r="ACZ61" s="40"/>
      <c r="ADA61" s="40"/>
      <c r="ADB61" s="40"/>
      <c r="ADC61" s="40"/>
      <c r="ADD61" s="40"/>
      <c r="ADE61" s="40"/>
      <c r="ADF61" s="40"/>
      <c r="ADG61" s="40"/>
      <c r="ADH61" s="40"/>
      <c r="ADI61" s="40"/>
      <c r="ADJ61" s="40"/>
      <c r="ADK61" s="40"/>
      <c r="ADL61" s="40"/>
      <c r="ADM61" s="40"/>
      <c r="ADN61" s="40"/>
      <c r="ADO61" s="40"/>
      <c r="ADP61" s="40"/>
      <c r="ADQ61" s="40"/>
      <c r="ADR61" s="40"/>
      <c r="ADS61" s="40"/>
      <c r="ADT61" s="40"/>
      <c r="ADU61" s="40"/>
      <c r="ADV61" s="40"/>
      <c r="ADW61" s="40"/>
      <c r="ADX61" s="40"/>
      <c r="ADY61" s="40"/>
      <c r="ADZ61" s="40"/>
      <c r="AEA61" s="40"/>
      <c r="AEB61" s="40"/>
      <c r="AEC61" s="40"/>
      <c r="AED61" s="40"/>
      <c r="AEE61" s="40"/>
      <c r="AEF61" s="40"/>
      <c r="AEG61" s="40"/>
      <c r="AEH61" s="40"/>
      <c r="AEI61" s="40"/>
      <c r="AEJ61" s="40"/>
      <c r="AEK61" s="40"/>
      <c r="AEL61" s="40"/>
      <c r="AEM61" s="40"/>
      <c r="AEN61" s="40"/>
      <c r="AEO61" s="40"/>
      <c r="AEP61" s="40"/>
      <c r="AEQ61" s="40"/>
      <c r="AER61" s="40"/>
      <c r="AES61" s="40"/>
      <c r="AET61" s="40"/>
      <c r="AEU61" s="40"/>
      <c r="AEV61" s="40"/>
      <c r="AEW61" s="40"/>
      <c r="AEX61" s="40"/>
      <c r="AEY61" s="40"/>
      <c r="AEZ61" s="40"/>
      <c r="AFA61" s="40"/>
      <c r="AFB61" s="40"/>
      <c r="AFC61" s="40"/>
      <c r="AFD61" s="40"/>
      <c r="AFE61" s="40"/>
      <c r="AFF61" s="40"/>
      <c r="AFG61" s="40"/>
      <c r="AFH61" s="40"/>
      <c r="AFI61" s="40"/>
      <c r="AFJ61" s="40"/>
      <c r="AFK61" s="40"/>
      <c r="AFL61" s="40"/>
      <c r="AFM61" s="40"/>
      <c r="AFN61" s="40"/>
      <c r="AFO61" s="40"/>
      <c r="AFP61" s="40"/>
      <c r="AFQ61" s="40"/>
      <c r="AFR61" s="40"/>
      <c r="AFS61" s="40"/>
      <c r="AFT61" s="40"/>
      <c r="AFU61" s="40"/>
      <c r="AFV61" s="40"/>
      <c r="AFW61" s="40"/>
      <c r="AFX61" s="40"/>
      <c r="AFY61" s="40"/>
      <c r="AFZ61" s="40"/>
      <c r="AGA61" s="40"/>
      <c r="AGB61" s="40"/>
      <c r="AGC61" s="40"/>
      <c r="AGD61" s="40"/>
      <c r="AGE61" s="40"/>
      <c r="AGF61" s="40"/>
      <c r="AGG61" s="40"/>
      <c r="AGH61" s="40"/>
      <c r="AGI61" s="40"/>
      <c r="AGJ61" s="40"/>
      <c r="AGK61" s="40"/>
      <c r="AGL61" s="40"/>
      <c r="AGM61" s="40"/>
      <c r="AGN61" s="40"/>
      <c r="AGO61" s="40"/>
      <c r="AGP61" s="40"/>
      <c r="AGQ61" s="40"/>
      <c r="AGR61" s="40"/>
      <c r="AGS61" s="40"/>
    </row>
    <row r="62" spans="1:877" ht="13">
      <c r="A62" s="45"/>
      <c r="B62" s="42" t="s">
        <v>23</v>
      </c>
      <c r="C62" s="46" t="s">
        <v>24</v>
      </c>
      <c r="D62" s="47"/>
      <c r="E62" s="4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>
        <f t="shared" ref="BC62:BN62" si="22">0*6</f>
        <v>0</v>
      </c>
      <c r="BD62" s="28">
        <f t="shared" si="22"/>
        <v>0</v>
      </c>
      <c r="BE62" s="28">
        <f t="shared" si="22"/>
        <v>0</v>
      </c>
      <c r="BF62" s="28">
        <f t="shared" si="22"/>
        <v>0</v>
      </c>
      <c r="BG62" s="28">
        <f t="shared" si="22"/>
        <v>0</v>
      </c>
      <c r="BH62" s="28">
        <f t="shared" si="22"/>
        <v>0</v>
      </c>
      <c r="BI62" s="28">
        <f t="shared" si="22"/>
        <v>0</v>
      </c>
      <c r="BJ62" s="28">
        <f t="shared" si="22"/>
        <v>0</v>
      </c>
      <c r="BK62" s="28">
        <f t="shared" si="22"/>
        <v>0</v>
      </c>
      <c r="BL62" s="28">
        <f t="shared" si="22"/>
        <v>0</v>
      </c>
      <c r="BM62" s="28">
        <f t="shared" si="22"/>
        <v>0</v>
      </c>
      <c r="BN62" s="28">
        <f t="shared" si="22"/>
        <v>0</v>
      </c>
      <c r="BO62" s="28">
        <f t="shared" ref="BO62:BZ62" si="23">37500*6</f>
        <v>225000</v>
      </c>
      <c r="BP62" s="28">
        <f t="shared" si="23"/>
        <v>225000</v>
      </c>
      <c r="BQ62" s="28">
        <f t="shared" si="23"/>
        <v>225000</v>
      </c>
      <c r="BR62" s="28">
        <f t="shared" si="23"/>
        <v>225000</v>
      </c>
      <c r="BS62" s="28">
        <f t="shared" si="23"/>
        <v>225000</v>
      </c>
      <c r="BT62" s="28">
        <f t="shared" si="23"/>
        <v>225000</v>
      </c>
      <c r="BU62" s="28">
        <f t="shared" si="23"/>
        <v>225000</v>
      </c>
      <c r="BV62" s="28">
        <f t="shared" si="23"/>
        <v>225000</v>
      </c>
      <c r="BW62" s="28">
        <f t="shared" si="23"/>
        <v>225000</v>
      </c>
      <c r="BX62" s="28">
        <f t="shared" si="23"/>
        <v>225000</v>
      </c>
      <c r="BY62" s="28">
        <f t="shared" si="23"/>
        <v>225000</v>
      </c>
      <c r="BZ62" s="28">
        <f t="shared" si="23"/>
        <v>225000</v>
      </c>
      <c r="CA62" s="28">
        <f t="shared" ref="CA62:CL62" si="24">75000*6</f>
        <v>450000</v>
      </c>
      <c r="CB62" s="28">
        <f t="shared" si="24"/>
        <v>450000</v>
      </c>
      <c r="CC62" s="28">
        <f t="shared" si="24"/>
        <v>450000</v>
      </c>
      <c r="CD62" s="28">
        <f t="shared" si="24"/>
        <v>450000</v>
      </c>
      <c r="CE62" s="28">
        <f t="shared" si="24"/>
        <v>450000</v>
      </c>
      <c r="CF62" s="28">
        <f t="shared" si="24"/>
        <v>450000</v>
      </c>
      <c r="CG62" s="28">
        <f t="shared" si="24"/>
        <v>450000</v>
      </c>
      <c r="CH62" s="28">
        <f t="shared" si="24"/>
        <v>450000</v>
      </c>
      <c r="CI62" s="28">
        <f t="shared" si="24"/>
        <v>450000</v>
      </c>
      <c r="CJ62" s="28">
        <f t="shared" si="24"/>
        <v>450000</v>
      </c>
      <c r="CK62" s="28">
        <f t="shared" si="24"/>
        <v>450000</v>
      </c>
      <c r="CL62" s="28">
        <f t="shared" si="24"/>
        <v>450000</v>
      </c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  <c r="CY62" s="47"/>
      <c r="CZ62" s="47"/>
      <c r="DA62" s="47"/>
      <c r="DB62" s="47"/>
      <c r="DC62" s="47"/>
      <c r="DD62" s="47"/>
      <c r="DE62" s="47"/>
      <c r="DF62" s="47"/>
      <c r="DG62" s="47"/>
      <c r="DH62" s="47"/>
      <c r="DI62" s="47"/>
      <c r="DJ62" s="47"/>
      <c r="DK62" s="47"/>
      <c r="DL62" s="47"/>
      <c r="DM62" s="47"/>
      <c r="DN62" s="47"/>
      <c r="DO62" s="47"/>
      <c r="DP62" s="47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47"/>
      <c r="FG62" s="47"/>
      <c r="FH62" s="47"/>
      <c r="FI62" s="47"/>
      <c r="FJ62" s="47"/>
      <c r="FK62" s="47"/>
      <c r="FL62" s="47"/>
      <c r="FM62" s="47"/>
      <c r="FN62" s="47"/>
      <c r="FO62" s="47"/>
      <c r="FP62" s="47"/>
      <c r="FQ62" s="47"/>
      <c r="FR62" s="47"/>
      <c r="FS62" s="47"/>
      <c r="FT62" s="47"/>
      <c r="FU62" s="47"/>
      <c r="FV62" s="47"/>
      <c r="FW62" s="47"/>
      <c r="FX62" s="47"/>
      <c r="FY62" s="47"/>
      <c r="FZ62" s="47"/>
      <c r="GA62" s="47"/>
      <c r="GB62" s="47"/>
      <c r="GC62" s="47"/>
      <c r="GD62" s="47"/>
      <c r="GE62" s="47"/>
      <c r="GF62" s="47"/>
      <c r="GG62" s="47"/>
      <c r="GH62" s="47"/>
      <c r="GI62" s="47"/>
      <c r="GJ62" s="47"/>
      <c r="GK62" s="47"/>
      <c r="GL62" s="47"/>
      <c r="GM62" s="47"/>
      <c r="GN62" s="47"/>
      <c r="GO62" s="47"/>
      <c r="GP62" s="47"/>
      <c r="GQ62" s="47"/>
      <c r="GR62" s="47"/>
      <c r="GS62" s="47"/>
      <c r="GT62" s="47"/>
      <c r="GU62" s="47"/>
      <c r="GV62" s="47"/>
      <c r="GW62" s="47"/>
      <c r="GX62" s="47"/>
      <c r="GY62" s="47"/>
      <c r="GZ62" s="47"/>
      <c r="HA62" s="47"/>
      <c r="HB62" s="47"/>
      <c r="HC62" s="47"/>
      <c r="HD62" s="47"/>
      <c r="HE62" s="47"/>
      <c r="HF62" s="47"/>
      <c r="HG62" s="47"/>
      <c r="HH62" s="47"/>
      <c r="HI62" s="47"/>
      <c r="HJ62" s="47"/>
      <c r="HK62" s="47"/>
      <c r="HL62" s="47"/>
      <c r="HM62" s="47"/>
      <c r="HN62" s="47"/>
      <c r="HO62" s="47"/>
      <c r="HP62" s="47"/>
      <c r="HQ62" s="47"/>
      <c r="HR62" s="47"/>
      <c r="HS62" s="47"/>
      <c r="HT62" s="47"/>
      <c r="HU62" s="47"/>
      <c r="HV62" s="47"/>
      <c r="HW62" s="47"/>
      <c r="HX62" s="47"/>
      <c r="HY62" s="47"/>
      <c r="HZ62" s="47"/>
      <c r="IA62" s="47"/>
      <c r="IB62" s="47"/>
      <c r="IC62" s="47"/>
      <c r="ID62" s="47"/>
      <c r="IE62" s="47"/>
      <c r="IF62" s="47"/>
      <c r="IG62" s="47"/>
      <c r="IH62" s="47"/>
      <c r="II62" s="47"/>
      <c r="IJ62" s="47"/>
      <c r="IK62" s="47"/>
      <c r="IL62" s="47"/>
      <c r="IM62" s="47"/>
      <c r="IN62" s="47"/>
      <c r="IO62" s="47"/>
      <c r="IP62" s="47"/>
      <c r="IQ62" s="47"/>
      <c r="IR62" s="47"/>
      <c r="IS62" s="47"/>
      <c r="IT62" s="47"/>
      <c r="IU62" s="47"/>
      <c r="IV62" s="47"/>
      <c r="IW62" s="47"/>
      <c r="IX62" s="47"/>
      <c r="IY62" s="47"/>
      <c r="IZ62" s="47"/>
      <c r="JA62" s="47"/>
      <c r="JB62" s="47"/>
      <c r="JC62" s="47"/>
      <c r="JD62" s="47"/>
      <c r="JE62" s="47"/>
      <c r="JF62" s="47"/>
      <c r="JG62" s="47"/>
      <c r="JH62" s="47"/>
      <c r="JI62" s="47"/>
      <c r="JJ62" s="47"/>
      <c r="JK62" s="47"/>
      <c r="JL62" s="47"/>
      <c r="JM62" s="47"/>
      <c r="JN62" s="47"/>
      <c r="JO62" s="47"/>
      <c r="JP62" s="47"/>
      <c r="JQ62" s="47"/>
      <c r="JR62" s="47"/>
      <c r="JS62" s="47"/>
      <c r="JT62" s="47"/>
      <c r="JU62" s="47"/>
      <c r="JV62" s="47"/>
      <c r="JW62" s="47"/>
      <c r="JX62" s="47"/>
      <c r="JY62" s="47"/>
      <c r="JZ62" s="47"/>
      <c r="KA62" s="47"/>
      <c r="KB62" s="47"/>
      <c r="KC62" s="47"/>
      <c r="KD62" s="47"/>
      <c r="KE62" s="47"/>
      <c r="KF62" s="47"/>
      <c r="KG62" s="47"/>
      <c r="KH62" s="47"/>
      <c r="KI62" s="47"/>
      <c r="KJ62" s="47"/>
      <c r="KK62" s="47"/>
      <c r="KL62" s="47"/>
      <c r="KM62" s="47"/>
      <c r="KN62" s="47"/>
      <c r="KO62" s="47"/>
      <c r="KP62" s="47"/>
      <c r="KQ62" s="47"/>
      <c r="KR62" s="47"/>
      <c r="KS62" s="47"/>
      <c r="KT62" s="47"/>
      <c r="KU62" s="47"/>
      <c r="KV62" s="47"/>
      <c r="KW62" s="47"/>
      <c r="KX62" s="47"/>
      <c r="KY62" s="47"/>
      <c r="KZ62" s="47"/>
      <c r="LA62" s="47"/>
      <c r="LB62" s="47"/>
      <c r="LC62" s="47"/>
      <c r="LD62" s="47"/>
      <c r="LE62" s="47"/>
      <c r="LF62" s="47"/>
      <c r="LG62" s="47"/>
      <c r="LH62" s="47"/>
      <c r="LI62" s="47"/>
      <c r="LJ62" s="47"/>
      <c r="LK62" s="47"/>
      <c r="LL62" s="47"/>
      <c r="LM62" s="47"/>
      <c r="LN62" s="47"/>
      <c r="LO62" s="47"/>
      <c r="LP62" s="47"/>
      <c r="LQ62" s="47"/>
      <c r="LR62" s="47"/>
      <c r="LS62" s="47"/>
      <c r="LT62" s="47"/>
      <c r="LU62" s="47"/>
      <c r="LV62" s="47"/>
      <c r="LW62" s="47"/>
      <c r="LX62" s="47"/>
      <c r="LY62" s="47"/>
      <c r="LZ62" s="47"/>
      <c r="MA62" s="47"/>
      <c r="MB62" s="47"/>
      <c r="MC62" s="47"/>
      <c r="MD62" s="47"/>
      <c r="ME62" s="47"/>
      <c r="MF62" s="47"/>
      <c r="MG62" s="47"/>
      <c r="MH62" s="47"/>
      <c r="MI62" s="47"/>
      <c r="MJ62" s="47"/>
      <c r="MK62" s="47"/>
      <c r="ML62" s="47"/>
      <c r="MM62" s="47"/>
      <c r="MN62" s="47"/>
      <c r="MO62" s="47"/>
      <c r="MP62" s="47"/>
      <c r="MQ62" s="47"/>
      <c r="MR62" s="47"/>
      <c r="MS62" s="47"/>
      <c r="MT62" s="47"/>
      <c r="MU62" s="47"/>
      <c r="MV62" s="47"/>
      <c r="MW62" s="47"/>
      <c r="MX62" s="47"/>
      <c r="MY62" s="47"/>
      <c r="MZ62" s="47"/>
      <c r="NA62" s="47"/>
      <c r="NB62" s="47"/>
      <c r="NC62" s="47"/>
      <c r="ND62" s="47"/>
      <c r="NE62" s="47"/>
      <c r="NF62" s="47"/>
      <c r="NG62" s="47"/>
      <c r="NH62" s="47"/>
      <c r="NI62" s="47"/>
      <c r="NJ62" s="47"/>
      <c r="NK62" s="47"/>
      <c r="NL62" s="47"/>
      <c r="NM62" s="47"/>
      <c r="NN62" s="47"/>
      <c r="NO62" s="47"/>
      <c r="NP62" s="47"/>
      <c r="NQ62" s="47"/>
      <c r="NR62" s="47"/>
      <c r="NS62" s="47"/>
      <c r="NT62" s="47"/>
      <c r="NU62" s="47"/>
      <c r="NV62" s="47"/>
      <c r="NW62" s="47"/>
      <c r="NX62" s="47"/>
      <c r="NY62" s="47"/>
      <c r="NZ62" s="47"/>
      <c r="OA62" s="47"/>
      <c r="OB62" s="47"/>
      <c r="OC62" s="47"/>
      <c r="OD62" s="47"/>
      <c r="OE62" s="47"/>
      <c r="OF62" s="47"/>
      <c r="OG62" s="47"/>
      <c r="OH62" s="47"/>
      <c r="OI62" s="47"/>
      <c r="OJ62" s="47"/>
      <c r="OK62" s="47"/>
      <c r="OL62" s="47"/>
      <c r="OM62" s="47"/>
      <c r="ON62" s="47"/>
      <c r="OO62" s="47"/>
      <c r="OP62" s="47"/>
      <c r="OQ62" s="47"/>
      <c r="OR62" s="47"/>
      <c r="OS62" s="47"/>
      <c r="OT62" s="47"/>
      <c r="OU62" s="47"/>
      <c r="OV62" s="47"/>
      <c r="OW62" s="47"/>
      <c r="OX62" s="47"/>
      <c r="OY62" s="47"/>
      <c r="OZ62" s="47"/>
      <c r="PA62" s="47"/>
      <c r="PB62" s="47"/>
      <c r="PC62" s="47"/>
      <c r="PD62" s="47"/>
      <c r="PE62" s="47"/>
      <c r="PF62" s="47"/>
      <c r="PG62" s="47"/>
      <c r="PH62" s="47"/>
      <c r="PI62" s="47"/>
      <c r="PJ62" s="47"/>
      <c r="PK62" s="47"/>
      <c r="PL62" s="47"/>
      <c r="PM62" s="47"/>
      <c r="PN62" s="47"/>
      <c r="PO62" s="47"/>
      <c r="PP62" s="47"/>
      <c r="PQ62" s="47"/>
      <c r="PR62" s="47"/>
      <c r="PS62" s="47"/>
      <c r="PT62" s="47"/>
      <c r="PU62" s="47"/>
      <c r="PV62" s="47"/>
      <c r="PW62" s="47"/>
      <c r="PX62" s="47"/>
      <c r="PY62" s="47"/>
      <c r="PZ62" s="47"/>
      <c r="QA62" s="47"/>
      <c r="QB62" s="47"/>
      <c r="QC62" s="47"/>
      <c r="QD62" s="47"/>
      <c r="QE62" s="47"/>
      <c r="QF62" s="47"/>
      <c r="QG62" s="47"/>
      <c r="QH62" s="47"/>
      <c r="QI62" s="47"/>
      <c r="QJ62" s="47"/>
      <c r="QK62" s="47"/>
      <c r="QL62" s="47"/>
      <c r="QM62" s="47"/>
      <c r="QN62" s="47"/>
      <c r="QO62" s="47"/>
      <c r="QP62" s="47"/>
      <c r="QQ62" s="47"/>
      <c r="QR62" s="47"/>
      <c r="QS62" s="47"/>
      <c r="QT62" s="47"/>
      <c r="QU62" s="47"/>
      <c r="QV62" s="47"/>
      <c r="QW62" s="47"/>
      <c r="QX62" s="47"/>
      <c r="QY62" s="47"/>
      <c r="QZ62" s="47"/>
      <c r="RA62" s="47"/>
      <c r="RB62" s="47"/>
      <c r="RC62" s="47"/>
      <c r="RD62" s="47"/>
      <c r="RE62" s="47"/>
      <c r="RF62" s="47"/>
      <c r="RG62" s="47"/>
      <c r="RH62" s="47"/>
      <c r="RI62" s="47"/>
      <c r="RJ62" s="47"/>
      <c r="RK62" s="47"/>
      <c r="RL62" s="47"/>
      <c r="RM62" s="47"/>
      <c r="RN62" s="47"/>
      <c r="RO62" s="47"/>
      <c r="RP62" s="47"/>
      <c r="RQ62" s="47"/>
      <c r="RR62" s="47"/>
      <c r="RS62" s="47"/>
      <c r="RT62" s="47"/>
      <c r="RU62" s="47"/>
      <c r="RV62" s="47"/>
      <c r="RW62" s="47"/>
      <c r="RX62" s="47"/>
      <c r="RY62" s="47"/>
      <c r="RZ62" s="47"/>
      <c r="SA62" s="47"/>
      <c r="SB62" s="47"/>
      <c r="SC62" s="47"/>
      <c r="SD62" s="47"/>
      <c r="SE62" s="47"/>
      <c r="SF62" s="47"/>
      <c r="SG62" s="47"/>
      <c r="SH62" s="47"/>
      <c r="SI62" s="47"/>
      <c r="SJ62" s="47"/>
      <c r="SK62" s="47"/>
      <c r="SL62" s="47"/>
      <c r="SM62" s="47"/>
      <c r="SN62" s="47"/>
      <c r="SO62" s="47"/>
      <c r="SP62" s="47"/>
      <c r="SQ62" s="47"/>
      <c r="SR62" s="47"/>
      <c r="SS62" s="47"/>
      <c r="ST62" s="47"/>
      <c r="SU62" s="47"/>
      <c r="SV62" s="47"/>
      <c r="SW62" s="47"/>
      <c r="SX62" s="47"/>
      <c r="SY62" s="47"/>
      <c r="SZ62" s="47"/>
      <c r="TA62" s="47"/>
      <c r="TB62" s="47"/>
      <c r="TC62" s="47"/>
      <c r="TD62" s="47"/>
      <c r="TE62" s="47"/>
      <c r="TF62" s="47"/>
      <c r="TG62" s="47"/>
      <c r="TH62" s="47"/>
      <c r="TI62" s="47"/>
      <c r="TJ62" s="47"/>
      <c r="TK62" s="47"/>
      <c r="TL62" s="47"/>
      <c r="TM62" s="47"/>
      <c r="TN62" s="47"/>
      <c r="TO62" s="47"/>
      <c r="TP62" s="47"/>
      <c r="TQ62" s="47"/>
      <c r="TR62" s="47"/>
      <c r="TS62" s="47"/>
      <c r="TT62" s="47"/>
      <c r="TU62" s="47"/>
      <c r="TV62" s="47"/>
      <c r="TW62" s="47"/>
      <c r="TX62" s="47"/>
      <c r="TY62" s="47"/>
      <c r="TZ62" s="47"/>
      <c r="UA62" s="47"/>
      <c r="UB62" s="47"/>
      <c r="UC62" s="47"/>
      <c r="UD62" s="47"/>
      <c r="UE62" s="47"/>
      <c r="UF62" s="47"/>
      <c r="UG62" s="47"/>
      <c r="UH62" s="47"/>
      <c r="UI62" s="47"/>
      <c r="UJ62" s="47"/>
      <c r="UK62" s="47"/>
      <c r="UL62" s="47"/>
      <c r="UM62" s="47"/>
      <c r="UN62" s="47"/>
      <c r="UO62" s="47"/>
      <c r="UP62" s="47"/>
      <c r="UQ62" s="47"/>
      <c r="UR62" s="47"/>
      <c r="US62" s="47"/>
      <c r="UT62" s="47"/>
      <c r="UU62" s="47"/>
      <c r="UV62" s="47"/>
      <c r="UW62" s="47"/>
      <c r="UX62" s="47"/>
      <c r="UY62" s="47"/>
      <c r="UZ62" s="47"/>
      <c r="VA62" s="47"/>
      <c r="VB62" s="47"/>
      <c r="VC62" s="47"/>
      <c r="VD62" s="47"/>
      <c r="VE62" s="47"/>
      <c r="VF62" s="47"/>
      <c r="VG62" s="47"/>
      <c r="VH62" s="47"/>
      <c r="VI62" s="47"/>
      <c r="VJ62" s="47"/>
      <c r="VK62" s="47"/>
      <c r="VL62" s="47"/>
      <c r="VM62" s="47"/>
      <c r="VN62" s="47"/>
      <c r="VO62" s="47"/>
      <c r="VP62" s="47"/>
      <c r="VQ62" s="47"/>
      <c r="VR62" s="47"/>
      <c r="VS62" s="47"/>
      <c r="VT62" s="47"/>
      <c r="VU62" s="47"/>
      <c r="VV62" s="47"/>
      <c r="VW62" s="47"/>
      <c r="VX62" s="47"/>
      <c r="VY62" s="47"/>
      <c r="VZ62" s="47"/>
      <c r="WA62" s="47"/>
      <c r="WB62" s="47"/>
      <c r="WC62" s="47"/>
      <c r="WD62" s="47"/>
      <c r="WE62" s="47"/>
      <c r="WF62" s="47"/>
      <c r="WG62" s="47"/>
      <c r="WH62" s="47"/>
      <c r="WI62" s="47"/>
      <c r="WJ62" s="47"/>
      <c r="WK62" s="47"/>
      <c r="WL62" s="47"/>
      <c r="WM62" s="47"/>
      <c r="WN62" s="47"/>
      <c r="WO62" s="47"/>
      <c r="WP62" s="47"/>
      <c r="WQ62" s="47"/>
      <c r="WR62" s="47"/>
      <c r="WS62" s="47"/>
      <c r="WT62" s="47"/>
      <c r="WU62" s="47"/>
      <c r="WV62" s="47"/>
      <c r="WW62" s="47"/>
      <c r="WX62" s="47"/>
      <c r="WY62" s="47"/>
      <c r="WZ62" s="47"/>
      <c r="XA62" s="47"/>
      <c r="XB62" s="47"/>
      <c r="XC62" s="47"/>
      <c r="XD62" s="47"/>
      <c r="XE62" s="47"/>
      <c r="XF62" s="47"/>
      <c r="XG62" s="47"/>
      <c r="XH62" s="47"/>
      <c r="XI62" s="47"/>
      <c r="XJ62" s="47"/>
      <c r="XK62" s="47"/>
      <c r="XL62" s="47"/>
      <c r="XM62" s="47"/>
      <c r="XN62" s="47"/>
      <c r="XO62" s="47"/>
      <c r="XP62" s="47"/>
      <c r="XQ62" s="47"/>
      <c r="XR62" s="47"/>
      <c r="XS62" s="47"/>
      <c r="XT62" s="47"/>
      <c r="XU62" s="47"/>
      <c r="XV62" s="47"/>
      <c r="XW62" s="47"/>
      <c r="XX62" s="47"/>
      <c r="XY62" s="47"/>
      <c r="XZ62" s="47"/>
      <c r="YA62" s="47"/>
      <c r="YB62" s="47"/>
      <c r="YC62" s="47"/>
      <c r="YD62" s="47"/>
      <c r="YE62" s="47"/>
      <c r="YF62" s="47"/>
      <c r="YG62" s="47"/>
      <c r="YH62" s="47"/>
      <c r="YI62" s="47"/>
      <c r="YJ62" s="47"/>
      <c r="YK62" s="47"/>
      <c r="YL62" s="47"/>
      <c r="YM62" s="47"/>
      <c r="YN62" s="47"/>
      <c r="YO62" s="47"/>
      <c r="YP62" s="47"/>
      <c r="YQ62" s="47"/>
      <c r="YR62" s="47"/>
      <c r="YS62" s="47"/>
      <c r="YT62" s="47"/>
      <c r="YU62" s="47"/>
      <c r="YV62" s="47"/>
      <c r="YW62" s="47"/>
      <c r="YX62" s="47"/>
      <c r="YY62" s="47"/>
      <c r="YZ62" s="47"/>
      <c r="ZA62" s="47"/>
      <c r="ZB62" s="47"/>
      <c r="ZC62" s="47"/>
      <c r="ZD62" s="47"/>
      <c r="ZE62" s="47"/>
      <c r="ZF62" s="47"/>
      <c r="ZG62" s="47"/>
      <c r="ZH62" s="47"/>
      <c r="ZI62" s="47"/>
      <c r="ZJ62" s="47"/>
      <c r="ZK62" s="47"/>
      <c r="ZL62" s="47"/>
      <c r="ZM62" s="47"/>
      <c r="ZN62" s="47"/>
      <c r="ZO62" s="47"/>
      <c r="ZP62" s="47"/>
      <c r="ZQ62" s="47"/>
      <c r="ZR62" s="47"/>
      <c r="ZS62" s="47"/>
      <c r="ZT62" s="47"/>
      <c r="ZU62" s="47"/>
      <c r="ZV62" s="47"/>
      <c r="ZW62" s="47"/>
      <c r="ZX62" s="47"/>
      <c r="ZY62" s="47"/>
      <c r="ZZ62" s="47"/>
      <c r="AAA62" s="47"/>
      <c r="AAB62" s="47"/>
      <c r="AAC62" s="47"/>
      <c r="AAD62" s="47"/>
      <c r="AAE62" s="47"/>
      <c r="AAF62" s="47"/>
      <c r="AAG62" s="47"/>
      <c r="AAH62" s="47"/>
      <c r="AAI62" s="47"/>
      <c r="AAJ62" s="47"/>
      <c r="AAK62" s="47"/>
      <c r="AAL62" s="47"/>
      <c r="AAM62" s="47"/>
      <c r="AAN62" s="47"/>
      <c r="AAO62" s="47"/>
      <c r="AAP62" s="47"/>
      <c r="AAQ62" s="47"/>
      <c r="AAR62" s="47"/>
      <c r="AAS62" s="47"/>
      <c r="AAT62" s="47"/>
      <c r="AAU62" s="47"/>
      <c r="AAV62" s="47"/>
      <c r="AAW62" s="47"/>
      <c r="AAX62" s="47"/>
      <c r="AAY62" s="47"/>
      <c r="AAZ62" s="47"/>
      <c r="ABA62" s="47"/>
      <c r="ABB62" s="47"/>
      <c r="ABC62" s="47"/>
      <c r="ABD62" s="47"/>
      <c r="ABE62" s="47"/>
      <c r="ABF62" s="47"/>
      <c r="ABG62" s="47"/>
      <c r="ABH62" s="47"/>
      <c r="ABI62" s="47"/>
      <c r="ABJ62" s="47"/>
      <c r="ABK62" s="47"/>
      <c r="ABL62" s="47"/>
      <c r="ABM62" s="47"/>
      <c r="ABN62" s="47"/>
      <c r="ABO62" s="47"/>
      <c r="ABP62" s="47"/>
      <c r="ABQ62" s="47"/>
      <c r="ABR62" s="47"/>
      <c r="ABS62" s="47"/>
      <c r="ABT62" s="47"/>
      <c r="ABU62" s="47"/>
      <c r="ABV62" s="47"/>
      <c r="ABW62" s="47"/>
      <c r="ABX62" s="47"/>
      <c r="ABY62" s="47"/>
      <c r="ABZ62" s="47"/>
      <c r="ACA62" s="47"/>
      <c r="ACB62" s="47"/>
      <c r="ACC62" s="47"/>
      <c r="ACD62" s="47"/>
      <c r="ACE62" s="47"/>
      <c r="ACF62" s="47"/>
      <c r="ACG62" s="47"/>
      <c r="ACH62" s="47"/>
      <c r="ACI62" s="47"/>
      <c r="ACJ62" s="47"/>
      <c r="ACK62" s="47"/>
      <c r="ACL62" s="47"/>
      <c r="ACM62" s="47"/>
      <c r="ACN62" s="47"/>
      <c r="ACO62" s="47"/>
      <c r="ACP62" s="47"/>
      <c r="ACQ62" s="47"/>
      <c r="ACR62" s="47"/>
      <c r="ACS62" s="47"/>
      <c r="ACT62" s="47"/>
      <c r="ACU62" s="47"/>
      <c r="ACV62" s="47"/>
      <c r="ACW62" s="47"/>
      <c r="ACX62" s="47"/>
      <c r="ACY62" s="47"/>
      <c r="ACZ62" s="47"/>
      <c r="ADA62" s="47"/>
      <c r="ADB62" s="47"/>
      <c r="ADC62" s="47"/>
      <c r="ADD62" s="47"/>
      <c r="ADE62" s="47"/>
      <c r="ADF62" s="47"/>
      <c r="ADG62" s="47"/>
      <c r="ADH62" s="47"/>
      <c r="ADI62" s="47"/>
      <c r="ADJ62" s="47"/>
      <c r="ADK62" s="47"/>
      <c r="ADL62" s="47"/>
      <c r="ADM62" s="47"/>
      <c r="ADN62" s="47"/>
      <c r="ADO62" s="47"/>
      <c r="ADP62" s="47"/>
      <c r="ADQ62" s="47"/>
      <c r="ADR62" s="47"/>
      <c r="ADS62" s="47"/>
      <c r="ADT62" s="47"/>
      <c r="ADU62" s="47"/>
      <c r="ADV62" s="47"/>
      <c r="ADW62" s="47"/>
      <c r="ADX62" s="47"/>
      <c r="ADY62" s="47"/>
      <c r="ADZ62" s="47"/>
      <c r="AEA62" s="47"/>
      <c r="AEB62" s="47"/>
      <c r="AEC62" s="47"/>
      <c r="AED62" s="47"/>
      <c r="AEE62" s="47"/>
      <c r="AEF62" s="47"/>
      <c r="AEG62" s="47"/>
      <c r="AEH62" s="47"/>
      <c r="AEI62" s="47"/>
      <c r="AEJ62" s="47"/>
      <c r="AEK62" s="47"/>
      <c r="AEL62" s="47"/>
      <c r="AEM62" s="47"/>
      <c r="AEN62" s="47"/>
      <c r="AEO62" s="47"/>
      <c r="AEP62" s="47"/>
      <c r="AEQ62" s="47"/>
      <c r="AER62" s="47"/>
      <c r="AES62" s="47"/>
      <c r="AET62" s="47"/>
      <c r="AEU62" s="47"/>
      <c r="AEV62" s="47"/>
      <c r="AEW62" s="47"/>
      <c r="AEX62" s="47"/>
      <c r="AEY62" s="47"/>
      <c r="AEZ62" s="47"/>
      <c r="AFA62" s="47"/>
      <c r="AFB62" s="47"/>
      <c r="AFC62" s="47"/>
      <c r="AFD62" s="47"/>
      <c r="AFE62" s="47"/>
      <c r="AFF62" s="47"/>
      <c r="AFG62" s="47"/>
      <c r="AFH62" s="47"/>
      <c r="AFI62" s="47"/>
      <c r="AFJ62" s="47"/>
      <c r="AFK62" s="47"/>
      <c r="AFL62" s="47"/>
      <c r="AFM62" s="47"/>
      <c r="AFN62" s="47"/>
      <c r="AFO62" s="47"/>
      <c r="AFP62" s="47"/>
      <c r="AFQ62" s="47"/>
      <c r="AFR62" s="47"/>
      <c r="AFS62" s="47"/>
      <c r="AFT62" s="47"/>
      <c r="AFU62" s="47"/>
      <c r="AFV62" s="47"/>
      <c r="AFW62" s="47"/>
      <c r="AFX62" s="47"/>
      <c r="AFY62" s="47"/>
      <c r="AFZ62" s="47"/>
      <c r="AGA62" s="47"/>
      <c r="AGB62" s="47"/>
      <c r="AGC62" s="47"/>
      <c r="AGD62" s="47"/>
      <c r="AGE62" s="47"/>
      <c r="AGF62" s="47"/>
      <c r="AGG62" s="47"/>
      <c r="AGH62" s="47"/>
      <c r="AGI62" s="47"/>
      <c r="AGJ62" s="47"/>
      <c r="AGK62" s="47"/>
      <c r="AGL62" s="47"/>
      <c r="AGM62" s="47"/>
      <c r="AGN62" s="47"/>
      <c r="AGO62" s="47"/>
      <c r="AGP62" s="47"/>
      <c r="AGQ62" s="47"/>
      <c r="AGR62" s="47"/>
      <c r="AGS62" s="47"/>
    </row>
    <row r="63" spans="1:877" ht="13">
      <c r="A63" s="12"/>
      <c r="B63" s="44">
        <v>25</v>
      </c>
      <c r="C63" s="51" t="s">
        <v>25</v>
      </c>
      <c r="D63" s="52"/>
      <c r="E63" s="52"/>
      <c r="F63" s="27"/>
      <c r="G63" s="27">
        <f t="shared" ref="G63:CL63" si="25">G62*$B$15</f>
        <v>0</v>
      </c>
      <c r="H63" s="27">
        <f t="shared" si="25"/>
        <v>0</v>
      </c>
      <c r="I63" s="27">
        <f t="shared" si="25"/>
        <v>0</v>
      </c>
      <c r="J63" s="27">
        <f t="shared" si="25"/>
        <v>0</v>
      </c>
      <c r="K63" s="27">
        <f t="shared" si="25"/>
        <v>0</v>
      </c>
      <c r="L63" s="27">
        <f t="shared" si="25"/>
        <v>0</v>
      </c>
      <c r="M63" s="27">
        <f t="shared" si="25"/>
        <v>0</v>
      </c>
      <c r="N63" s="27">
        <f t="shared" si="25"/>
        <v>0</v>
      </c>
      <c r="O63" s="27">
        <f t="shared" si="25"/>
        <v>0</v>
      </c>
      <c r="P63" s="27">
        <f t="shared" si="25"/>
        <v>0</v>
      </c>
      <c r="Q63" s="27">
        <f t="shared" si="25"/>
        <v>0</v>
      </c>
      <c r="R63" s="27">
        <f t="shared" si="25"/>
        <v>0</v>
      </c>
      <c r="S63" s="27">
        <f t="shared" si="25"/>
        <v>0</v>
      </c>
      <c r="T63" s="27">
        <f t="shared" si="25"/>
        <v>0</v>
      </c>
      <c r="U63" s="27">
        <f t="shared" si="25"/>
        <v>0</v>
      </c>
      <c r="V63" s="27">
        <f t="shared" si="25"/>
        <v>0</v>
      </c>
      <c r="W63" s="27">
        <f t="shared" si="25"/>
        <v>0</v>
      </c>
      <c r="X63" s="27">
        <f t="shared" si="25"/>
        <v>0</v>
      </c>
      <c r="Y63" s="27">
        <f t="shared" si="25"/>
        <v>0</v>
      </c>
      <c r="Z63" s="27">
        <f t="shared" si="25"/>
        <v>0</v>
      </c>
      <c r="AA63" s="27">
        <f t="shared" si="25"/>
        <v>0</v>
      </c>
      <c r="AB63" s="27">
        <f t="shared" si="25"/>
        <v>0</v>
      </c>
      <c r="AC63" s="27">
        <f t="shared" si="25"/>
        <v>0</v>
      </c>
      <c r="AD63" s="27">
        <f t="shared" si="25"/>
        <v>0</v>
      </c>
      <c r="AE63" s="27">
        <f t="shared" si="25"/>
        <v>0</v>
      </c>
      <c r="AF63" s="27">
        <f t="shared" si="25"/>
        <v>0</v>
      </c>
      <c r="AG63" s="27">
        <f t="shared" si="25"/>
        <v>0</v>
      </c>
      <c r="AH63" s="27">
        <f t="shared" si="25"/>
        <v>0</v>
      </c>
      <c r="AI63" s="27">
        <f t="shared" si="25"/>
        <v>0</v>
      </c>
      <c r="AJ63" s="27">
        <f t="shared" si="25"/>
        <v>0</v>
      </c>
      <c r="AK63" s="27">
        <f t="shared" si="25"/>
        <v>0</v>
      </c>
      <c r="AL63" s="27">
        <f t="shared" si="25"/>
        <v>0</v>
      </c>
      <c r="AM63" s="27">
        <f t="shared" si="25"/>
        <v>0</v>
      </c>
      <c r="AN63" s="27">
        <f t="shared" si="25"/>
        <v>0</v>
      </c>
      <c r="AO63" s="27">
        <f t="shared" si="25"/>
        <v>0</v>
      </c>
      <c r="AP63" s="27">
        <f t="shared" si="25"/>
        <v>0</v>
      </c>
      <c r="AQ63" s="27">
        <f t="shared" si="25"/>
        <v>0</v>
      </c>
      <c r="AR63" s="27">
        <f t="shared" si="25"/>
        <v>0</v>
      </c>
      <c r="AS63" s="27">
        <f t="shared" si="25"/>
        <v>0</v>
      </c>
      <c r="AT63" s="27">
        <f t="shared" si="25"/>
        <v>0</v>
      </c>
      <c r="AU63" s="27">
        <f t="shared" si="25"/>
        <v>0</v>
      </c>
      <c r="AV63" s="27">
        <f t="shared" si="25"/>
        <v>0</v>
      </c>
      <c r="AW63" s="27">
        <f t="shared" si="25"/>
        <v>0</v>
      </c>
      <c r="AX63" s="27">
        <f t="shared" si="25"/>
        <v>0</v>
      </c>
      <c r="AY63" s="27">
        <f t="shared" si="25"/>
        <v>0</v>
      </c>
      <c r="AZ63" s="27">
        <f t="shared" si="25"/>
        <v>0</v>
      </c>
      <c r="BA63" s="27">
        <f t="shared" si="25"/>
        <v>0</v>
      </c>
      <c r="BB63" s="27">
        <f t="shared" si="25"/>
        <v>0</v>
      </c>
      <c r="BC63" s="27">
        <f t="shared" si="25"/>
        <v>0</v>
      </c>
      <c r="BD63" s="27">
        <f t="shared" si="25"/>
        <v>0</v>
      </c>
      <c r="BE63" s="27">
        <f t="shared" si="25"/>
        <v>0</v>
      </c>
      <c r="BF63" s="27">
        <f t="shared" si="25"/>
        <v>0</v>
      </c>
      <c r="BG63" s="27">
        <f t="shared" si="25"/>
        <v>0</v>
      </c>
      <c r="BH63" s="27">
        <f t="shared" si="25"/>
        <v>0</v>
      </c>
      <c r="BI63" s="27">
        <f t="shared" si="25"/>
        <v>0</v>
      </c>
      <c r="BJ63" s="27">
        <f t="shared" si="25"/>
        <v>0</v>
      </c>
      <c r="BK63" s="27">
        <f t="shared" si="25"/>
        <v>0</v>
      </c>
      <c r="BL63" s="27">
        <f t="shared" si="25"/>
        <v>0</v>
      </c>
      <c r="BM63" s="27">
        <f t="shared" si="25"/>
        <v>0</v>
      </c>
      <c r="BN63" s="27">
        <f t="shared" si="25"/>
        <v>0</v>
      </c>
      <c r="BO63" s="27">
        <f t="shared" si="25"/>
        <v>5625000</v>
      </c>
      <c r="BP63" s="27">
        <f t="shared" si="25"/>
        <v>5625000</v>
      </c>
      <c r="BQ63" s="27">
        <f t="shared" si="25"/>
        <v>5625000</v>
      </c>
      <c r="BR63" s="27">
        <f t="shared" si="25"/>
        <v>5625000</v>
      </c>
      <c r="BS63" s="27">
        <f t="shared" si="25"/>
        <v>5625000</v>
      </c>
      <c r="BT63" s="27">
        <f t="shared" si="25"/>
        <v>5625000</v>
      </c>
      <c r="BU63" s="27">
        <f t="shared" si="25"/>
        <v>5625000</v>
      </c>
      <c r="BV63" s="27">
        <f t="shared" si="25"/>
        <v>5625000</v>
      </c>
      <c r="BW63" s="27">
        <f t="shared" si="25"/>
        <v>5625000</v>
      </c>
      <c r="BX63" s="27">
        <f t="shared" si="25"/>
        <v>5625000</v>
      </c>
      <c r="BY63" s="27">
        <f t="shared" si="25"/>
        <v>5625000</v>
      </c>
      <c r="BZ63" s="27">
        <f t="shared" si="25"/>
        <v>5625000</v>
      </c>
      <c r="CA63" s="27">
        <f t="shared" si="25"/>
        <v>11250000</v>
      </c>
      <c r="CB63" s="27">
        <f t="shared" si="25"/>
        <v>11250000</v>
      </c>
      <c r="CC63" s="27">
        <f t="shared" si="25"/>
        <v>11250000</v>
      </c>
      <c r="CD63" s="27">
        <f t="shared" si="25"/>
        <v>11250000</v>
      </c>
      <c r="CE63" s="27">
        <f t="shared" si="25"/>
        <v>11250000</v>
      </c>
      <c r="CF63" s="27">
        <f t="shared" si="25"/>
        <v>11250000</v>
      </c>
      <c r="CG63" s="27">
        <f t="shared" si="25"/>
        <v>11250000</v>
      </c>
      <c r="CH63" s="27">
        <f t="shared" si="25"/>
        <v>11250000</v>
      </c>
      <c r="CI63" s="27">
        <f t="shared" si="25"/>
        <v>11250000</v>
      </c>
      <c r="CJ63" s="27">
        <f t="shared" si="25"/>
        <v>11250000</v>
      </c>
      <c r="CK63" s="27">
        <f t="shared" si="25"/>
        <v>11250000</v>
      </c>
      <c r="CL63" s="27">
        <f t="shared" si="25"/>
        <v>11250000</v>
      </c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</row>
    <row r="64" spans="1:877" ht="13">
      <c r="A64" s="12"/>
      <c r="B64" s="53"/>
      <c r="C64" s="49" t="s">
        <v>26</v>
      </c>
      <c r="D64" s="52"/>
      <c r="E64" s="52"/>
      <c r="F64" s="27"/>
      <c r="G64" s="27">
        <f t="shared" ref="G64:CL64" si="26">G62*$B$13</f>
        <v>0</v>
      </c>
      <c r="H64" s="27">
        <f t="shared" si="26"/>
        <v>0</v>
      </c>
      <c r="I64" s="27">
        <f t="shared" si="26"/>
        <v>0</v>
      </c>
      <c r="J64" s="27">
        <f t="shared" si="26"/>
        <v>0</v>
      </c>
      <c r="K64" s="27">
        <f t="shared" si="26"/>
        <v>0</v>
      </c>
      <c r="L64" s="27">
        <f t="shared" si="26"/>
        <v>0</v>
      </c>
      <c r="M64" s="27">
        <f t="shared" si="26"/>
        <v>0</v>
      </c>
      <c r="N64" s="27">
        <f t="shared" si="26"/>
        <v>0</v>
      </c>
      <c r="O64" s="27">
        <f t="shared" si="26"/>
        <v>0</v>
      </c>
      <c r="P64" s="27">
        <f t="shared" si="26"/>
        <v>0</v>
      </c>
      <c r="Q64" s="27">
        <f t="shared" si="26"/>
        <v>0</v>
      </c>
      <c r="R64" s="27">
        <f t="shared" si="26"/>
        <v>0</v>
      </c>
      <c r="S64" s="27">
        <f t="shared" si="26"/>
        <v>0</v>
      </c>
      <c r="T64" s="27">
        <f t="shared" si="26"/>
        <v>0</v>
      </c>
      <c r="U64" s="27">
        <f t="shared" si="26"/>
        <v>0</v>
      </c>
      <c r="V64" s="27">
        <f t="shared" si="26"/>
        <v>0</v>
      </c>
      <c r="W64" s="27">
        <f t="shared" si="26"/>
        <v>0</v>
      </c>
      <c r="X64" s="27">
        <f t="shared" si="26"/>
        <v>0</v>
      </c>
      <c r="Y64" s="27">
        <f t="shared" si="26"/>
        <v>0</v>
      </c>
      <c r="Z64" s="27">
        <f t="shared" si="26"/>
        <v>0</v>
      </c>
      <c r="AA64" s="27">
        <f t="shared" si="26"/>
        <v>0</v>
      </c>
      <c r="AB64" s="27">
        <f t="shared" si="26"/>
        <v>0</v>
      </c>
      <c r="AC64" s="27">
        <f t="shared" si="26"/>
        <v>0</v>
      </c>
      <c r="AD64" s="27">
        <f t="shared" si="26"/>
        <v>0</v>
      </c>
      <c r="AE64" s="27">
        <f t="shared" si="26"/>
        <v>0</v>
      </c>
      <c r="AF64" s="27">
        <f t="shared" si="26"/>
        <v>0</v>
      </c>
      <c r="AG64" s="27">
        <f t="shared" si="26"/>
        <v>0</v>
      </c>
      <c r="AH64" s="27">
        <f t="shared" si="26"/>
        <v>0</v>
      </c>
      <c r="AI64" s="27">
        <f t="shared" si="26"/>
        <v>0</v>
      </c>
      <c r="AJ64" s="27">
        <f t="shared" si="26"/>
        <v>0</v>
      </c>
      <c r="AK64" s="27">
        <f t="shared" si="26"/>
        <v>0</v>
      </c>
      <c r="AL64" s="27">
        <f t="shared" si="26"/>
        <v>0</v>
      </c>
      <c r="AM64" s="27">
        <f t="shared" si="26"/>
        <v>0</v>
      </c>
      <c r="AN64" s="27">
        <f t="shared" si="26"/>
        <v>0</v>
      </c>
      <c r="AO64" s="27">
        <f t="shared" si="26"/>
        <v>0</v>
      </c>
      <c r="AP64" s="27">
        <f t="shared" si="26"/>
        <v>0</v>
      </c>
      <c r="AQ64" s="27">
        <f t="shared" si="26"/>
        <v>0</v>
      </c>
      <c r="AR64" s="27">
        <f t="shared" si="26"/>
        <v>0</v>
      </c>
      <c r="AS64" s="27">
        <f t="shared" si="26"/>
        <v>0</v>
      </c>
      <c r="AT64" s="27">
        <f t="shared" si="26"/>
        <v>0</v>
      </c>
      <c r="AU64" s="27">
        <f t="shared" si="26"/>
        <v>0</v>
      </c>
      <c r="AV64" s="27">
        <f t="shared" si="26"/>
        <v>0</v>
      </c>
      <c r="AW64" s="27">
        <f t="shared" si="26"/>
        <v>0</v>
      </c>
      <c r="AX64" s="27">
        <f t="shared" si="26"/>
        <v>0</v>
      </c>
      <c r="AY64" s="27">
        <f t="shared" si="26"/>
        <v>0</v>
      </c>
      <c r="AZ64" s="27">
        <f t="shared" si="26"/>
        <v>0</v>
      </c>
      <c r="BA64" s="27">
        <f t="shared" si="26"/>
        <v>0</v>
      </c>
      <c r="BB64" s="27">
        <f t="shared" si="26"/>
        <v>0</v>
      </c>
      <c r="BC64" s="27">
        <f t="shared" si="26"/>
        <v>0</v>
      </c>
      <c r="BD64" s="27">
        <f t="shared" si="26"/>
        <v>0</v>
      </c>
      <c r="BE64" s="27">
        <f t="shared" si="26"/>
        <v>0</v>
      </c>
      <c r="BF64" s="27">
        <f t="shared" si="26"/>
        <v>0</v>
      </c>
      <c r="BG64" s="27">
        <f t="shared" si="26"/>
        <v>0</v>
      </c>
      <c r="BH64" s="27">
        <f t="shared" si="26"/>
        <v>0</v>
      </c>
      <c r="BI64" s="27">
        <f t="shared" si="26"/>
        <v>0</v>
      </c>
      <c r="BJ64" s="27">
        <f t="shared" si="26"/>
        <v>0</v>
      </c>
      <c r="BK64" s="27">
        <f t="shared" si="26"/>
        <v>0</v>
      </c>
      <c r="BL64" s="27">
        <f t="shared" si="26"/>
        <v>0</v>
      </c>
      <c r="BM64" s="27">
        <f t="shared" si="26"/>
        <v>0</v>
      </c>
      <c r="BN64" s="27">
        <f t="shared" si="26"/>
        <v>0</v>
      </c>
      <c r="BO64" s="27">
        <f t="shared" si="26"/>
        <v>589470.39473684214</v>
      </c>
      <c r="BP64" s="27">
        <f t="shared" si="26"/>
        <v>589470.39473684214</v>
      </c>
      <c r="BQ64" s="27">
        <f t="shared" si="26"/>
        <v>589470.39473684214</v>
      </c>
      <c r="BR64" s="27">
        <f t="shared" si="26"/>
        <v>589470.39473684214</v>
      </c>
      <c r="BS64" s="27">
        <f t="shared" si="26"/>
        <v>589470.39473684214</v>
      </c>
      <c r="BT64" s="27">
        <f t="shared" si="26"/>
        <v>589470.39473684214</v>
      </c>
      <c r="BU64" s="27">
        <f t="shared" si="26"/>
        <v>589470.39473684214</v>
      </c>
      <c r="BV64" s="27">
        <f t="shared" si="26"/>
        <v>589470.39473684214</v>
      </c>
      <c r="BW64" s="27">
        <f t="shared" si="26"/>
        <v>589470.39473684214</v>
      </c>
      <c r="BX64" s="27">
        <f t="shared" si="26"/>
        <v>589470.39473684214</v>
      </c>
      <c r="BY64" s="27">
        <f t="shared" si="26"/>
        <v>589470.39473684214</v>
      </c>
      <c r="BZ64" s="27">
        <f t="shared" si="26"/>
        <v>589470.39473684214</v>
      </c>
      <c r="CA64" s="27">
        <f t="shared" si="26"/>
        <v>1178940.7894736843</v>
      </c>
      <c r="CB64" s="27">
        <f t="shared" si="26"/>
        <v>1178940.7894736843</v>
      </c>
      <c r="CC64" s="27">
        <f t="shared" si="26"/>
        <v>1178940.7894736843</v>
      </c>
      <c r="CD64" s="27">
        <f t="shared" si="26"/>
        <v>1178940.7894736843</v>
      </c>
      <c r="CE64" s="27">
        <f t="shared" si="26"/>
        <v>1178940.7894736843</v>
      </c>
      <c r="CF64" s="27">
        <f t="shared" si="26"/>
        <v>1178940.7894736843</v>
      </c>
      <c r="CG64" s="27">
        <f t="shared" si="26"/>
        <v>1178940.7894736843</v>
      </c>
      <c r="CH64" s="27">
        <f t="shared" si="26"/>
        <v>1178940.7894736843</v>
      </c>
      <c r="CI64" s="27">
        <f t="shared" si="26"/>
        <v>1178940.7894736843</v>
      </c>
      <c r="CJ64" s="27">
        <f t="shared" si="26"/>
        <v>1178940.7894736843</v>
      </c>
      <c r="CK64" s="27">
        <f t="shared" si="26"/>
        <v>1178940.7894736843</v>
      </c>
      <c r="CL64" s="27">
        <f t="shared" si="26"/>
        <v>1178940.7894736843</v>
      </c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</row>
    <row r="65" spans="1:877" ht="13">
      <c r="A65" s="25"/>
      <c r="B65" s="50"/>
      <c r="C65" s="33" t="s">
        <v>27</v>
      </c>
      <c r="D65" s="34"/>
      <c r="E65" s="34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>
        <f t="shared" ref="BC65:CL65" si="27">BC62*($B$63-$B$61)</f>
        <v>0</v>
      </c>
      <c r="BD65" s="35">
        <f t="shared" si="27"/>
        <v>0</v>
      </c>
      <c r="BE65" s="35">
        <f t="shared" si="27"/>
        <v>0</v>
      </c>
      <c r="BF65" s="35">
        <f t="shared" si="27"/>
        <v>0</v>
      </c>
      <c r="BG65" s="35">
        <f t="shared" si="27"/>
        <v>0</v>
      </c>
      <c r="BH65" s="35">
        <f t="shared" si="27"/>
        <v>0</v>
      </c>
      <c r="BI65" s="35">
        <f t="shared" si="27"/>
        <v>0</v>
      </c>
      <c r="BJ65" s="35">
        <f t="shared" si="27"/>
        <v>0</v>
      </c>
      <c r="BK65" s="35">
        <f t="shared" si="27"/>
        <v>0</v>
      </c>
      <c r="BL65" s="35">
        <f t="shared" si="27"/>
        <v>0</v>
      </c>
      <c r="BM65" s="35">
        <f t="shared" si="27"/>
        <v>0</v>
      </c>
      <c r="BN65" s="35">
        <f t="shared" si="27"/>
        <v>0</v>
      </c>
      <c r="BO65" s="35">
        <f t="shared" si="27"/>
        <v>5035529.6052631577</v>
      </c>
      <c r="BP65" s="35">
        <f t="shared" si="27"/>
        <v>5035529.6052631577</v>
      </c>
      <c r="BQ65" s="35">
        <f t="shared" si="27"/>
        <v>5035529.6052631577</v>
      </c>
      <c r="BR65" s="35">
        <f t="shared" si="27"/>
        <v>5035529.6052631577</v>
      </c>
      <c r="BS65" s="35">
        <f t="shared" si="27"/>
        <v>5035529.6052631577</v>
      </c>
      <c r="BT65" s="35">
        <f t="shared" si="27"/>
        <v>5035529.6052631577</v>
      </c>
      <c r="BU65" s="35">
        <f t="shared" si="27"/>
        <v>5035529.6052631577</v>
      </c>
      <c r="BV65" s="35">
        <f t="shared" si="27"/>
        <v>5035529.6052631577</v>
      </c>
      <c r="BW65" s="35">
        <f t="shared" si="27"/>
        <v>5035529.6052631577</v>
      </c>
      <c r="BX65" s="35">
        <f t="shared" si="27"/>
        <v>5035529.6052631577</v>
      </c>
      <c r="BY65" s="35">
        <f t="shared" si="27"/>
        <v>5035529.6052631577</v>
      </c>
      <c r="BZ65" s="35">
        <f t="shared" si="27"/>
        <v>5035529.6052631577</v>
      </c>
      <c r="CA65" s="35">
        <f t="shared" si="27"/>
        <v>10071059.210526315</v>
      </c>
      <c r="CB65" s="35">
        <f t="shared" si="27"/>
        <v>10071059.210526315</v>
      </c>
      <c r="CC65" s="35">
        <f t="shared" si="27"/>
        <v>10071059.210526315</v>
      </c>
      <c r="CD65" s="35">
        <f t="shared" si="27"/>
        <v>10071059.210526315</v>
      </c>
      <c r="CE65" s="35">
        <f t="shared" si="27"/>
        <v>10071059.210526315</v>
      </c>
      <c r="CF65" s="35">
        <f t="shared" si="27"/>
        <v>10071059.210526315</v>
      </c>
      <c r="CG65" s="35">
        <f t="shared" si="27"/>
        <v>10071059.210526315</v>
      </c>
      <c r="CH65" s="35">
        <f t="shared" si="27"/>
        <v>10071059.210526315</v>
      </c>
      <c r="CI65" s="35">
        <f t="shared" si="27"/>
        <v>10071059.210526315</v>
      </c>
      <c r="CJ65" s="35">
        <f t="shared" si="27"/>
        <v>10071059.210526315</v>
      </c>
      <c r="CK65" s="35">
        <f t="shared" si="27"/>
        <v>10071059.210526315</v>
      </c>
      <c r="CL65" s="35">
        <f t="shared" si="27"/>
        <v>10071059.210526315</v>
      </c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  <c r="KJ65" s="21"/>
      <c r="KK65" s="21"/>
      <c r="KL65" s="21"/>
      <c r="KM65" s="21"/>
      <c r="KN65" s="21"/>
      <c r="KO65" s="21"/>
      <c r="KP65" s="21"/>
      <c r="KQ65" s="21"/>
      <c r="KR65" s="21"/>
      <c r="KS65" s="21"/>
      <c r="KT65" s="21"/>
      <c r="KU65" s="21"/>
      <c r="KV65" s="21"/>
      <c r="KW65" s="21"/>
      <c r="KX65" s="21"/>
      <c r="KY65" s="21"/>
      <c r="KZ65" s="21"/>
      <c r="LA65" s="21"/>
      <c r="LB65" s="21"/>
      <c r="LC65" s="21"/>
      <c r="LD65" s="21"/>
      <c r="LE65" s="21"/>
      <c r="LF65" s="21"/>
      <c r="LG65" s="21"/>
      <c r="LH65" s="21"/>
      <c r="LI65" s="21"/>
      <c r="LJ65" s="21"/>
      <c r="LK65" s="21"/>
      <c r="LL65" s="21"/>
      <c r="LM65" s="21"/>
      <c r="LN65" s="21"/>
      <c r="LO65" s="21"/>
      <c r="LP65" s="21"/>
      <c r="LQ65" s="21"/>
      <c r="LR65" s="21"/>
      <c r="LS65" s="21"/>
      <c r="LT65" s="21"/>
      <c r="LU65" s="21"/>
      <c r="LV65" s="21"/>
      <c r="LW65" s="21"/>
      <c r="LX65" s="21"/>
      <c r="LY65" s="21"/>
      <c r="LZ65" s="21"/>
      <c r="MA65" s="21"/>
      <c r="MB65" s="21"/>
      <c r="MC65" s="21"/>
      <c r="MD65" s="21"/>
      <c r="ME65" s="21"/>
      <c r="MF65" s="21"/>
      <c r="MG65" s="21"/>
      <c r="MH65" s="21"/>
      <c r="MI65" s="21"/>
      <c r="MJ65" s="21"/>
      <c r="MK65" s="21"/>
      <c r="ML65" s="21"/>
      <c r="MM65" s="21"/>
      <c r="MN65" s="21"/>
      <c r="MO65" s="21"/>
      <c r="MP65" s="21"/>
      <c r="MQ65" s="21"/>
      <c r="MR65" s="21"/>
      <c r="MS65" s="21"/>
      <c r="MT65" s="21"/>
      <c r="MU65" s="21"/>
      <c r="MV65" s="21"/>
      <c r="MW65" s="21"/>
      <c r="MX65" s="21"/>
      <c r="MY65" s="21"/>
      <c r="MZ65" s="21"/>
      <c r="NA65" s="21"/>
      <c r="NB65" s="21"/>
      <c r="NC65" s="21"/>
      <c r="ND65" s="21"/>
      <c r="NE65" s="21"/>
      <c r="NF65" s="21"/>
      <c r="NG65" s="21"/>
      <c r="NH65" s="21"/>
      <c r="NI65" s="21"/>
      <c r="NJ65" s="21"/>
      <c r="NK65" s="21"/>
      <c r="NL65" s="21"/>
      <c r="NM65" s="21"/>
      <c r="NN65" s="21"/>
      <c r="NO65" s="21"/>
      <c r="NP65" s="21"/>
      <c r="NQ65" s="21"/>
      <c r="NR65" s="21"/>
      <c r="NS65" s="21"/>
      <c r="NT65" s="21"/>
      <c r="NU65" s="21"/>
      <c r="NV65" s="21"/>
      <c r="NW65" s="21"/>
      <c r="NX65" s="21"/>
      <c r="NY65" s="21"/>
      <c r="NZ65" s="21"/>
      <c r="OA65" s="21"/>
      <c r="OB65" s="21"/>
      <c r="OC65" s="21"/>
      <c r="OD65" s="21"/>
      <c r="OE65" s="21"/>
      <c r="OF65" s="21"/>
      <c r="OG65" s="21"/>
      <c r="OH65" s="21"/>
      <c r="OI65" s="21"/>
      <c r="OJ65" s="21"/>
      <c r="OK65" s="21"/>
      <c r="OL65" s="21"/>
      <c r="OM65" s="21"/>
      <c r="ON65" s="21"/>
      <c r="OO65" s="21"/>
      <c r="OP65" s="21"/>
      <c r="OQ65" s="21"/>
      <c r="OR65" s="21"/>
      <c r="OS65" s="21"/>
      <c r="OT65" s="21"/>
      <c r="OU65" s="21"/>
      <c r="OV65" s="21"/>
      <c r="OW65" s="21"/>
      <c r="OX65" s="21"/>
      <c r="OY65" s="21"/>
      <c r="OZ65" s="21"/>
      <c r="PA65" s="21"/>
      <c r="PB65" s="21"/>
      <c r="PC65" s="21"/>
      <c r="PD65" s="21"/>
      <c r="PE65" s="21"/>
      <c r="PF65" s="21"/>
      <c r="PG65" s="21"/>
      <c r="PH65" s="21"/>
      <c r="PI65" s="21"/>
      <c r="PJ65" s="21"/>
      <c r="PK65" s="21"/>
      <c r="PL65" s="21"/>
      <c r="PM65" s="21"/>
      <c r="PN65" s="21"/>
      <c r="PO65" s="21"/>
      <c r="PP65" s="21"/>
      <c r="PQ65" s="21"/>
      <c r="PR65" s="21"/>
      <c r="PS65" s="21"/>
      <c r="PT65" s="21"/>
      <c r="PU65" s="21"/>
      <c r="PV65" s="21"/>
      <c r="PW65" s="21"/>
      <c r="PX65" s="21"/>
      <c r="PY65" s="21"/>
      <c r="PZ65" s="21"/>
      <c r="QA65" s="21"/>
      <c r="QB65" s="21"/>
      <c r="QC65" s="21"/>
      <c r="QD65" s="21"/>
      <c r="QE65" s="21"/>
      <c r="QF65" s="21"/>
      <c r="QG65" s="21"/>
      <c r="QH65" s="21"/>
      <c r="QI65" s="21"/>
      <c r="QJ65" s="21"/>
      <c r="QK65" s="21"/>
      <c r="QL65" s="21"/>
      <c r="QM65" s="21"/>
      <c r="QN65" s="21"/>
      <c r="QO65" s="21"/>
      <c r="QP65" s="21"/>
      <c r="QQ65" s="21"/>
      <c r="QR65" s="21"/>
      <c r="QS65" s="21"/>
      <c r="QT65" s="21"/>
      <c r="QU65" s="21"/>
      <c r="QV65" s="21"/>
      <c r="QW65" s="21"/>
      <c r="QX65" s="21"/>
      <c r="QY65" s="21"/>
      <c r="QZ65" s="21"/>
      <c r="RA65" s="21"/>
      <c r="RB65" s="21"/>
      <c r="RC65" s="21"/>
      <c r="RD65" s="21"/>
      <c r="RE65" s="21"/>
      <c r="RF65" s="21"/>
      <c r="RG65" s="21"/>
      <c r="RH65" s="21"/>
      <c r="RI65" s="21"/>
      <c r="RJ65" s="21"/>
      <c r="RK65" s="21"/>
      <c r="RL65" s="21"/>
      <c r="RM65" s="21"/>
      <c r="RN65" s="21"/>
      <c r="RO65" s="21"/>
      <c r="RP65" s="21"/>
      <c r="RQ65" s="21"/>
      <c r="RR65" s="21"/>
      <c r="RS65" s="21"/>
      <c r="RT65" s="21"/>
      <c r="RU65" s="21"/>
      <c r="RV65" s="21"/>
      <c r="RW65" s="21"/>
      <c r="RX65" s="21"/>
      <c r="RY65" s="21"/>
      <c r="RZ65" s="21"/>
      <c r="SA65" s="21"/>
      <c r="SB65" s="21"/>
      <c r="SC65" s="21"/>
      <c r="SD65" s="21"/>
      <c r="SE65" s="21"/>
      <c r="SF65" s="21"/>
      <c r="SG65" s="21"/>
      <c r="SH65" s="21"/>
      <c r="SI65" s="21"/>
      <c r="SJ65" s="21"/>
      <c r="SK65" s="21"/>
      <c r="SL65" s="21"/>
      <c r="SM65" s="21"/>
      <c r="SN65" s="21"/>
      <c r="SO65" s="21"/>
      <c r="SP65" s="21"/>
      <c r="SQ65" s="21"/>
      <c r="SR65" s="21"/>
      <c r="SS65" s="21"/>
      <c r="ST65" s="21"/>
      <c r="SU65" s="21"/>
      <c r="SV65" s="21"/>
      <c r="SW65" s="21"/>
      <c r="SX65" s="21"/>
      <c r="SY65" s="21"/>
      <c r="SZ65" s="21"/>
      <c r="TA65" s="21"/>
      <c r="TB65" s="21"/>
      <c r="TC65" s="21"/>
      <c r="TD65" s="21"/>
      <c r="TE65" s="21"/>
      <c r="TF65" s="21"/>
      <c r="TG65" s="21"/>
      <c r="TH65" s="21"/>
      <c r="TI65" s="21"/>
      <c r="TJ65" s="21"/>
      <c r="TK65" s="21"/>
      <c r="TL65" s="21"/>
      <c r="TM65" s="21"/>
      <c r="TN65" s="21"/>
      <c r="TO65" s="21"/>
      <c r="TP65" s="21"/>
      <c r="TQ65" s="21"/>
      <c r="TR65" s="21"/>
      <c r="TS65" s="21"/>
      <c r="TT65" s="21"/>
      <c r="TU65" s="21"/>
      <c r="TV65" s="21"/>
      <c r="TW65" s="21"/>
      <c r="TX65" s="21"/>
      <c r="TY65" s="21"/>
      <c r="TZ65" s="21"/>
      <c r="UA65" s="21"/>
      <c r="UB65" s="21"/>
      <c r="UC65" s="21"/>
      <c r="UD65" s="21"/>
      <c r="UE65" s="21"/>
      <c r="UF65" s="21"/>
      <c r="UG65" s="21"/>
      <c r="UH65" s="21"/>
      <c r="UI65" s="21"/>
      <c r="UJ65" s="21"/>
      <c r="UK65" s="21"/>
      <c r="UL65" s="21"/>
      <c r="UM65" s="21"/>
      <c r="UN65" s="21"/>
      <c r="UO65" s="21"/>
      <c r="UP65" s="21"/>
      <c r="UQ65" s="21"/>
      <c r="UR65" s="21"/>
      <c r="US65" s="21"/>
      <c r="UT65" s="21"/>
      <c r="UU65" s="21"/>
      <c r="UV65" s="21"/>
      <c r="UW65" s="21"/>
      <c r="UX65" s="21"/>
      <c r="UY65" s="21"/>
      <c r="UZ65" s="21"/>
      <c r="VA65" s="21"/>
      <c r="VB65" s="21"/>
      <c r="VC65" s="21"/>
      <c r="VD65" s="21"/>
      <c r="VE65" s="21"/>
      <c r="VF65" s="21"/>
      <c r="VG65" s="21"/>
      <c r="VH65" s="21"/>
      <c r="VI65" s="21"/>
      <c r="VJ65" s="21"/>
      <c r="VK65" s="21"/>
      <c r="VL65" s="21"/>
      <c r="VM65" s="21"/>
      <c r="VN65" s="21"/>
      <c r="VO65" s="21"/>
      <c r="VP65" s="21"/>
      <c r="VQ65" s="21"/>
      <c r="VR65" s="21"/>
      <c r="VS65" s="21"/>
      <c r="VT65" s="21"/>
      <c r="VU65" s="21"/>
      <c r="VV65" s="21"/>
      <c r="VW65" s="21"/>
      <c r="VX65" s="21"/>
      <c r="VY65" s="21"/>
      <c r="VZ65" s="21"/>
      <c r="WA65" s="21"/>
      <c r="WB65" s="21"/>
      <c r="WC65" s="21"/>
      <c r="WD65" s="21"/>
      <c r="WE65" s="21"/>
      <c r="WF65" s="21"/>
      <c r="WG65" s="21"/>
      <c r="WH65" s="21"/>
      <c r="WI65" s="21"/>
      <c r="WJ65" s="21"/>
      <c r="WK65" s="21"/>
      <c r="WL65" s="21"/>
      <c r="WM65" s="21"/>
      <c r="WN65" s="21"/>
      <c r="WO65" s="21"/>
      <c r="WP65" s="21"/>
      <c r="WQ65" s="21"/>
      <c r="WR65" s="21"/>
      <c r="WS65" s="21"/>
      <c r="WT65" s="21"/>
      <c r="WU65" s="21"/>
      <c r="WV65" s="21"/>
      <c r="WW65" s="21"/>
      <c r="WX65" s="21"/>
      <c r="WY65" s="21"/>
      <c r="WZ65" s="21"/>
      <c r="XA65" s="21"/>
      <c r="XB65" s="21"/>
      <c r="XC65" s="21"/>
      <c r="XD65" s="21"/>
      <c r="XE65" s="21"/>
      <c r="XF65" s="21"/>
      <c r="XG65" s="21"/>
      <c r="XH65" s="21"/>
      <c r="XI65" s="21"/>
      <c r="XJ65" s="21"/>
      <c r="XK65" s="21"/>
      <c r="XL65" s="21"/>
      <c r="XM65" s="21"/>
      <c r="XN65" s="21"/>
      <c r="XO65" s="21"/>
      <c r="XP65" s="21"/>
      <c r="XQ65" s="21"/>
      <c r="XR65" s="21"/>
      <c r="XS65" s="21"/>
      <c r="XT65" s="21"/>
      <c r="XU65" s="21"/>
      <c r="XV65" s="21"/>
      <c r="XW65" s="21"/>
      <c r="XX65" s="21"/>
      <c r="XY65" s="21"/>
      <c r="XZ65" s="21"/>
      <c r="YA65" s="21"/>
      <c r="YB65" s="21"/>
      <c r="YC65" s="21"/>
      <c r="YD65" s="21"/>
      <c r="YE65" s="21"/>
      <c r="YF65" s="21"/>
      <c r="YG65" s="21"/>
      <c r="YH65" s="21"/>
      <c r="YI65" s="21"/>
      <c r="YJ65" s="21"/>
      <c r="YK65" s="21"/>
      <c r="YL65" s="21"/>
      <c r="YM65" s="21"/>
      <c r="YN65" s="21"/>
      <c r="YO65" s="21"/>
      <c r="YP65" s="21"/>
      <c r="YQ65" s="21"/>
      <c r="YR65" s="21"/>
      <c r="YS65" s="21"/>
      <c r="YT65" s="21"/>
      <c r="YU65" s="21"/>
      <c r="YV65" s="21"/>
      <c r="YW65" s="21"/>
      <c r="YX65" s="21"/>
      <c r="YY65" s="21"/>
      <c r="YZ65" s="21"/>
      <c r="ZA65" s="21"/>
      <c r="ZB65" s="21"/>
      <c r="ZC65" s="21"/>
      <c r="ZD65" s="21"/>
      <c r="ZE65" s="21"/>
      <c r="ZF65" s="21"/>
      <c r="ZG65" s="21"/>
      <c r="ZH65" s="21"/>
      <c r="ZI65" s="21"/>
      <c r="ZJ65" s="21"/>
      <c r="ZK65" s="21"/>
      <c r="ZL65" s="21"/>
      <c r="ZM65" s="21"/>
      <c r="ZN65" s="21"/>
      <c r="ZO65" s="21"/>
      <c r="ZP65" s="21"/>
      <c r="ZQ65" s="21"/>
      <c r="ZR65" s="21"/>
      <c r="ZS65" s="21"/>
      <c r="ZT65" s="21"/>
      <c r="ZU65" s="21"/>
      <c r="ZV65" s="21"/>
      <c r="ZW65" s="21"/>
      <c r="ZX65" s="21"/>
      <c r="ZY65" s="21"/>
      <c r="ZZ65" s="21"/>
      <c r="AAA65" s="21"/>
      <c r="AAB65" s="21"/>
      <c r="AAC65" s="21"/>
      <c r="AAD65" s="21"/>
      <c r="AAE65" s="21"/>
      <c r="AAF65" s="21"/>
      <c r="AAG65" s="21"/>
      <c r="AAH65" s="21"/>
      <c r="AAI65" s="21"/>
      <c r="AAJ65" s="21"/>
      <c r="AAK65" s="21"/>
      <c r="AAL65" s="21"/>
      <c r="AAM65" s="21"/>
      <c r="AAN65" s="21"/>
      <c r="AAO65" s="21"/>
      <c r="AAP65" s="21"/>
      <c r="AAQ65" s="21"/>
      <c r="AAR65" s="21"/>
      <c r="AAS65" s="21"/>
      <c r="AAT65" s="21"/>
      <c r="AAU65" s="21"/>
      <c r="AAV65" s="21"/>
      <c r="AAW65" s="21"/>
      <c r="AAX65" s="21"/>
      <c r="AAY65" s="21"/>
      <c r="AAZ65" s="21"/>
      <c r="ABA65" s="21"/>
      <c r="ABB65" s="21"/>
      <c r="ABC65" s="21"/>
      <c r="ABD65" s="21"/>
      <c r="ABE65" s="21"/>
      <c r="ABF65" s="21"/>
      <c r="ABG65" s="21"/>
      <c r="ABH65" s="21"/>
      <c r="ABI65" s="21"/>
      <c r="ABJ65" s="21"/>
      <c r="ABK65" s="21"/>
      <c r="ABL65" s="21"/>
      <c r="ABM65" s="21"/>
      <c r="ABN65" s="21"/>
      <c r="ABO65" s="21"/>
      <c r="ABP65" s="21"/>
      <c r="ABQ65" s="21"/>
      <c r="ABR65" s="21"/>
      <c r="ABS65" s="21"/>
      <c r="ABT65" s="21"/>
      <c r="ABU65" s="21"/>
      <c r="ABV65" s="21"/>
      <c r="ABW65" s="21"/>
      <c r="ABX65" s="21"/>
      <c r="ABY65" s="21"/>
      <c r="ABZ65" s="21"/>
      <c r="ACA65" s="21"/>
      <c r="ACB65" s="21"/>
      <c r="ACC65" s="21"/>
      <c r="ACD65" s="21"/>
      <c r="ACE65" s="21"/>
      <c r="ACF65" s="21"/>
      <c r="ACG65" s="21"/>
      <c r="ACH65" s="21"/>
      <c r="ACI65" s="21"/>
      <c r="ACJ65" s="21"/>
      <c r="ACK65" s="21"/>
      <c r="ACL65" s="21"/>
      <c r="ACM65" s="21"/>
      <c r="ACN65" s="21"/>
      <c r="ACO65" s="21"/>
      <c r="ACP65" s="21"/>
      <c r="ACQ65" s="21"/>
      <c r="ACR65" s="21"/>
      <c r="ACS65" s="21"/>
      <c r="ACT65" s="21"/>
      <c r="ACU65" s="21"/>
      <c r="ACV65" s="21"/>
      <c r="ACW65" s="21"/>
      <c r="ACX65" s="21"/>
      <c r="ACY65" s="21"/>
      <c r="ACZ65" s="21"/>
      <c r="ADA65" s="21"/>
      <c r="ADB65" s="21"/>
      <c r="ADC65" s="21"/>
      <c r="ADD65" s="21"/>
      <c r="ADE65" s="21"/>
      <c r="ADF65" s="21"/>
      <c r="ADG65" s="21"/>
      <c r="ADH65" s="21"/>
      <c r="ADI65" s="21"/>
      <c r="ADJ65" s="21"/>
      <c r="ADK65" s="21"/>
      <c r="ADL65" s="21"/>
      <c r="ADM65" s="21"/>
      <c r="ADN65" s="21"/>
      <c r="ADO65" s="21"/>
      <c r="ADP65" s="21"/>
      <c r="ADQ65" s="21"/>
      <c r="ADR65" s="21"/>
      <c r="ADS65" s="21"/>
      <c r="ADT65" s="21"/>
      <c r="ADU65" s="21"/>
      <c r="ADV65" s="21"/>
      <c r="ADW65" s="21"/>
      <c r="ADX65" s="21"/>
      <c r="ADY65" s="21"/>
      <c r="ADZ65" s="21"/>
      <c r="AEA65" s="21"/>
      <c r="AEB65" s="21"/>
      <c r="AEC65" s="21"/>
      <c r="AED65" s="21"/>
      <c r="AEE65" s="21"/>
      <c r="AEF65" s="21"/>
      <c r="AEG65" s="21"/>
      <c r="AEH65" s="21"/>
      <c r="AEI65" s="21"/>
      <c r="AEJ65" s="21"/>
      <c r="AEK65" s="21"/>
      <c r="AEL65" s="21"/>
      <c r="AEM65" s="21"/>
      <c r="AEN65" s="21"/>
      <c r="AEO65" s="21"/>
      <c r="AEP65" s="21"/>
      <c r="AEQ65" s="21"/>
      <c r="AER65" s="21"/>
      <c r="AES65" s="21"/>
      <c r="AET65" s="21"/>
      <c r="AEU65" s="21"/>
      <c r="AEV65" s="21"/>
      <c r="AEW65" s="21"/>
      <c r="AEX65" s="21"/>
      <c r="AEY65" s="21"/>
      <c r="AEZ65" s="21"/>
      <c r="AFA65" s="21"/>
      <c r="AFB65" s="21"/>
      <c r="AFC65" s="21"/>
      <c r="AFD65" s="21"/>
      <c r="AFE65" s="21"/>
      <c r="AFF65" s="21"/>
      <c r="AFG65" s="21"/>
      <c r="AFH65" s="21"/>
      <c r="AFI65" s="21"/>
      <c r="AFJ65" s="21"/>
      <c r="AFK65" s="21"/>
      <c r="AFL65" s="21"/>
      <c r="AFM65" s="21"/>
      <c r="AFN65" s="21"/>
      <c r="AFO65" s="21"/>
      <c r="AFP65" s="21"/>
      <c r="AFQ65" s="21"/>
      <c r="AFR65" s="21"/>
      <c r="AFS65" s="21"/>
      <c r="AFT65" s="21"/>
      <c r="AFU65" s="21"/>
      <c r="AFV65" s="21"/>
      <c r="AFW65" s="21"/>
      <c r="AFX65" s="21"/>
      <c r="AFY65" s="21"/>
      <c r="AFZ65" s="21"/>
      <c r="AGA65" s="21"/>
      <c r="AGB65" s="21"/>
      <c r="AGC65" s="21"/>
      <c r="AGD65" s="21"/>
      <c r="AGE65" s="21"/>
      <c r="AGF65" s="21"/>
      <c r="AGG65" s="21"/>
      <c r="AGH65" s="21"/>
      <c r="AGI65" s="21"/>
      <c r="AGJ65" s="21"/>
      <c r="AGK65" s="21"/>
      <c r="AGL65" s="21"/>
      <c r="AGM65" s="21"/>
      <c r="AGN65" s="21"/>
      <c r="AGO65" s="21"/>
      <c r="AGP65" s="21"/>
      <c r="AGQ65" s="21"/>
      <c r="AGR65" s="21"/>
      <c r="AGS65" s="21"/>
    </row>
    <row r="66" spans="1:877" ht="13">
      <c r="A66" s="21"/>
      <c r="B66" s="21"/>
      <c r="C66" s="26"/>
      <c r="D66" s="21"/>
      <c r="E66" s="21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  <c r="KJ66" s="21"/>
      <c r="KK66" s="21"/>
      <c r="KL66" s="21"/>
      <c r="KM66" s="21"/>
      <c r="KN66" s="21"/>
      <c r="KO66" s="21"/>
      <c r="KP66" s="21"/>
      <c r="KQ66" s="21"/>
      <c r="KR66" s="21"/>
      <c r="KS66" s="21"/>
      <c r="KT66" s="21"/>
      <c r="KU66" s="21"/>
      <c r="KV66" s="21"/>
      <c r="KW66" s="21"/>
      <c r="KX66" s="21"/>
      <c r="KY66" s="21"/>
      <c r="KZ66" s="21"/>
      <c r="LA66" s="21"/>
      <c r="LB66" s="21"/>
      <c r="LC66" s="21"/>
      <c r="LD66" s="21"/>
      <c r="LE66" s="21"/>
      <c r="LF66" s="21"/>
      <c r="LG66" s="21"/>
      <c r="LH66" s="21"/>
      <c r="LI66" s="21"/>
      <c r="LJ66" s="21"/>
      <c r="LK66" s="21"/>
      <c r="LL66" s="21"/>
      <c r="LM66" s="21"/>
      <c r="LN66" s="21"/>
      <c r="LO66" s="21"/>
      <c r="LP66" s="21"/>
      <c r="LQ66" s="21"/>
      <c r="LR66" s="21"/>
      <c r="LS66" s="21"/>
      <c r="LT66" s="21"/>
      <c r="LU66" s="21"/>
      <c r="LV66" s="21"/>
      <c r="LW66" s="21"/>
      <c r="LX66" s="21"/>
      <c r="LY66" s="21"/>
      <c r="LZ66" s="21"/>
      <c r="MA66" s="21"/>
      <c r="MB66" s="21"/>
      <c r="MC66" s="21"/>
      <c r="MD66" s="21"/>
      <c r="ME66" s="21"/>
      <c r="MF66" s="21"/>
      <c r="MG66" s="21"/>
      <c r="MH66" s="21"/>
      <c r="MI66" s="21"/>
      <c r="MJ66" s="21"/>
      <c r="MK66" s="21"/>
      <c r="ML66" s="21"/>
      <c r="MM66" s="21"/>
      <c r="MN66" s="21"/>
      <c r="MO66" s="21"/>
      <c r="MP66" s="21"/>
      <c r="MQ66" s="21"/>
      <c r="MR66" s="21"/>
      <c r="MS66" s="21"/>
      <c r="MT66" s="21"/>
      <c r="MU66" s="21"/>
      <c r="MV66" s="21"/>
      <c r="MW66" s="21"/>
      <c r="MX66" s="21"/>
      <c r="MY66" s="21"/>
      <c r="MZ66" s="21"/>
      <c r="NA66" s="21"/>
      <c r="NB66" s="21"/>
      <c r="NC66" s="21"/>
      <c r="ND66" s="21"/>
      <c r="NE66" s="21"/>
      <c r="NF66" s="21"/>
      <c r="NG66" s="21"/>
      <c r="NH66" s="21"/>
      <c r="NI66" s="21"/>
      <c r="NJ66" s="21"/>
      <c r="NK66" s="21"/>
      <c r="NL66" s="21"/>
      <c r="NM66" s="21"/>
      <c r="NN66" s="21"/>
      <c r="NO66" s="21"/>
      <c r="NP66" s="21"/>
      <c r="NQ66" s="21"/>
      <c r="NR66" s="21"/>
      <c r="NS66" s="21"/>
      <c r="NT66" s="21"/>
      <c r="NU66" s="21"/>
      <c r="NV66" s="21"/>
      <c r="NW66" s="21"/>
      <c r="NX66" s="21"/>
      <c r="NY66" s="21"/>
      <c r="NZ66" s="21"/>
      <c r="OA66" s="21"/>
      <c r="OB66" s="21"/>
      <c r="OC66" s="21"/>
      <c r="OD66" s="21"/>
      <c r="OE66" s="21"/>
      <c r="OF66" s="21"/>
      <c r="OG66" s="21"/>
      <c r="OH66" s="21"/>
      <c r="OI66" s="21"/>
      <c r="OJ66" s="21"/>
      <c r="OK66" s="21"/>
      <c r="OL66" s="21"/>
      <c r="OM66" s="21"/>
      <c r="ON66" s="21"/>
      <c r="OO66" s="21"/>
      <c r="OP66" s="21"/>
      <c r="OQ66" s="21"/>
      <c r="OR66" s="21"/>
      <c r="OS66" s="21"/>
      <c r="OT66" s="21"/>
      <c r="OU66" s="21"/>
      <c r="OV66" s="21"/>
      <c r="OW66" s="21"/>
      <c r="OX66" s="21"/>
      <c r="OY66" s="21"/>
      <c r="OZ66" s="21"/>
      <c r="PA66" s="21"/>
      <c r="PB66" s="21"/>
      <c r="PC66" s="21"/>
      <c r="PD66" s="21"/>
      <c r="PE66" s="21"/>
      <c r="PF66" s="21"/>
      <c r="PG66" s="21"/>
      <c r="PH66" s="21"/>
      <c r="PI66" s="21"/>
      <c r="PJ66" s="21"/>
      <c r="PK66" s="21"/>
      <c r="PL66" s="21"/>
      <c r="PM66" s="21"/>
      <c r="PN66" s="21"/>
      <c r="PO66" s="21"/>
      <c r="PP66" s="21"/>
      <c r="PQ66" s="21"/>
      <c r="PR66" s="21"/>
      <c r="PS66" s="21"/>
      <c r="PT66" s="21"/>
      <c r="PU66" s="21"/>
      <c r="PV66" s="21"/>
      <c r="PW66" s="21"/>
      <c r="PX66" s="21"/>
      <c r="PY66" s="21"/>
      <c r="PZ66" s="21"/>
      <c r="QA66" s="21"/>
      <c r="QB66" s="21"/>
      <c r="QC66" s="21"/>
      <c r="QD66" s="21"/>
      <c r="QE66" s="21"/>
      <c r="QF66" s="21"/>
      <c r="QG66" s="21"/>
      <c r="QH66" s="21"/>
      <c r="QI66" s="21"/>
      <c r="QJ66" s="21"/>
      <c r="QK66" s="21"/>
      <c r="QL66" s="21"/>
      <c r="QM66" s="21"/>
      <c r="QN66" s="21"/>
      <c r="QO66" s="21"/>
      <c r="QP66" s="21"/>
      <c r="QQ66" s="21"/>
      <c r="QR66" s="21"/>
      <c r="QS66" s="21"/>
      <c r="QT66" s="21"/>
      <c r="QU66" s="21"/>
      <c r="QV66" s="21"/>
      <c r="QW66" s="21"/>
      <c r="QX66" s="21"/>
      <c r="QY66" s="21"/>
      <c r="QZ66" s="21"/>
      <c r="RA66" s="21"/>
      <c r="RB66" s="21"/>
      <c r="RC66" s="21"/>
      <c r="RD66" s="21"/>
      <c r="RE66" s="21"/>
      <c r="RF66" s="21"/>
      <c r="RG66" s="21"/>
      <c r="RH66" s="21"/>
      <c r="RI66" s="21"/>
      <c r="RJ66" s="21"/>
      <c r="RK66" s="21"/>
      <c r="RL66" s="21"/>
      <c r="RM66" s="21"/>
      <c r="RN66" s="21"/>
      <c r="RO66" s="21"/>
      <c r="RP66" s="21"/>
      <c r="RQ66" s="21"/>
      <c r="RR66" s="21"/>
      <c r="RS66" s="21"/>
      <c r="RT66" s="21"/>
      <c r="RU66" s="21"/>
      <c r="RV66" s="21"/>
      <c r="RW66" s="21"/>
      <c r="RX66" s="21"/>
      <c r="RY66" s="21"/>
      <c r="RZ66" s="21"/>
      <c r="SA66" s="21"/>
      <c r="SB66" s="21"/>
      <c r="SC66" s="21"/>
      <c r="SD66" s="21"/>
      <c r="SE66" s="21"/>
      <c r="SF66" s="21"/>
      <c r="SG66" s="21"/>
      <c r="SH66" s="21"/>
      <c r="SI66" s="21"/>
      <c r="SJ66" s="21"/>
      <c r="SK66" s="21"/>
      <c r="SL66" s="21"/>
      <c r="SM66" s="21"/>
      <c r="SN66" s="21"/>
      <c r="SO66" s="21"/>
      <c r="SP66" s="21"/>
      <c r="SQ66" s="21"/>
      <c r="SR66" s="21"/>
      <c r="SS66" s="21"/>
      <c r="ST66" s="21"/>
      <c r="SU66" s="21"/>
      <c r="SV66" s="21"/>
      <c r="SW66" s="21"/>
      <c r="SX66" s="21"/>
      <c r="SY66" s="21"/>
      <c r="SZ66" s="21"/>
      <c r="TA66" s="21"/>
      <c r="TB66" s="21"/>
      <c r="TC66" s="21"/>
      <c r="TD66" s="21"/>
      <c r="TE66" s="21"/>
      <c r="TF66" s="21"/>
      <c r="TG66" s="21"/>
      <c r="TH66" s="21"/>
      <c r="TI66" s="21"/>
      <c r="TJ66" s="21"/>
      <c r="TK66" s="21"/>
      <c r="TL66" s="21"/>
      <c r="TM66" s="21"/>
      <c r="TN66" s="21"/>
      <c r="TO66" s="21"/>
      <c r="TP66" s="21"/>
      <c r="TQ66" s="21"/>
      <c r="TR66" s="21"/>
      <c r="TS66" s="21"/>
      <c r="TT66" s="21"/>
      <c r="TU66" s="21"/>
      <c r="TV66" s="21"/>
      <c r="TW66" s="21"/>
      <c r="TX66" s="21"/>
      <c r="TY66" s="21"/>
      <c r="TZ66" s="21"/>
      <c r="UA66" s="21"/>
      <c r="UB66" s="21"/>
      <c r="UC66" s="21"/>
      <c r="UD66" s="21"/>
      <c r="UE66" s="21"/>
      <c r="UF66" s="21"/>
      <c r="UG66" s="21"/>
      <c r="UH66" s="21"/>
      <c r="UI66" s="21"/>
      <c r="UJ66" s="21"/>
      <c r="UK66" s="21"/>
      <c r="UL66" s="21"/>
      <c r="UM66" s="21"/>
      <c r="UN66" s="21"/>
      <c r="UO66" s="21"/>
      <c r="UP66" s="21"/>
      <c r="UQ66" s="21"/>
      <c r="UR66" s="21"/>
      <c r="US66" s="21"/>
      <c r="UT66" s="21"/>
      <c r="UU66" s="21"/>
      <c r="UV66" s="21"/>
      <c r="UW66" s="21"/>
      <c r="UX66" s="21"/>
      <c r="UY66" s="21"/>
      <c r="UZ66" s="21"/>
      <c r="VA66" s="21"/>
      <c r="VB66" s="21"/>
      <c r="VC66" s="21"/>
      <c r="VD66" s="21"/>
      <c r="VE66" s="21"/>
      <c r="VF66" s="21"/>
      <c r="VG66" s="21"/>
      <c r="VH66" s="21"/>
      <c r="VI66" s="21"/>
      <c r="VJ66" s="21"/>
      <c r="VK66" s="21"/>
      <c r="VL66" s="21"/>
      <c r="VM66" s="21"/>
      <c r="VN66" s="21"/>
      <c r="VO66" s="21"/>
      <c r="VP66" s="21"/>
      <c r="VQ66" s="21"/>
      <c r="VR66" s="21"/>
      <c r="VS66" s="21"/>
      <c r="VT66" s="21"/>
      <c r="VU66" s="21"/>
      <c r="VV66" s="21"/>
      <c r="VW66" s="21"/>
      <c r="VX66" s="21"/>
      <c r="VY66" s="21"/>
      <c r="VZ66" s="21"/>
      <c r="WA66" s="21"/>
      <c r="WB66" s="21"/>
      <c r="WC66" s="21"/>
      <c r="WD66" s="21"/>
      <c r="WE66" s="21"/>
      <c r="WF66" s="21"/>
      <c r="WG66" s="21"/>
      <c r="WH66" s="21"/>
      <c r="WI66" s="21"/>
      <c r="WJ66" s="21"/>
      <c r="WK66" s="21"/>
      <c r="WL66" s="21"/>
      <c r="WM66" s="21"/>
      <c r="WN66" s="21"/>
      <c r="WO66" s="21"/>
      <c r="WP66" s="21"/>
      <c r="WQ66" s="21"/>
      <c r="WR66" s="21"/>
      <c r="WS66" s="21"/>
      <c r="WT66" s="21"/>
      <c r="WU66" s="21"/>
      <c r="WV66" s="21"/>
      <c r="WW66" s="21"/>
      <c r="WX66" s="21"/>
      <c r="WY66" s="21"/>
      <c r="WZ66" s="21"/>
      <c r="XA66" s="21"/>
      <c r="XB66" s="21"/>
      <c r="XC66" s="21"/>
      <c r="XD66" s="21"/>
      <c r="XE66" s="21"/>
      <c r="XF66" s="21"/>
      <c r="XG66" s="21"/>
      <c r="XH66" s="21"/>
      <c r="XI66" s="21"/>
      <c r="XJ66" s="21"/>
      <c r="XK66" s="21"/>
      <c r="XL66" s="21"/>
      <c r="XM66" s="21"/>
      <c r="XN66" s="21"/>
      <c r="XO66" s="21"/>
      <c r="XP66" s="21"/>
      <c r="XQ66" s="21"/>
      <c r="XR66" s="21"/>
      <c r="XS66" s="21"/>
      <c r="XT66" s="21"/>
      <c r="XU66" s="21"/>
      <c r="XV66" s="21"/>
      <c r="XW66" s="21"/>
      <c r="XX66" s="21"/>
      <c r="XY66" s="21"/>
      <c r="XZ66" s="21"/>
      <c r="YA66" s="21"/>
      <c r="YB66" s="21"/>
      <c r="YC66" s="21"/>
      <c r="YD66" s="21"/>
      <c r="YE66" s="21"/>
      <c r="YF66" s="21"/>
      <c r="YG66" s="21"/>
      <c r="YH66" s="21"/>
      <c r="YI66" s="21"/>
      <c r="YJ66" s="21"/>
      <c r="YK66" s="21"/>
      <c r="YL66" s="21"/>
      <c r="YM66" s="21"/>
      <c r="YN66" s="21"/>
      <c r="YO66" s="21"/>
      <c r="YP66" s="21"/>
      <c r="YQ66" s="21"/>
      <c r="YR66" s="21"/>
      <c r="YS66" s="21"/>
      <c r="YT66" s="21"/>
      <c r="YU66" s="21"/>
      <c r="YV66" s="21"/>
      <c r="YW66" s="21"/>
      <c r="YX66" s="21"/>
      <c r="YY66" s="21"/>
      <c r="YZ66" s="21"/>
      <c r="ZA66" s="21"/>
      <c r="ZB66" s="21"/>
      <c r="ZC66" s="21"/>
      <c r="ZD66" s="21"/>
      <c r="ZE66" s="21"/>
      <c r="ZF66" s="21"/>
      <c r="ZG66" s="21"/>
      <c r="ZH66" s="21"/>
      <c r="ZI66" s="21"/>
      <c r="ZJ66" s="21"/>
      <c r="ZK66" s="21"/>
      <c r="ZL66" s="21"/>
      <c r="ZM66" s="21"/>
      <c r="ZN66" s="21"/>
      <c r="ZO66" s="21"/>
      <c r="ZP66" s="21"/>
      <c r="ZQ66" s="21"/>
      <c r="ZR66" s="21"/>
      <c r="ZS66" s="21"/>
      <c r="ZT66" s="21"/>
      <c r="ZU66" s="21"/>
      <c r="ZV66" s="21"/>
      <c r="ZW66" s="21"/>
      <c r="ZX66" s="21"/>
      <c r="ZY66" s="21"/>
      <c r="ZZ66" s="21"/>
      <c r="AAA66" s="21"/>
      <c r="AAB66" s="21"/>
      <c r="AAC66" s="21"/>
      <c r="AAD66" s="21"/>
      <c r="AAE66" s="21"/>
      <c r="AAF66" s="21"/>
      <c r="AAG66" s="21"/>
      <c r="AAH66" s="21"/>
      <c r="AAI66" s="21"/>
      <c r="AAJ66" s="21"/>
      <c r="AAK66" s="21"/>
      <c r="AAL66" s="21"/>
      <c r="AAM66" s="21"/>
      <c r="AAN66" s="21"/>
      <c r="AAO66" s="21"/>
      <c r="AAP66" s="21"/>
      <c r="AAQ66" s="21"/>
      <c r="AAR66" s="21"/>
      <c r="AAS66" s="21"/>
      <c r="AAT66" s="21"/>
      <c r="AAU66" s="21"/>
      <c r="AAV66" s="21"/>
      <c r="AAW66" s="21"/>
      <c r="AAX66" s="21"/>
      <c r="AAY66" s="21"/>
      <c r="AAZ66" s="21"/>
      <c r="ABA66" s="21"/>
      <c r="ABB66" s="21"/>
      <c r="ABC66" s="21"/>
      <c r="ABD66" s="21"/>
      <c r="ABE66" s="21"/>
      <c r="ABF66" s="21"/>
      <c r="ABG66" s="21"/>
      <c r="ABH66" s="21"/>
      <c r="ABI66" s="21"/>
      <c r="ABJ66" s="21"/>
      <c r="ABK66" s="21"/>
      <c r="ABL66" s="21"/>
      <c r="ABM66" s="21"/>
      <c r="ABN66" s="21"/>
      <c r="ABO66" s="21"/>
      <c r="ABP66" s="21"/>
      <c r="ABQ66" s="21"/>
      <c r="ABR66" s="21"/>
      <c r="ABS66" s="21"/>
      <c r="ABT66" s="21"/>
      <c r="ABU66" s="21"/>
      <c r="ABV66" s="21"/>
      <c r="ABW66" s="21"/>
      <c r="ABX66" s="21"/>
      <c r="ABY66" s="21"/>
      <c r="ABZ66" s="21"/>
      <c r="ACA66" s="21"/>
      <c r="ACB66" s="21"/>
      <c r="ACC66" s="21"/>
      <c r="ACD66" s="21"/>
      <c r="ACE66" s="21"/>
      <c r="ACF66" s="21"/>
      <c r="ACG66" s="21"/>
      <c r="ACH66" s="21"/>
      <c r="ACI66" s="21"/>
      <c r="ACJ66" s="21"/>
      <c r="ACK66" s="21"/>
      <c r="ACL66" s="21"/>
      <c r="ACM66" s="21"/>
      <c r="ACN66" s="21"/>
      <c r="ACO66" s="21"/>
      <c r="ACP66" s="21"/>
      <c r="ACQ66" s="21"/>
      <c r="ACR66" s="21"/>
      <c r="ACS66" s="21"/>
      <c r="ACT66" s="21"/>
      <c r="ACU66" s="21"/>
      <c r="ACV66" s="21"/>
      <c r="ACW66" s="21"/>
      <c r="ACX66" s="21"/>
      <c r="ACY66" s="21"/>
      <c r="ACZ66" s="21"/>
      <c r="ADA66" s="21"/>
      <c r="ADB66" s="21"/>
      <c r="ADC66" s="21"/>
      <c r="ADD66" s="21"/>
      <c r="ADE66" s="21"/>
      <c r="ADF66" s="21"/>
      <c r="ADG66" s="21"/>
      <c r="ADH66" s="21"/>
      <c r="ADI66" s="21"/>
      <c r="ADJ66" s="21"/>
      <c r="ADK66" s="21"/>
      <c r="ADL66" s="21"/>
      <c r="ADM66" s="21"/>
      <c r="ADN66" s="21"/>
      <c r="ADO66" s="21"/>
      <c r="ADP66" s="21"/>
      <c r="ADQ66" s="21"/>
      <c r="ADR66" s="21"/>
      <c r="ADS66" s="21"/>
      <c r="ADT66" s="21"/>
      <c r="ADU66" s="21"/>
      <c r="ADV66" s="21"/>
      <c r="ADW66" s="21"/>
      <c r="ADX66" s="21"/>
      <c r="ADY66" s="21"/>
      <c r="ADZ66" s="21"/>
      <c r="AEA66" s="21"/>
      <c r="AEB66" s="21"/>
      <c r="AEC66" s="21"/>
      <c r="AED66" s="21"/>
      <c r="AEE66" s="21"/>
      <c r="AEF66" s="21"/>
      <c r="AEG66" s="21"/>
      <c r="AEH66" s="21"/>
      <c r="AEI66" s="21"/>
      <c r="AEJ66" s="21"/>
      <c r="AEK66" s="21"/>
      <c r="AEL66" s="21"/>
      <c r="AEM66" s="21"/>
      <c r="AEN66" s="21"/>
      <c r="AEO66" s="21"/>
      <c r="AEP66" s="21"/>
      <c r="AEQ66" s="21"/>
      <c r="AER66" s="21"/>
      <c r="AES66" s="21"/>
      <c r="AET66" s="21"/>
      <c r="AEU66" s="21"/>
      <c r="AEV66" s="21"/>
      <c r="AEW66" s="21"/>
      <c r="AEX66" s="21"/>
      <c r="AEY66" s="21"/>
      <c r="AEZ66" s="21"/>
      <c r="AFA66" s="21"/>
      <c r="AFB66" s="21"/>
      <c r="AFC66" s="21"/>
      <c r="AFD66" s="21"/>
      <c r="AFE66" s="21"/>
      <c r="AFF66" s="21"/>
      <c r="AFG66" s="21"/>
      <c r="AFH66" s="21"/>
      <c r="AFI66" s="21"/>
      <c r="AFJ66" s="21"/>
      <c r="AFK66" s="21"/>
      <c r="AFL66" s="21"/>
      <c r="AFM66" s="21"/>
      <c r="AFN66" s="21"/>
      <c r="AFO66" s="21"/>
      <c r="AFP66" s="21"/>
      <c r="AFQ66" s="21"/>
      <c r="AFR66" s="21"/>
      <c r="AFS66" s="21"/>
      <c r="AFT66" s="21"/>
      <c r="AFU66" s="21"/>
      <c r="AFV66" s="21"/>
      <c r="AFW66" s="21"/>
      <c r="AFX66" s="21"/>
      <c r="AFY66" s="21"/>
      <c r="AFZ66" s="21"/>
      <c r="AGA66" s="21"/>
      <c r="AGB66" s="21"/>
      <c r="AGC66" s="21"/>
      <c r="AGD66" s="21"/>
      <c r="AGE66" s="21"/>
      <c r="AGF66" s="21"/>
      <c r="AGG66" s="21"/>
      <c r="AGH66" s="21"/>
      <c r="AGI66" s="21"/>
      <c r="AGJ66" s="21"/>
      <c r="AGK66" s="21"/>
      <c r="AGL66" s="21"/>
      <c r="AGM66" s="21"/>
      <c r="AGN66" s="21"/>
      <c r="AGO66" s="21"/>
      <c r="AGP66" s="21"/>
      <c r="AGQ66" s="21"/>
      <c r="AGR66" s="21"/>
      <c r="AGS66" s="21"/>
    </row>
    <row r="67" spans="1:877" ht="13">
      <c r="A67" s="12"/>
      <c r="B67" s="17" t="s">
        <v>34</v>
      </c>
      <c r="C67" s="54">
        <v>0.27</v>
      </c>
      <c r="D67" s="12"/>
      <c r="E67" s="12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/>
      <c r="KW67" s="21"/>
      <c r="KX67" s="21"/>
      <c r="KY67" s="21"/>
      <c r="KZ67" s="21"/>
      <c r="LA67" s="21"/>
      <c r="LB67" s="21"/>
      <c r="LC67" s="21"/>
      <c r="LD67" s="21"/>
      <c r="LE67" s="21"/>
      <c r="LF67" s="21"/>
      <c r="LG67" s="21"/>
      <c r="LH67" s="21"/>
      <c r="LI67" s="21"/>
      <c r="LJ67" s="21"/>
      <c r="LK67" s="21"/>
      <c r="LL67" s="21"/>
      <c r="LM67" s="21"/>
      <c r="LN67" s="21"/>
      <c r="LO67" s="21"/>
      <c r="LP67" s="21"/>
      <c r="LQ67" s="21"/>
      <c r="LR67" s="21"/>
      <c r="LS67" s="21"/>
      <c r="LT67" s="21"/>
      <c r="LU67" s="21"/>
      <c r="LV67" s="21"/>
      <c r="LW67" s="21"/>
      <c r="LX67" s="21"/>
      <c r="LY67" s="21"/>
      <c r="LZ67" s="21"/>
      <c r="MA67" s="21"/>
      <c r="MB67" s="21"/>
      <c r="MC67" s="21"/>
      <c r="MD67" s="21"/>
      <c r="ME67" s="21"/>
      <c r="MF67" s="21"/>
      <c r="MG67" s="21"/>
      <c r="MH67" s="21"/>
      <c r="MI67" s="21"/>
      <c r="MJ67" s="21"/>
      <c r="MK67" s="21"/>
      <c r="ML67" s="21"/>
      <c r="MM67" s="21"/>
      <c r="MN67" s="21"/>
      <c r="MO67" s="21"/>
      <c r="MP67" s="21"/>
      <c r="MQ67" s="21"/>
      <c r="MR67" s="21"/>
      <c r="MS67" s="21"/>
      <c r="MT67" s="21"/>
      <c r="MU67" s="21"/>
      <c r="MV67" s="21"/>
      <c r="MW67" s="21"/>
      <c r="MX67" s="21"/>
      <c r="MY67" s="21"/>
      <c r="MZ67" s="21"/>
      <c r="NA67" s="21"/>
      <c r="NB67" s="21"/>
      <c r="NC67" s="21"/>
      <c r="ND67" s="21"/>
      <c r="NE67" s="21"/>
      <c r="NF67" s="21"/>
      <c r="NG67" s="21"/>
      <c r="NH67" s="21"/>
      <c r="NI67" s="21"/>
      <c r="NJ67" s="21"/>
      <c r="NK67" s="21"/>
      <c r="NL67" s="21"/>
      <c r="NM67" s="21"/>
      <c r="NN67" s="21"/>
      <c r="NO67" s="21"/>
      <c r="NP67" s="21"/>
      <c r="NQ67" s="21"/>
      <c r="NR67" s="21"/>
      <c r="NS67" s="21"/>
      <c r="NT67" s="21"/>
      <c r="NU67" s="21"/>
      <c r="NV67" s="21"/>
      <c r="NW67" s="21"/>
      <c r="NX67" s="21"/>
      <c r="NY67" s="21"/>
      <c r="NZ67" s="21"/>
      <c r="OA67" s="21"/>
      <c r="OB67" s="21"/>
      <c r="OC67" s="21"/>
      <c r="OD67" s="21"/>
      <c r="OE67" s="21"/>
      <c r="OF67" s="21"/>
      <c r="OG67" s="21"/>
      <c r="OH67" s="21"/>
      <c r="OI67" s="21"/>
      <c r="OJ67" s="21"/>
      <c r="OK67" s="21"/>
      <c r="OL67" s="21"/>
      <c r="OM67" s="21"/>
      <c r="ON67" s="21"/>
      <c r="OO67" s="21"/>
      <c r="OP67" s="21"/>
      <c r="OQ67" s="21"/>
      <c r="OR67" s="21"/>
      <c r="OS67" s="21"/>
      <c r="OT67" s="21"/>
      <c r="OU67" s="21"/>
      <c r="OV67" s="21"/>
      <c r="OW67" s="21"/>
      <c r="OX67" s="21"/>
      <c r="OY67" s="21"/>
      <c r="OZ67" s="21"/>
      <c r="PA67" s="21"/>
      <c r="PB67" s="21"/>
      <c r="PC67" s="21"/>
      <c r="PD67" s="21"/>
      <c r="PE67" s="21"/>
      <c r="PF67" s="21"/>
      <c r="PG67" s="21"/>
      <c r="PH67" s="21"/>
      <c r="PI67" s="21"/>
      <c r="PJ67" s="21"/>
      <c r="PK67" s="21"/>
      <c r="PL67" s="21"/>
      <c r="PM67" s="21"/>
      <c r="PN67" s="21"/>
      <c r="PO67" s="21"/>
      <c r="PP67" s="21"/>
      <c r="PQ67" s="21"/>
      <c r="PR67" s="21"/>
      <c r="PS67" s="21"/>
      <c r="PT67" s="21"/>
      <c r="PU67" s="21"/>
      <c r="PV67" s="21"/>
      <c r="PW67" s="21"/>
      <c r="PX67" s="21"/>
      <c r="PY67" s="21"/>
      <c r="PZ67" s="21"/>
      <c r="QA67" s="21"/>
      <c r="QB67" s="21"/>
      <c r="QC67" s="21"/>
      <c r="QD67" s="21"/>
      <c r="QE67" s="21"/>
      <c r="QF67" s="21"/>
      <c r="QG67" s="21"/>
      <c r="QH67" s="21"/>
      <c r="QI67" s="21"/>
      <c r="QJ67" s="21"/>
      <c r="QK67" s="21"/>
      <c r="QL67" s="21"/>
      <c r="QM67" s="21"/>
      <c r="QN67" s="21"/>
      <c r="QO67" s="21"/>
      <c r="QP67" s="21"/>
      <c r="QQ67" s="21"/>
      <c r="QR67" s="21"/>
      <c r="QS67" s="21"/>
      <c r="QT67" s="21"/>
      <c r="QU67" s="21"/>
      <c r="QV67" s="21"/>
      <c r="QW67" s="21"/>
      <c r="QX67" s="21"/>
      <c r="QY67" s="21"/>
      <c r="QZ67" s="21"/>
      <c r="RA67" s="21"/>
      <c r="RB67" s="21"/>
      <c r="RC67" s="21"/>
      <c r="RD67" s="21"/>
      <c r="RE67" s="21"/>
      <c r="RF67" s="21"/>
      <c r="RG67" s="21"/>
      <c r="RH67" s="21"/>
      <c r="RI67" s="21"/>
      <c r="RJ67" s="21"/>
      <c r="RK67" s="21"/>
      <c r="RL67" s="21"/>
      <c r="RM67" s="21"/>
      <c r="RN67" s="21"/>
      <c r="RO67" s="21"/>
      <c r="RP67" s="21"/>
      <c r="RQ67" s="21"/>
      <c r="RR67" s="21"/>
      <c r="RS67" s="21"/>
      <c r="RT67" s="21"/>
      <c r="RU67" s="21"/>
      <c r="RV67" s="21"/>
      <c r="RW67" s="21"/>
      <c r="RX67" s="21"/>
      <c r="RY67" s="21"/>
      <c r="RZ67" s="21"/>
      <c r="SA67" s="21"/>
      <c r="SB67" s="21"/>
      <c r="SC67" s="21"/>
      <c r="SD67" s="21"/>
      <c r="SE67" s="21"/>
      <c r="SF67" s="21"/>
      <c r="SG67" s="21"/>
      <c r="SH67" s="21"/>
      <c r="SI67" s="21"/>
      <c r="SJ67" s="21"/>
      <c r="SK67" s="21"/>
      <c r="SL67" s="21"/>
      <c r="SM67" s="21"/>
      <c r="SN67" s="21"/>
      <c r="SO67" s="21"/>
      <c r="SP67" s="21"/>
      <c r="SQ67" s="21"/>
      <c r="SR67" s="21"/>
      <c r="SS67" s="21"/>
      <c r="ST67" s="21"/>
      <c r="SU67" s="21"/>
      <c r="SV67" s="21"/>
      <c r="SW67" s="21"/>
      <c r="SX67" s="21"/>
      <c r="SY67" s="21"/>
      <c r="SZ67" s="21"/>
      <c r="TA67" s="21"/>
      <c r="TB67" s="21"/>
      <c r="TC67" s="21"/>
      <c r="TD67" s="21"/>
      <c r="TE67" s="21"/>
      <c r="TF67" s="21"/>
      <c r="TG67" s="21"/>
      <c r="TH67" s="21"/>
      <c r="TI67" s="21"/>
      <c r="TJ67" s="21"/>
      <c r="TK67" s="21"/>
      <c r="TL67" s="21"/>
      <c r="TM67" s="21"/>
      <c r="TN67" s="21"/>
      <c r="TO67" s="21"/>
      <c r="TP67" s="21"/>
      <c r="TQ67" s="21"/>
      <c r="TR67" s="21"/>
      <c r="TS67" s="21"/>
      <c r="TT67" s="21"/>
      <c r="TU67" s="21"/>
      <c r="TV67" s="21"/>
      <c r="TW67" s="21"/>
      <c r="TX67" s="21"/>
      <c r="TY67" s="21"/>
      <c r="TZ67" s="21"/>
      <c r="UA67" s="21"/>
      <c r="UB67" s="21"/>
      <c r="UC67" s="21"/>
      <c r="UD67" s="21"/>
      <c r="UE67" s="21"/>
      <c r="UF67" s="21"/>
      <c r="UG67" s="21"/>
      <c r="UH67" s="21"/>
      <c r="UI67" s="21"/>
      <c r="UJ67" s="21"/>
      <c r="UK67" s="21"/>
      <c r="UL67" s="21"/>
      <c r="UM67" s="21"/>
      <c r="UN67" s="21"/>
      <c r="UO67" s="21"/>
      <c r="UP67" s="21"/>
      <c r="UQ67" s="21"/>
      <c r="UR67" s="21"/>
      <c r="US67" s="21"/>
      <c r="UT67" s="21"/>
      <c r="UU67" s="21"/>
      <c r="UV67" s="21"/>
      <c r="UW67" s="21"/>
      <c r="UX67" s="21"/>
      <c r="UY67" s="21"/>
      <c r="UZ67" s="21"/>
      <c r="VA67" s="21"/>
      <c r="VB67" s="21"/>
      <c r="VC67" s="21"/>
      <c r="VD67" s="21"/>
      <c r="VE67" s="21"/>
      <c r="VF67" s="21"/>
      <c r="VG67" s="21"/>
      <c r="VH67" s="21"/>
      <c r="VI67" s="21"/>
      <c r="VJ67" s="21"/>
      <c r="VK67" s="21"/>
      <c r="VL67" s="21"/>
      <c r="VM67" s="21"/>
      <c r="VN67" s="21"/>
      <c r="VO67" s="21"/>
      <c r="VP67" s="21"/>
      <c r="VQ67" s="21"/>
      <c r="VR67" s="21"/>
      <c r="VS67" s="21"/>
      <c r="VT67" s="21"/>
      <c r="VU67" s="21"/>
      <c r="VV67" s="21"/>
      <c r="VW67" s="21"/>
      <c r="VX67" s="21"/>
      <c r="VY67" s="21"/>
      <c r="VZ67" s="21"/>
      <c r="WA67" s="21"/>
      <c r="WB67" s="21"/>
      <c r="WC67" s="21"/>
      <c r="WD67" s="21"/>
      <c r="WE67" s="21"/>
      <c r="WF67" s="21"/>
      <c r="WG67" s="21"/>
      <c r="WH67" s="21"/>
      <c r="WI67" s="21"/>
      <c r="WJ67" s="21"/>
      <c r="WK67" s="21"/>
      <c r="WL67" s="21"/>
      <c r="WM67" s="21"/>
      <c r="WN67" s="21"/>
      <c r="WO67" s="21"/>
      <c r="WP67" s="21"/>
      <c r="WQ67" s="21"/>
      <c r="WR67" s="21"/>
      <c r="WS67" s="21"/>
      <c r="WT67" s="21"/>
      <c r="WU67" s="21"/>
      <c r="WV67" s="21"/>
      <c r="WW67" s="21"/>
      <c r="WX67" s="21"/>
      <c r="WY67" s="21"/>
      <c r="WZ67" s="21"/>
      <c r="XA67" s="21"/>
      <c r="XB67" s="21"/>
      <c r="XC67" s="21"/>
      <c r="XD67" s="21"/>
      <c r="XE67" s="21"/>
      <c r="XF67" s="21"/>
      <c r="XG67" s="21"/>
      <c r="XH67" s="21"/>
      <c r="XI67" s="21"/>
      <c r="XJ67" s="21"/>
      <c r="XK67" s="21"/>
      <c r="XL67" s="21"/>
      <c r="XM67" s="21"/>
      <c r="XN67" s="21"/>
      <c r="XO67" s="21"/>
      <c r="XP67" s="21"/>
      <c r="XQ67" s="21"/>
      <c r="XR67" s="21"/>
      <c r="XS67" s="21"/>
      <c r="XT67" s="21"/>
      <c r="XU67" s="21"/>
      <c r="XV67" s="21"/>
      <c r="XW67" s="21"/>
      <c r="XX67" s="21"/>
      <c r="XY67" s="21"/>
      <c r="XZ67" s="21"/>
      <c r="YA67" s="21"/>
      <c r="YB67" s="21"/>
      <c r="YC67" s="21"/>
      <c r="YD67" s="21"/>
      <c r="YE67" s="21"/>
      <c r="YF67" s="21"/>
      <c r="YG67" s="21"/>
      <c r="YH67" s="21"/>
      <c r="YI67" s="21"/>
      <c r="YJ67" s="21"/>
      <c r="YK67" s="21"/>
      <c r="YL67" s="21"/>
      <c r="YM67" s="21"/>
      <c r="YN67" s="21"/>
      <c r="YO67" s="21"/>
      <c r="YP67" s="21"/>
      <c r="YQ67" s="21"/>
      <c r="YR67" s="21"/>
      <c r="YS67" s="21"/>
      <c r="YT67" s="21"/>
      <c r="YU67" s="21"/>
      <c r="YV67" s="21"/>
      <c r="YW67" s="21"/>
      <c r="YX67" s="21"/>
      <c r="YY67" s="21"/>
      <c r="YZ67" s="21"/>
      <c r="ZA67" s="21"/>
      <c r="ZB67" s="21"/>
      <c r="ZC67" s="21"/>
      <c r="ZD67" s="21"/>
      <c r="ZE67" s="21"/>
      <c r="ZF67" s="21"/>
      <c r="ZG67" s="21"/>
      <c r="ZH67" s="21"/>
      <c r="ZI67" s="21"/>
      <c r="ZJ67" s="21"/>
      <c r="ZK67" s="21"/>
      <c r="ZL67" s="21"/>
      <c r="ZM67" s="21"/>
      <c r="ZN67" s="21"/>
      <c r="ZO67" s="21"/>
      <c r="ZP67" s="21"/>
      <c r="ZQ67" s="21"/>
      <c r="ZR67" s="21"/>
      <c r="ZS67" s="21"/>
      <c r="ZT67" s="21"/>
      <c r="ZU67" s="21"/>
      <c r="ZV67" s="21"/>
      <c r="ZW67" s="21"/>
      <c r="ZX67" s="21"/>
      <c r="ZY67" s="21"/>
      <c r="ZZ67" s="21"/>
      <c r="AAA67" s="21"/>
      <c r="AAB67" s="21"/>
      <c r="AAC67" s="21"/>
      <c r="AAD67" s="21"/>
      <c r="AAE67" s="21"/>
      <c r="AAF67" s="21"/>
      <c r="AAG67" s="21"/>
      <c r="AAH67" s="21"/>
      <c r="AAI67" s="21"/>
      <c r="AAJ67" s="21"/>
      <c r="AAK67" s="21"/>
      <c r="AAL67" s="21"/>
      <c r="AAM67" s="21"/>
      <c r="AAN67" s="21"/>
      <c r="AAO67" s="21"/>
      <c r="AAP67" s="21"/>
      <c r="AAQ67" s="21"/>
      <c r="AAR67" s="21"/>
      <c r="AAS67" s="21"/>
      <c r="AAT67" s="21"/>
      <c r="AAU67" s="21"/>
      <c r="AAV67" s="21"/>
      <c r="AAW67" s="21"/>
      <c r="AAX67" s="21"/>
      <c r="AAY67" s="21"/>
      <c r="AAZ67" s="21"/>
      <c r="ABA67" s="21"/>
      <c r="ABB67" s="21"/>
      <c r="ABC67" s="21"/>
      <c r="ABD67" s="21"/>
      <c r="ABE67" s="21"/>
      <c r="ABF67" s="21"/>
      <c r="ABG67" s="21"/>
      <c r="ABH67" s="21"/>
      <c r="ABI67" s="21"/>
      <c r="ABJ67" s="21"/>
      <c r="ABK67" s="21"/>
      <c r="ABL67" s="21"/>
      <c r="ABM67" s="21"/>
      <c r="ABN67" s="21"/>
      <c r="ABO67" s="21"/>
      <c r="ABP67" s="21"/>
      <c r="ABQ67" s="21"/>
      <c r="ABR67" s="21"/>
      <c r="ABS67" s="21"/>
      <c r="ABT67" s="21"/>
      <c r="ABU67" s="21"/>
      <c r="ABV67" s="21"/>
      <c r="ABW67" s="21"/>
      <c r="ABX67" s="21"/>
      <c r="ABY67" s="21"/>
      <c r="ABZ67" s="21"/>
      <c r="ACA67" s="21"/>
      <c r="ACB67" s="21"/>
      <c r="ACC67" s="21"/>
      <c r="ACD67" s="21"/>
      <c r="ACE67" s="21"/>
      <c r="ACF67" s="21"/>
      <c r="ACG67" s="21"/>
      <c r="ACH67" s="21"/>
      <c r="ACI67" s="21"/>
      <c r="ACJ67" s="21"/>
      <c r="ACK67" s="21"/>
      <c r="ACL67" s="21"/>
      <c r="ACM67" s="21"/>
      <c r="ACN67" s="21"/>
      <c r="ACO67" s="21"/>
      <c r="ACP67" s="21"/>
      <c r="ACQ67" s="21"/>
      <c r="ACR67" s="21"/>
      <c r="ACS67" s="21"/>
      <c r="ACT67" s="21"/>
      <c r="ACU67" s="21"/>
      <c r="ACV67" s="21"/>
      <c r="ACW67" s="21"/>
      <c r="ACX67" s="21"/>
      <c r="ACY67" s="21"/>
      <c r="ACZ67" s="21"/>
      <c r="ADA67" s="21"/>
      <c r="ADB67" s="21"/>
      <c r="ADC67" s="21"/>
      <c r="ADD67" s="21"/>
      <c r="ADE67" s="21"/>
      <c r="ADF67" s="21"/>
      <c r="ADG67" s="21"/>
      <c r="ADH67" s="21"/>
      <c r="ADI67" s="21"/>
      <c r="ADJ67" s="21"/>
      <c r="ADK67" s="21"/>
      <c r="ADL67" s="21"/>
      <c r="ADM67" s="21"/>
      <c r="ADN67" s="21"/>
      <c r="ADO67" s="21"/>
      <c r="ADP67" s="21"/>
      <c r="ADQ67" s="21"/>
      <c r="ADR67" s="21"/>
      <c r="ADS67" s="21"/>
      <c r="ADT67" s="21"/>
      <c r="ADU67" s="21"/>
      <c r="ADV67" s="21"/>
      <c r="ADW67" s="21"/>
      <c r="ADX67" s="21"/>
      <c r="ADY67" s="21"/>
      <c r="ADZ67" s="21"/>
      <c r="AEA67" s="21"/>
      <c r="AEB67" s="21"/>
      <c r="AEC67" s="21"/>
      <c r="AED67" s="21"/>
      <c r="AEE67" s="21"/>
      <c r="AEF67" s="21"/>
      <c r="AEG67" s="21"/>
      <c r="AEH67" s="21"/>
      <c r="AEI67" s="21"/>
      <c r="AEJ67" s="21"/>
      <c r="AEK67" s="21"/>
      <c r="AEL67" s="21"/>
      <c r="AEM67" s="21"/>
      <c r="AEN67" s="21"/>
      <c r="AEO67" s="21"/>
      <c r="AEP67" s="21"/>
      <c r="AEQ67" s="21"/>
      <c r="AER67" s="21"/>
      <c r="AES67" s="21"/>
      <c r="AET67" s="21"/>
      <c r="AEU67" s="21"/>
      <c r="AEV67" s="21"/>
      <c r="AEW67" s="21"/>
      <c r="AEX67" s="21"/>
      <c r="AEY67" s="21"/>
      <c r="AEZ67" s="21"/>
      <c r="AFA67" s="21"/>
      <c r="AFB67" s="21"/>
      <c r="AFC67" s="21"/>
      <c r="AFD67" s="21"/>
      <c r="AFE67" s="21"/>
      <c r="AFF67" s="21"/>
      <c r="AFG67" s="21"/>
      <c r="AFH67" s="21"/>
      <c r="AFI67" s="21"/>
      <c r="AFJ67" s="21"/>
      <c r="AFK67" s="21"/>
      <c r="AFL67" s="21"/>
      <c r="AFM67" s="21"/>
      <c r="AFN67" s="21"/>
      <c r="AFO67" s="21"/>
      <c r="AFP67" s="21"/>
      <c r="AFQ67" s="21"/>
      <c r="AFR67" s="21"/>
      <c r="AFS67" s="21"/>
      <c r="AFT67" s="21"/>
      <c r="AFU67" s="21"/>
      <c r="AFV67" s="21"/>
      <c r="AFW67" s="21"/>
      <c r="AFX67" s="21"/>
      <c r="AFY67" s="21"/>
      <c r="AFZ67" s="21"/>
      <c r="AGA67" s="21"/>
      <c r="AGB67" s="21"/>
      <c r="AGC67" s="21"/>
      <c r="AGD67" s="21"/>
      <c r="AGE67" s="21"/>
      <c r="AGF67" s="21"/>
      <c r="AGG67" s="21"/>
      <c r="AGH67" s="21"/>
      <c r="AGI67" s="21"/>
      <c r="AGJ67" s="21"/>
      <c r="AGK67" s="21"/>
      <c r="AGL67" s="21"/>
      <c r="AGM67" s="21"/>
      <c r="AGN67" s="21"/>
      <c r="AGO67" s="21"/>
      <c r="AGP67" s="21"/>
      <c r="AGQ67" s="21"/>
      <c r="AGR67" s="21"/>
      <c r="AGS67" s="21"/>
    </row>
    <row r="68" spans="1:877" ht="13">
      <c r="A68" s="12"/>
      <c r="B68" s="12"/>
      <c r="C68" s="12"/>
      <c r="D68" s="12"/>
      <c r="E68" s="12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1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/>
      <c r="KY68" s="21"/>
      <c r="KZ68" s="21"/>
      <c r="LA68" s="21"/>
      <c r="LB68" s="21"/>
      <c r="LC68" s="21"/>
      <c r="LD68" s="21"/>
      <c r="LE68" s="21"/>
      <c r="LF68" s="21"/>
      <c r="LG68" s="21"/>
      <c r="LH68" s="21"/>
      <c r="LI68" s="21"/>
      <c r="LJ68" s="21"/>
      <c r="LK68" s="21"/>
      <c r="LL68" s="21"/>
      <c r="LM68" s="21"/>
      <c r="LN68" s="21"/>
      <c r="LO68" s="21"/>
      <c r="LP68" s="21"/>
      <c r="LQ68" s="21"/>
      <c r="LR68" s="21"/>
      <c r="LS68" s="21"/>
      <c r="LT68" s="21"/>
      <c r="LU68" s="21"/>
      <c r="LV68" s="21"/>
      <c r="LW68" s="21"/>
      <c r="LX68" s="21"/>
      <c r="LY68" s="21"/>
      <c r="LZ68" s="21"/>
      <c r="MA68" s="21"/>
      <c r="MB68" s="21"/>
      <c r="MC68" s="21"/>
      <c r="MD68" s="21"/>
      <c r="ME68" s="21"/>
      <c r="MF68" s="21"/>
      <c r="MG68" s="21"/>
      <c r="MH68" s="21"/>
      <c r="MI68" s="21"/>
      <c r="MJ68" s="21"/>
      <c r="MK68" s="21"/>
      <c r="ML68" s="21"/>
      <c r="MM68" s="21"/>
      <c r="MN68" s="21"/>
      <c r="MO68" s="21"/>
      <c r="MP68" s="21"/>
      <c r="MQ68" s="21"/>
      <c r="MR68" s="21"/>
      <c r="MS68" s="21"/>
      <c r="MT68" s="21"/>
      <c r="MU68" s="21"/>
      <c r="MV68" s="21"/>
      <c r="MW68" s="21"/>
      <c r="MX68" s="21"/>
      <c r="MY68" s="21"/>
      <c r="MZ68" s="21"/>
      <c r="NA68" s="21"/>
      <c r="NB68" s="21"/>
      <c r="NC68" s="21"/>
      <c r="ND68" s="21"/>
      <c r="NE68" s="21"/>
      <c r="NF68" s="21"/>
      <c r="NG68" s="21"/>
      <c r="NH68" s="21"/>
      <c r="NI68" s="21"/>
      <c r="NJ68" s="21"/>
      <c r="NK68" s="21"/>
      <c r="NL68" s="21"/>
      <c r="NM68" s="21"/>
      <c r="NN68" s="21"/>
      <c r="NO68" s="21"/>
      <c r="NP68" s="21"/>
      <c r="NQ68" s="21"/>
      <c r="NR68" s="21"/>
      <c r="NS68" s="21"/>
      <c r="NT68" s="21"/>
      <c r="NU68" s="21"/>
      <c r="NV68" s="21"/>
      <c r="NW68" s="21"/>
      <c r="NX68" s="21"/>
      <c r="NY68" s="21"/>
      <c r="NZ68" s="21"/>
      <c r="OA68" s="21"/>
      <c r="OB68" s="21"/>
      <c r="OC68" s="21"/>
      <c r="OD68" s="21"/>
      <c r="OE68" s="21"/>
      <c r="OF68" s="21"/>
      <c r="OG68" s="21"/>
      <c r="OH68" s="21"/>
      <c r="OI68" s="21"/>
      <c r="OJ68" s="21"/>
      <c r="OK68" s="21"/>
      <c r="OL68" s="21"/>
      <c r="OM68" s="21"/>
      <c r="ON68" s="21"/>
      <c r="OO68" s="21"/>
      <c r="OP68" s="21"/>
      <c r="OQ68" s="21"/>
      <c r="OR68" s="21"/>
      <c r="OS68" s="21"/>
      <c r="OT68" s="21"/>
      <c r="OU68" s="21"/>
      <c r="OV68" s="21"/>
      <c r="OW68" s="21"/>
      <c r="OX68" s="21"/>
      <c r="OY68" s="21"/>
      <c r="OZ68" s="21"/>
      <c r="PA68" s="21"/>
      <c r="PB68" s="21"/>
      <c r="PC68" s="21"/>
      <c r="PD68" s="21"/>
      <c r="PE68" s="21"/>
      <c r="PF68" s="21"/>
      <c r="PG68" s="21"/>
      <c r="PH68" s="21"/>
      <c r="PI68" s="21"/>
      <c r="PJ68" s="21"/>
      <c r="PK68" s="21"/>
      <c r="PL68" s="21"/>
      <c r="PM68" s="21"/>
      <c r="PN68" s="21"/>
      <c r="PO68" s="21"/>
      <c r="PP68" s="21"/>
      <c r="PQ68" s="21"/>
      <c r="PR68" s="21"/>
      <c r="PS68" s="21"/>
      <c r="PT68" s="21"/>
      <c r="PU68" s="21"/>
      <c r="PV68" s="21"/>
      <c r="PW68" s="21"/>
      <c r="PX68" s="21"/>
      <c r="PY68" s="21"/>
      <c r="PZ68" s="21"/>
      <c r="QA68" s="21"/>
      <c r="QB68" s="21"/>
      <c r="QC68" s="21"/>
      <c r="QD68" s="21"/>
      <c r="QE68" s="21"/>
      <c r="QF68" s="21"/>
      <c r="QG68" s="21"/>
      <c r="QH68" s="21"/>
      <c r="QI68" s="21"/>
      <c r="QJ68" s="21"/>
      <c r="QK68" s="21"/>
      <c r="QL68" s="21"/>
      <c r="QM68" s="21"/>
      <c r="QN68" s="21"/>
      <c r="QO68" s="21"/>
      <c r="QP68" s="21"/>
      <c r="QQ68" s="21"/>
      <c r="QR68" s="21"/>
      <c r="QS68" s="21"/>
      <c r="QT68" s="21"/>
      <c r="QU68" s="21"/>
      <c r="QV68" s="21"/>
      <c r="QW68" s="21"/>
      <c r="QX68" s="21"/>
      <c r="QY68" s="21"/>
      <c r="QZ68" s="21"/>
      <c r="RA68" s="21"/>
      <c r="RB68" s="21"/>
      <c r="RC68" s="21"/>
      <c r="RD68" s="21"/>
      <c r="RE68" s="21"/>
      <c r="RF68" s="21"/>
      <c r="RG68" s="21"/>
      <c r="RH68" s="21"/>
      <c r="RI68" s="21"/>
      <c r="RJ68" s="21"/>
      <c r="RK68" s="21"/>
      <c r="RL68" s="21"/>
      <c r="RM68" s="21"/>
      <c r="RN68" s="21"/>
      <c r="RO68" s="21"/>
      <c r="RP68" s="21"/>
      <c r="RQ68" s="21"/>
      <c r="RR68" s="21"/>
      <c r="RS68" s="21"/>
      <c r="RT68" s="21"/>
      <c r="RU68" s="21"/>
      <c r="RV68" s="21"/>
      <c r="RW68" s="21"/>
      <c r="RX68" s="21"/>
      <c r="RY68" s="21"/>
      <c r="RZ68" s="21"/>
      <c r="SA68" s="21"/>
      <c r="SB68" s="21"/>
      <c r="SC68" s="21"/>
      <c r="SD68" s="21"/>
      <c r="SE68" s="21"/>
      <c r="SF68" s="21"/>
      <c r="SG68" s="21"/>
      <c r="SH68" s="21"/>
      <c r="SI68" s="21"/>
      <c r="SJ68" s="21"/>
      <c r="SK68" s="21"/>
      <c r="SL68" s="21"/>
      <c r="SM68" s="21"/>
      <c r="SN68" s="21"/>
      <c r="SO68" s="21"/>
      <c r="SP68" s="21"/>
      <c r="SQ68" s="21"/>
      <c r="SR68" s="21"/>
      <c r="SS68" s="21"/>
      <c r="ST68" s="21"/>
      <c r="SU68" s="21"/>
      <c r="SV68" s="21"/>
      <c r="SW68" s="21"/>
      <c r="SX68" s="21"/>
      <c r="SY68" s="21"/>
      <c r="SZ68" s="21"/>
      <c r="TA68" s="21"/>
      <c r="TB68" s="21"/>
      <c r="TC68" s="21"/>
      <c r="TD68" s="21"/>
      <c r="TE68" s="21"/>
      <c r="TF68" s="21"/>
      <c r="TG68" s="21"/>
      <c r="TH68" s="21"/>
      <c r="TI68" s="21"/>
      <c r="TJ68" s="21"/>
      <c r="TK68" s="21"/>
      <c r="TL68" s="21"/>
      <c r="TM68" s="21"/>
      <c r="TN68" s="21"/>
      <c r="TO68" s="21"/>
      <c r="TP68" s="21"/>
      <c r="TQ68" s="21"/>
      <c r="TR68" s="21"/>
      <c r="TS68" s="21"/>
      <c r="TT68" s="21"/>
      <c r="TU68" s="21"/>
      <c r="TV68" s="21"/>
      <c r="TW68" s="21"/>
      <c r="TX68" s="21"/>
      <c r="TY68" s="21"/>
      <c r="TZ68" s="21"/>
      <c r="UA68" s="21"/>
      <c r="UB68" s="21"/>
      <c r="UC68" s="21"/>
      <c r="UD68" s="21"/>
      <c r="UE68" s="21"/>
      <c r="UF68" s="21"/>
      <c r="UG68" s="21"/>
      <c r="UH68" s="21"/>
      <c r="UI68" s="21"/>
      <c r="UJ68" s="21"/>
      <c r="UK68" s="21"/>
      <c r="UL68" s="21"/>
      <c r="UM68" s="21"/>
      <c r="UN68" s="21"/>
      <c r="UO68" s="21"/>
      <c r="UP68" s="21"/>
      <c r="UQ68" s="21"/>
      <c r="UR68" s="21"/>
      <c r="US68" s="21"/>
      <c r="UT68" s="21"/>
      <c r="UU68" s="21"/>
      <c r="UV68" s="21"/>
      <c r="UW68" s="21"/>
      <c r="UX68" s="21"/>
      <c r="UY68" s="21"/>
      <c r="UZ68" s="21"/>
      <c r="VA68" s="21"/>
      <c r="VB68" s="21"/>
      <c r="VC68" s="21"/>
      <c r="VD68" s="21"/>
      <c r="VE68" s="21"/>
      <c r="VF68" s="21"/>
      <c r="VG68" s="21"/>
      <c r="VH68" s="21"/>
      <c r="VI68" s="21"/>
      <c r="VJ68" s="21"/>
      <c r="VK68" s="21"/>
      <c r="VL68" s="21"/>
      <c r="VM68" s="21"/>
      <c r="VN68" s="21"/>
      <c r="VO68" s="21"/>
      <c r="VP68" s="21"/>
      <c r="VQ68" s="21"/>
      <c r="VR68" s="21"/>
      <c r="VS68" s="21"/>
      <c r="VT68" s="21"/>
      <c r="VU68" s="21"/>
      <c r="VV68" s="21"/>
      <c r="VW68" s="21"/>
      <c r="VX68" s="21"/>
      <c r="VY68" s="21"/>
      <c r="VZ68" s="21"/>
      <c r="WA68" s="21"/>
      <c r="WB68" s="21"/>
      <c r="WC68" s="21"/>
      <c r="WD68" s="21"/>
      <c r="WE68" s="21"/>
      <c r="WF68" s="21"/>
      <c r="WG68" s="21"/>
      <c r="WH68" s="21"/>
      <c r="WI68" s="21"/>
      <c r="WJ68" s="21"/>
      <c r="WK68" s="21"/>
      <c r="WL68" s="21"/>
      <c r="WM68" s="21"/>
      <c r="WN68" s="21"/>
      <c r="WO68" s="21"/>
      <c r="WP68" s="21"/>
      <c r="WQ68" s="21"/>
      <c r="WR68" s="21"/>
      <c r="WS68" s="21"/>
      <c r="WT68" s="21"/>
      <c r="WU68" s="21"/>
      <c r="WV68" s="21"/>
      <c r="WW68" s="21"/>
      <c r="WX68" s="21"/>
      <c r="WY68" s="21"/>
      <c r="WZ68" s="21"/>
      <c r="XA68" s="21"/>
      <c r="XB68" s="21"/>
      <c r="XC68" s="21"/>
      <c r="XD68" s="21"/>
      <c r="XE68" s="21"/>
      <c r="XF68" s="21"/>
      <c r="XG68" s="21"/>
      <c r="XH68" s="21"/>
      <c r="XI68" s="21"/>
      <c r="XJ68" s="21"/>
      <c r="XK68" s="21"/>
      <c r="XL68" s="21"/>
      <c r="XM68" s="21"/>
      <c r="XN68" s="21"/>
      <c r="XO68" s="21"/>
      <c r="XP68" s="21"/>
      <c r="XQ68" s="21"/>
      <c r="XR68" s="21"/>
      <c r="XS68" s="21"/>
      <c r="XT68" s="21"/>
      <c r="XU68" s="21"/>
      <c r="XV68" s="21"/>
      <c r="XW68" s="21"/>
      <c r="XX68" s="21"/>
      <c r="XY68" s="21"/>
      <c r="XZ68" s="21"/>
      <c r="YA68" s="21"/>
      <c r="YB68" s="21"/>
      <c r="YC68" s="21"/>
      <c r="YD68" s="21"/>
      <c r="YE68" s="21"/>
      <c r="YF68" s="21"/>
      <c r="YG68" s="21"/>
      <c r="YH68" s="21"/>
      <c r="YI68" s="21"/>
      <c r="YJ68" s="21"/>
      <c r="YK68" s="21"/>
      <c r="YL68" s="21"/>
      <c r="YM68" s="21"/>
      <c r="YN68" s="21"/>
      <c r="YO68" s="21"/>
      <c r="YP68" s="21"/>
      <c r="YQ68" s="21"/>
      <c r="YR68" s="21"/>
      <c r="YS68" s="21"/>
      <c r="YT68" s="21"/>
      <c r="YU68" s="21"/>
      <c r="YV68" s="21"/>
      <c r="YW68" s="21"/>
      <c r="YX68" s="21"/>
      <c r="YY68" s="21"/>
      <c r="YZ68" s="21"/>
      <c r="ZA68" s="21"/>
      <c r="ZB68" s="21"/>
      <c r="ZC68" s="21"/>
      <c r="ZD68" s="21"/>
      <c r="ZE68" s="21"/>
      <c r="ZF68" s="21"/>
      <c r="ZG68" s="21"/>
      <c r="ZH68" s="21"/>
      <c r="ZI68" s="21"/>
      <c r="ZJ68" s="21"/>
      <c r="ZK68" s="21"/>
      <c r="ZL68" s="21"/>
      <c r="ZM68" s="21"/>
      <c r="ZN68" s="21"/>
      <c r="ZO68" s="21"/>
      <c r="ZP68" s="21"/>
      <c r="ZQ68" s="21"/>
      <c r="ZR68" s="21"/>
      <c r="ZS68" s="21"/>
      <c r="ZT68" s="21"/>
      <c r="ZU68" s="21"/>
      <c r="ZV68" s="21"/>
      <c r="ZW68" s="21"/>
      <c r="ZX68" s="21"/>
      <c r="ZY68" s="21"/>
      <c r="ZZ68" s="21"/>
      <c r="AAA68" s="21"/>
      <c r="AAB68" s="21"/>
      <c r="AAC68" s="21"/>
      <c r="AAD68" s="21"/>
      <c r="AAE68" s="21"/>
      <c r="AAF68" s="21"/>
      <c r="AAG68" s="21"/>
      <c r="AAH68" s="21"/>
      <c r="AAI68" s="21"/>
      <c r="AAJ68" s="21"/>
      <c r="AAK68" s="21"/>
      <c r="AAL68" s="21"/>
      <c r="AAM68" s="21"/>
      <c r="AAN68" s="21"/>
      <c r="AAO68" s="21"/>
      <c r="AAP68" s="21"/>
      <c r="AAQ68" s="21"/>
      <c r="AAR68" s="21"/>
      <c r="AAS68" s="21"/>
      <c r="AAT68" s="21"/>
      <c r="AAU68" s="21"/>
      <c r="AAV68" s="21"/>
      <c r="AAW68" s="21"/>
      <c r="AAX68" s="21"/>
      <c r="AAY68" s="21"/>
      <c r="AAZ68" s="21"/>
      <c r="ABA68" s="21"/>
      <c r="ABB68" s="21"/>
      <c r="ABC68" s="21"/>
      <c r="ABD68" s="21"/>
      <c r="ABE68" s="21"/>
      <c r="ABF68" s="21"/>
      <c r="ABG68" s="21"/>
      <c r="ABH68" s="21"/>
      <c r="ABI68" s="21"/>
      <c r="ABJ68" s="21"/>
      <c r="ABK68" s="21"/>
      <c r="ABL68" s="21"/>
      <c r="ABM68" s="21"/>
      <c r="ABN68" s="21"/>
      <c r="ABO68" s="21"/>
      <c r="ABP68" s="21"/>
      <c r="ABQ68" s="21"/>
      <c r="ABR68" s="21"/>
      <c r="ABS68" s="21"/>
      <c r="ABT68" s="21"/>
      <c r="ABU68" s="21"/>
      <c r="ABV68" s="21"/>
      <c r="ABW68" s="21"/>
      <c r="ABX68" s="21"/>
      <c r="ABY68" s="21"/>
      <c r="ABZ68" s="21"/>
      <c r="ACA68" s="21"/>
      <c r="ACB68" s="21"/>
      <c r="ACC68" s="21"/>
      <c r="ACD68" s="21"/>
      <c r="ACE68" s="21"/>
      <c r="ACF68" s="21"/>
      <c r="ACG68" s="21"/>
      <c r="ACH68" s="21"/>
      <c r="ACI68" s="21"/>
      <c r="ACJ68" s="21"/>
      <c r="ACK68" s="21"/>
      <c r="ACL68" s="21"/>
      <c r="ACM68" s="21"/>
      <c r="ACN68" s="21"/>
      <c r="ACO68" s="21"/>
      <c r="ACP68" s="21"/>
      <c r="ACQ68" s="21"/>
      <c r="ACR68" s="21"/>
      <c r="ACS68" s="21"/>
      <c r="ACT68" s="21"/>
      <c r="ACU68" s="21"/>
      <c r="ACV68" s="21"/>
      <c r="ACW68" s="21"/>
      <c r="ACX68" s="21"/>
      <c r="ACY68" s="21"/>
      <c r="ACZ68" s="21"/>
      <c r="ADA68" s="21"/>
      <c r="ADB68" s="21"/>
      <c r="ADC68" s="21"/>
      <c r="ADD68" s="21"/>
      <c r="ADE68" s="21"/>
      <c r="ADF68" s="21"/>
      <c r="ADG68" s="21"/>
      <c r="ADH68" s="21"/>
      <c r="ADI68" s="21"/>
      <c r="ADJ68" s="21"/>
      <c r="ADK68" s="21"/>
      <c r="ADL68" s="21"/>
      <c r="ADM68" s="21"/>
      <c r="ADN68" s="21"/>
      <c r="ADO68" s="21"/>
      <c r="ADP68" s="21"/>
      <c r="ADQ68" s="21"/>
      <c r="ADR68" s="21"/>
      <c r="ADS68" s="21"/>
      <c r="ADT68" s="21"/>
      <c r="ADU68" s="21"/>
      <c r="ADV68" s="21"/>
      <c r="ADW68" s="21"/>
      <c r="ADX68" s="21"/>
      <c r="ADY68" s="21"/>
      <c r="ADZ68" s="21"/>
      <c r="AEA68" s="21"/>
      <c r="AEB68" s="21"/>
      <c r="AEC68" s="21"/>
      <c r="AED68" s="21"/>
      <c r="AEE68" s="21"/>
      <c r="AEF68" s="21"/>
      <c r="AEG68" s="21"/>
      <c r="AEH68" s="21"/>
      <c r="AEI68" s="21"/>
      <c r="AEJ68" s="21"/>
      <c r="AEK68" s="21"/>
      <c r="AEL68" s="21"/>
      <c r="AEM68" s="21"/>
      <c r="AEN68" s="21"/>
      <c r="AEO68" s="21"/>
      <c r="AEP68" s="21"/>
      <c r="AEQ68" s="21"/>
      <c r="AER68" s="21"/>
      <c r="AES68" s="21"/>
      <c r="AET68" s="21"/>
      <c r="AEU68" s="21"/>
      <c r="AEV68" s="21"/>
      <c r="AEW68" s="21"/>
      <c r="AEX68" s="21"/>
      <c r="AEY68" s="21"/>
      <c r="AEZ68" s="21"/>
      <c r="AFA68" s="21"/>
      <c r="AFB68" s="21"/>
      <c r="AFC68" s="21"/>
      <c r="AFD68" s="21"/>
      <c r="AFE68" s="21"/>
      <c r="AFF68" s="21"/>
      <c r="AFG68" s="21"/>
      <c r="AFH68" s="21"/>
      <c r="AFI68" s="21"/>
      <c r="AFJ68" s="21"/>
      <c r="AFK68" s="21"/>
      <c r="AFL68" s="21"/>
      <c r="AFM68" s="21"/>
      <c r="AFN68" s="21"/>
      <c r="AFO68" s="21"/>
      <c r="AFP68" s="21"/>
      <c r="AFQ68" s="21"/>
      <c r="AFR68" s="21"/>
      <c r="AFS68" s="21"/>
      <c r="AFT68" s="21"/>
      <c r="AFU68" s="21"/>
      <c r="AFV68" s="21"/>
      <c r="AFW68" s="21"/>
      <c r="AFX68" s="21"/>
      <c r="AFY68" s="21"/>
      <c r="AFZ68" s="21"/>
      <c r="AGA68" s="21"/>
      <c r="AGB68" s="21"/>
      <c r="AGC68" s="21"/>
      <c r="AGD68" s="21"/>
      <c r="AGE68" s="21"/>
      <c r="AGF68" s="21"/>
      <c r="AGG68" s="21"/>
      <c r="AGH68" s="21"/>
      <c r="AGI68" s="21"/>
      <c r="AGJ68" s="21"/>
      <c r="AGK68" s="21"/>
      <c r="AGL68" s="21"/>
      <c r="AGM68" s="21"/>
      <c r="AGN68" s="21"/>
      <c r="AGO68" s="21"/>
      <c r="AGP68" s="21"/>
      <c r="AGQ68" s="21"/>
      <c r="AGR68" s="21"/>
      <c r="AGS68" s="21"/>
    </row>
    <row r="69" spans="1:877" ht="17">
      <c r="A69" s="12"/>
      <c r="B69" s="29" t="s">
        <v>35</v>
      </c>
      <c r="C69" s="56"/>
      <c r="D69" s="56"/>
      <c r="E69" s="56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  <c r="KJ69" s="21"/>
      <c r="KK69" s="21"/>
      <c r="KL69" s="21"/>
      <c r="KM69" s="21"/>
      <c r="KN69" s="21"/>
      <c r="KO69" s="21"/>
      <c r="KP69" s="21"/>
      <c r="KQ69" s="21"/>
      <c r="KR69" s="21"/>
      <c r="KS69" s="21"/>
      <c r="KT69" s="21"/>
      <c r="KU69" s="21"/>
      <c r="KV69" s="21"/>
      <c r="KW69" s="21"/>
      <c r="KX69" s="21"/>
      <c r="KY69" s="21"/>
      <c r="KZ69" s="21"/>
      <c r="LA69" s="21"/>
      <c r="LB69" s="21"/>
      <c r="LC69" s="21"/>
      <c r="LD69" s="21"/>
      <c r="LE69" s="21"/>
      <c r="LF69" s="21"/>
      <c r="LG69" s="21"/>
      <c r="LH69" s="21"/>
      <c r="LI69" s="21"/>
      <c r="LJ69" s="21"/>
      <c r="LK69" s="21"/>
      <c r="LL69" s="21"/>
      <c r="LM69" s="21"/>
      <c r="LN69" s="21"/>
      <c r="LO69" s="21"/>
      <c r="LP69" s="21"/>
      <c r="LQ69" s="21"/>
      <c r="LR69" s="21"/>
      <c r="LS69" s="21"/>
      <c r="LT69" s="21"/>
      <c r="LU69" s="21"/>
      <c r="LV69" s="21"/>
      <c r="LW69" s="21"/>
      <c r="LX69" s="21"/>
      <c r="LY69" s="21"/>
      <c r="LZ69" s="21"/>
      <c r="MA69" s="21"/>
      <c r="MB69" s="21"/>
      <c r="MC69" s="21"/>
      <c r="MD69" s="21"/>
      <c r="ME69" s="21"/>
      <c r="MF69" s="21"/>
      <c r="MG69" s="21"/>
      <c r="MH69" s="21"/>
      <c r="MI69" s="21"/>
      <c r="MJ69" s="21"/>
      <c r="MK69" s="21"/>
      <c r="ML69" s="21"/>
      <c r="MM69" s="21"/>
      <c r="MN69" s="21"/>
      <c r="MO69" s="21"/>
      <c r="MP69" s="21"/>
      <c r="MQ69" s="21"/>
      <c r="MR69" s="21"/>
      <c r="MS69" s="21"/>
      <c r="MT69" s="21"/>
      <c r="MU69" s="21"/>
      <c r="MV69" s="21"/>
      <c r="MW69" s="21"/>
      <c r="MX69" s="21"/>
      <c r="MY69" s="21"/>
      <c r="MZ69" s="21"/>
      <c r="NA69" s="21"/>
      <c r="NB69" s="21"/>
      <c r="NC69" s="21"/>
      <c r="ND69" s="21"/>
      <c r="NE69" s="21"/>
      <c r="NF69" s="21"/>
      <c r="NG69" s="21"/>
      <c r="NH69" s="21"/>
      <c r="NI69" s="21"/>
      <c r="NJ69" s="21"/>
      <c r="NK69" s="21"/>
      <c r="NL69" s="21"/>
      <c r="NM69" s="21"/>
      <c r="NN69" s="21"/>
      <c r="NO69" s="21"/>
      <c r="NP69" s="21"/>
      <c r="NQ69" s="21"/>
      <c r="NR69" s="21"/>
      <c r="NS69" s="21"/>
      <c r="NT69" s="21"/>
      <c r="NU69" s="21"/>
      <c r="NV69" s="21"/>
      <c r="NW69" s="21"/>
      <c r="NX69" s="21"/>
      <c r="NY69" s="21"/>
      <c r="NZ69" s="21"/>
      <c r="OA69" s="21"/>
      <c r="OB69" s="21"/>
      <c r="OC69" s="21"/>
      <c r="OD69" s="21"/>
      <c r="OE69" s="21"/>
      <c r="OF69" s="21"/>
      <c r="OG69" s="21"/>
      <c r="OH69" s="21"/>
      <c r="OI69" s="21"/>
      <c r="OJ69" s="21"/>
      <c r="OK69" s="21"/>
      <c r="OL69" s="21"/>
      <c r="OM69" s="21"/>
      <c r="ON69" s="21"/>
      <c r="OO69" s="21"/>
      <c r="OP69" s="21"/>
      <c r="OQ69" s="21"/>
      <c r="OR69" s="21"/>
      <c r="OS69" s="21"/>
      <c r="OT69" s="21"/>
      <c r="OU69" s="21"/>
      <c r="OV69" s="21"/>
      <c r="OW69" s="21"/>
      <c r="OX69" s="21"/>
      <c r="OY69" s="21"/>
      <c r="OZ69" s="21"/>
      <c r="PA69" s="21"/>
      <c r="PB69" s="21"/>
      <c r="PC69" s="21"/>
      <c r="PD69" s="21"/>
      <c r="PE69" s="21"/>
      <c r="PF69" s="21"/>
      <c r="PG69" s="21"/>
      <c r="PH69" s="21"/>
      <c r="PI69" s="21"/>
      <c r="PJ69" s="21"/>
      <c r="PK69" s="21"/>
      <c r="PL69" s="21"/>
      <c r="PM69" s="21"/>
      <c r="PN69" s="21"/>
      <c r="PO69" s="21"/>
      <c r="PP69" s="21"/>
      <c r="PQ69" s="21"/>
      <c r="PR69" s="21"/>
      <c r="PS69" s="21"/>
      <c r="PT69" s="21"/>
      <c r="PU69" s="21"/>
      <c r="PV69" s="21"/>
      <c r="PW69" s="21"/>
      <c r="PX69" s="21"/>
      <c r="PY69" s="21"/>
      <c r="PZ69" s="21"/>
      <c r="QA69" s="21"/>
      <c r="QB69" s="21"/>
      <c r="QC69" s="21"/>
      <c r="QD69" s="21"/>
      <c r="QE69" s="21"/>
      <c r="QF69" s="21"/>
      <c r="QG69" s="21"/>
      <c r="QH69" s="21"/>
      <c r="QI69" s="21"/>
      <c r="QJ69" s="21"/>
      <c r="QK69" s="21"/>
      <c r="QL69" s="21"/>
      <c r="QM69" s="21"/>
      <c r="QN69" s="21"/>
      <c r="QO69" s="21"/>
      <c r="QP69" s="21"/>
      <c r="QQ69" s="21"/>
      <c r="QR69" s="21"/>
      <c r="QS69" s="21"/>
      <c r="QT69" s="21"/>
      <c r="QU69" s="21"/>
      <c r="QV69" s="21"/>
      <c r="QW69" s="21"/>
      <c r="QX69" s="21"/>
      <c r="QY69" s="21"/>
      <c r="QZ69" s="21"/>
      <c r="RA69" s="21"/>
      <c r="RB69" s="21"/>
      <c r="RC69" s="21"/>
      <c r="RD69" s="21"/>
      <c r="RE69" s="21"/>
      <c r="RF69" s="21"/>
      <c r="RG69" s="21"/>
      <c r="RH69" s="21"/>
      <c r="RI69" s="21"/>
      <c r="RJ69" s="21"/>
      <c r="RK69" s="21"/>
      <c r="RL69" s="21"/>
      <c r="RM69" s="21"/>
      <c r="RN69" s="21"/>
      <c r="RO69" s="21"/>
      <c r="RP69" s="21"/>
      <c r="RQ69" s="21"/>
      <c r="RR69" s="21"/>
      <c r="RS69" s="21"/>
      <c r="RT69" s="21"/>
      <c r="RU69" s="21"/>
      <c r="RV69" s="21"/>
      <c r="RW69" s="21"/>
      <c r="RX69" s="21"/>
      <c r="RY69" s="21"/>
      <c r="RZ69" s="21"/>
      <c r="SA69" s="21"/>
      <c r="SB69" s="21"/>
      <c r="SC69" s="21"/>
      <c r="SD69" s="21"/>
      <c r="SE69" s="21"/>
      <c r="SF69" s="21"/>
      <c r="SG69" s="21"/>
      <c r="SH69" s="21"/>
      <c r="SI69" s="21"/>
      <c r="SJ69" s="21"/>
      <c r="SK69" s="21"/>
      <c r="SL69" s="21"/>
      <c r="SM69" s="21"/>
      <c r="SN69" s="21"/>
      <c r="SO69" s="21"/>
      <c r="SP69" s="21"/>
      <c r="SQ69" s="21"/>
      <c r="SR69" s="21"/>
      <c r="SS69" s="21"/>
      <c r="ST69" s="21"/>
      <c r="SU69" s="21"/>
      <c r="SV69" s="21"/>
      <c r="SW69" s="21"/>
      <c r="SX69" s="21"/>
      <c r="SY69" s="21"/>
      <c r="SZ69" s="21"/>
      <c r="TA69" s="21"/>
      <c r="TB69" s="21"/>
      <c r="TC69" s="21"/>
      <c r="TD69" s="21"/>
      <c r="TE69" s="21"/>
      <c r="TF69" s="21"/>
      <c r="TG69" s="21"/>
      <c r="TH69" s="21"/>
      <c r="TI69" s="21"/>
      <c r="TJ69" s="21"/>
      <c r="TK69" s="21"/>
      <c r="TL69" s="21"/>
      <c r="TM69" s="21"/>
      <c r="TN69" s="21"/>
      <c r="TO69" s="21"/>
      <c r="TP69" s="21"/>
      <c r="TQ69" s="21"/>
      <c r="TR69" s="21"/>
      <c r="TS69" s="21"/>
      <c r="TT69" s="21"/>
      <c r="TU69" s="21"/>
      <c r="TV69" s="21"/>
      <c r="TW69" s="21"/>
      <c r="TX69" s="21"/>
      <c r="TY69" s="21"/>
      <c r="TZ69" s="21"/>
      <c r="UA69" s="21"/>
      <c r="UB69" s="21"/>
      <c r="UC69" s="21"/>
      <c r="UD69" s="21"/>
      <c r="UE69" s="21"/>
      <c r="UF69" s="21"/>
      <c r="UG69" s="21"/>
      <c r="UH69" s="21"/>
      <c r="UI69" s="21"/>
      <c r="UJ69" s="21"/>
      <c r="UK69" s="21"/>
      <c r="UL69" s="21"/>
      <c r="UM69" s="21"/>
      <c r="UN69" s="21"/>
      <c r="UO69" s="21"/>
      <c r="UP69" s="21"/>
      <c r="UQ69" s="21"/>
      <c r="UR69" s="21"/>
      <c r="US69" s="21"/>
      <c r="UT69" s="21"/>
      <c r="UU69" s="21"/>
      <c r="UV69" s="21"/>
      <c r="UW69" s="21"/>
      <c r="UX69" s="21"/>
      <c r="UY69" s="21"/>
      <c r="UZ69" s="21"/>
      <c r="VA69" s="21"/>
      <c r="VB69" s="21"/>
      <c r="VC69" s="21"/>
      <c r="VD69" s="21"/>
      <c r="VE69" s="21"/>
      <c r="VF69" s="21"/>
      <c r="VG69" s="21"/>
      <c r="VH69" s="21"/>
      <c r="VI69" s="21"/>
      <c r="VJ69" s="21"/>
      <c r="VK69" s="21"/>
      <c r="VL69" s="21"/>
      <c r="VM69" s="21"/>
      <c r="VN69" s="21"/>
      <c r="VO69" s="21"/>
      <c r="VP69" s="21"/>
      <c r="VQ69" s="21"/>
      <c r="VR69" s="21"/>
      <c r="VS69" s="21"/>
      <c r="VT69" s="21"/>
      <c r="VU69" s="21"/>
      <c r="VV69" s="21"/>
      <c r="VW69" s="21"/>
      <c r="VX69" s="21"/>
      <c r="VY69" s="21"/>
      <c r="VZ69" s="21"/>
      <c r="WA69" s="21"/>
      <c r="WB69" s="21"/>
      <c r="WC69" s="21"/>
      <c r="WD69" s="21"/>
      <c r="WE69" s="21"/>
      <c r="WF69" s="21"/>
      <c r="WG69" s="21"/>
      <c r="WH69" s="21"/>
      <c r="WI69" s="21"/>
      <c r="WJ69" s="21"/>
      <c r="WK69" s="21"/>
      <c r="WL69" s="21"/>
      <c r="WM69" s="21"/>
      <c r="WN69" s="21"/>
      <c r="WO69" s="21"/>
      <c r="WP69" s="21"/>
      <c r="WQ69" s="21"/>
      <c r="WR69" s="21"/>
      <c r="WS69" s="21"/>
      <c r="WT69" s="21"/>
      <c r="WU69" s="21"/>
      <c r="WV69" s="21"/>
      <c r="WW69" s="21"/>
      <c r="WX69" s="21"/>
      <c r="WY69" s="21"/>
      <c r="WZ69" s="21"/>
      <c r="XA69" s="21"/>
      <c r="XB69" s="21"/>
      <c r="XC69" s="21"/>
      <c r="XD69" s="21"/>
      <c r="XE69" s="21"/>
      <c r="XF69" s="21"/>
      <c r="XG69" s="21"/>
      <c r="XH69" s="21"/>
      <c r="XI69" s="21"/>
      <c r="XJ69" s="21"/>
      <c r="XK69" s="21"/>
      <c r="XL69" s="21"/>
      <c r="XM69" s="21"/>
      <c r="XN69" s="21"/>
      <c r="XO69" s="21"/>
      <c r="XP69" s="21"/>
      <c r="XQ69" s="21"/>
      <c r="XR69" s="21"/>
      <c r="XS69" s="21"/>
      <c r="XT69" s="21"/>
      <c r="XU69" s="21"/>
      <c r="XV69" s="21"/>
      <c r="XW69" s="21"/>
      <c r="XX69" s="21"/>
      <c r="XY69" s="21"/>
      <c r="XZ69" s="21"/>
      <c r="YA69" s="21"/>
      <c r="YB69" s="21"/>
      <c r="YC69" s="21"/>
      <c r="YD69" s="21"/>
      <c r="YE69" s="21"/>
      <c r="YF69" s="21"/>
      <c r="YG69" s="21"/>
      <c r="YH69" s="21"/>
      <c r="YI69" s="21"/>
      <c r="YJ69" s="21"/>
      <c r="YK69" s="21"/>
      <c r="YL69" s="21"/>
      <c r="YM69" s="21"/>
      <c r="YN69" s="21"/>
      <c r="YO69" s="21"/>
      <c r="YP69" s="21"/>
      <c r="YQ69" s="21"/>
      <c r="YR69" s="21"/>
      <c r="YS69" s="21"/>
      <c r="YT69" s="21"/>
      <c r="YU69" s="21"/>
      <c r="YV69" s="21"/>
      <c r="YW69" s="21"/>
      <c r="YX69" s="21"/>
      <c r="YY69" s="21"/>
      <c r="YZ69" s="21"/>
      <c r="ZA69" s="21"/>
      <c r="ZB69" s="21"/>
      <c r="ZC69" s="21"/>
      <c r="ZD69" s="21"/>
      <c r="ZE69" s="21"/>
      <c r="ZF69" s="21"/>
      <c r="ZG69" s="21"/>
      <c r="ZH69" s="21"/>
      <c r="ZI69" s="21"/>
      <c r="ZJ69" s="21"/>
      <c r="ZK69" s="21"/>
      <c r="ZL69" s="21"/>
      <c r="ZM69" s="21"/>
      <c r="ZN69" s="21"/>
      <c r="ZO69" s="21"/>
      <c r="ZP69" s="21"/>
      <c r="ZQ69" s="21"/>
      <c r="ZR69" s="21"/>
      <c r="ZS69" s="21"/>
      <c r="ZT69" s="21"/>
      <c r="ZU69" s="21"/>
      <c r="ZV69" s="21"/>
      <c r="ZW69" s="21"/>
      <c r="ZX69" s="21"/>
      <c r="ZY69" s="21"/>
      <c r="ZZ69" s="21"/>
      <c r="AAA69" s="21"/>
      <c r="AAB69" s="21"/>
      <c r="AAC69" s="21"/>
      <c r="AAD69" s="21"/>
      <c r="AAE69" s="21"/>
      <c r="AAF69" s="21"/>
      <c r="AAG69" s="21"/>
      <c r="AAH69" s="21"/>
      <c r="AAI69" s="21"/>
      <c r="AAJ69" s="21"/>
      <c r="AAK69" s="21"/>
      <c r="AAL69" s="21"/>
      <c r="AAM69" s="21"/>
      <c r="AAN69" s="21"/>
      <c r="AAO69" s="21"/>
      <c r="AAP69" s="21"/>
      <c r="AAQ69" s="21"/>
      <c r="AAR69" s="21"/>
      <c r="AAS69" s="21"/>
      <c r="AAT69" s="21"/>
      <c r="AAU69" s="21"/>
      <c r="AAV69" s="21"/>
      <c r="AAW69" s="21"/>
      <c r="AAX69" s="21"/>
      <c r="AAY69" s="21"/>
      <c r="AAZ69" s="21"/>
      <c r="ABA69" s="21"/>
      <c r="ABB69" s="21"/>
      <c r="ABC69" s="21"/>
      <c r="ABD69" s="21"/>
      <c r="ABE69" s="21"/>
      <c r="ABF69" s="21"/>
      <c r="ABG69" s="21"/>
      <c r="ABH69" s="21"/>
      <c r="ABI69" s="21"/>
      <c r="ABJ69" s="21"/>
      <c r="ABK69" s="21"/>
      <c r="ABL69" s="21"/>
      <c r="ABM69" s="21"/>
      <c r="ABN69" s="21"/>
      <c r="ABO69" s="21"/>
      <c r="ABP69" s="21"/>
      <c r="ABQ69" s="21"/>
      <c r="ABR69" s="21"/>
      <c r="ABS69" s="21"/>
      <c r="ABT69" s="21"/>
      <c r="ABU69" s="21"/>
      <c r="ABV69" s="21"/>
      <c r="ABW69" s="21"/>
      <c r="ABX69" s="21"/>
      <c r="ABY69" s="21"/>
      <c r="ABZ69" s="21"/>
      <c r="ACA69" s="21"/>
      <c r="ACB69" s="21"/>
      <c r="ACC69" s="21"/>
      <c r="ACD69" s="21"/>
      <c r="ACE69" s="21"/>
      <c r="ACF69" s="21"/>
      <c r="ACG69" s="21"/>
      <c r="ACH69" s="21"/>
      <c r="ACI69" s="21"/>
      <c r="ACJ69" s="21"/>
      <c r="ACK69" s="21"/>
      <c r="ACL69" s="21"/>
      <c r="ACM69" s="21"/>
      <c r="ACN69" s="21"/>
      <c r="ACO69" s="21"/>
      <c r="ACP69" s="21"/>
      <c r="ACQ69" s="21"/>
      <c r="ACR69" s="21"/>
      <c r="ACS69" s="21"/>
      <c r="ACT69" s="21"/>
      <c r="ACU69" s="21"/>
      <c r="ACV69" s="21"/>
      <c r="ACW69" s="21"/>
      <c r="ACX69" s="21"/>
      <c r="ACY69" s="21"/>
      <c r="ACZ69" s="21"/>
      <c r="ADA69" s="21"/>
      <c r="ADB69" s="21"/>
      <c r="ADC69" s="21"/>
      <c r="ADD69" s="21"/>
      <c r="ADE69" s="21"/>
      <c r="ADF69" s="21"/>
      <c r="ADG69" s="21"/>
      <c r="ADH69" s="21"/>
      <c r="ADI69" s="21"/>
      <c r="ADJ69" s="21"/>
      <c r="ADK69" s="21"/>
      <c r="ADL69" s="21"/>
      <c r="ADM69" s="21"/>
      <c r="ADN69" s="21"/>
      <c r="ADO69" s="21"/>
      <c r="ADP69" s="21"/>
      <c r="ADQ69" s="21"/>
      <c r="ADR69" s="21"/>
      <c r="ADS69" s="21"/>
      <c r="ADT69" s="21"/>
      <c r="ADU69" s="21"/>
      <c r="ADV69" s="21"/>
      <c r="ADW69" s="21"/>
      <c r="ADX69" s="21"/>
      <c r="ADY69" s="21"/>
      <c r="ADZ69" s="21"/>
      <c r="AEA69" s="21"/>
      <c r="AEB69" s="21"/>
      <c r="AEC69" s="21"/>
      <c r="AED69" s="21"/>
      <c r="AEE69" s="21"/>
      <c r="AEF69" s="21"/>
      <c r="AEG69" s="21"/>
      <c r="AEH69" s="21"/>
      <c r="AEI69" s="21"/>
      <c r="AEJ69" s="21"/>
      <c r="AEK69" s="21"/>
      <c r="AEL69" s="21"/>
      <c r="AEM69" s="21"/>
      <c r="AEN69" s="21"/>
      <c r="AEO69" s="21"/>
      <c r="AEP69" s="21"/>
      <c r="AEQ69" s="21"/>
      <c r="AER69" s="21"/>
      <c r="AES69" s="21"/>
      <c r="AET69" s="21"/>
      <c r="AEU69" s="21"/>
      <c r="AEV69" s="21"/>
      <c r="AEW69" s="21"/>
      <c r="AEX69" s="21"/>
      <c r="AEY69" s="21"/>
      <c r="AEZ69" s="21"/>
      <c r="AFA69" s="21"/>
      <c r="AFB69" s="21"/>
      <c r="AFC69" s="21"/>
      <c r="AFD69" s="21"/>
      <c r="AFE69" s="21"/>
      <c r="AFF69" s="21"/>
      <c r="AFG69" s="21"/>
      <c r="AFH69" s="21"/>
      <c r="AFI69" s="21"/>
      <c r="AFJ69" s="21"/>
      <c r="AFK69" s="21"/>
      <c r="AFL69" s="21"/>
      <c r="AFM69" s="21"/>
      <c r="AFN69" s="21"/>
      <c r="AFO69" s="21"/>
      <c r="AFP69" s="21"/>
      <c r="AFQ69" s="21"/>
      <c r="AFR69" s="21"/>
      <c r="AFS69" s="21"/>
      <c r="AFT69" s="21"/>
      <c r="AFU69" s="21"/>
      <c r="AFV69" s="21"/>
      <c r="AFW69" s="21"/>
      <c r="AFX69" s="21"/>
      <c r="AFY69" s="21"/>
      <c r="AFZ69" s="21"/>
      <c r="AGA69" s="21"/>
      <c r="AGB69" s="21"/>
      <c r="AGC69" s="21"/>
      <c r="AGD69" s="21"/>
      <c r="AGE69" s="21"/>
      <c r="AGF69" s="21"/>
      <c r="AGG69" s="21"/>
      <c r="AGH69" s="21"/>
      <c r="AGI69" s="21"/>
      <c r="AGJ69" s="21"/>
      <c r="AGK69" s="21"/>
      <c r="AGL69" s="21"/>
      <c r="AGM69" s="21"/>
      <c r="AGN69" s="21"/>
      <c r="AGO69" s="21"/>
      <c r="AGP69" s="21"/>
      <c r="AGQ69" s="21"/>
      <c r="AGR69" s="21"/>
      <c r="AGS69" s="21"/>
    </row>
    <row r="70" spans="1:877" ht="13">
      <c r="A70" s="12"/>
      <c r="B70" s="12"/>
      <c r="C70" s="12"/>
      <c r="D70" s="12"/>
      <c r="E70" s="12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  <c r="KJ70" s="21"/>
      <c r="KK70" s="21"/>
      <c r="KL70" s="21"/>
      <c r="KM70" s="21"/>
      <c r="KN70" s="21"/>
      <c r="KO70" s="21"/>
      <c r="KP70" s="21"/>
      <c r="KQ70" s="21"/>
      <c r="KR70" s="21"/>
      <c r="KS70" s="21"/>
      <c r="KT70" s="21"/>
      <c r="KU70" s="21"/>
      <c r="KV70" s="21"/>
      <c r="KW70" s="21"/>
      <c r="KX70" s="21"/>
      <c r="KY70" s="21"/>
      <c r="KZ70" s="21"/>
      <c r="LA70" s="21"/>
      <c r="LB70" s="21"/>
      <c r="LC70" s="21"/>
      <c r="LD70" s="21"/>
      <c r="LE70" s="21"/>
      <c r="LF70" s="21"/>
      <c r="LG70" s="21"/>
      <c r="LH70" s="21"/>
      <c r="LI70" s="21"/>
      <c r="LJ70" s="21"/>
      <c r="LK70" s="21"/>
      <c r="LL70" s="21"/>
      <c r="LM70" s="21"/>
      <c r="LN70" s="21"/>
      <c r="LO70" s="21"/>
      <c r="LP70" s="21"/>
      <c r="LQ70" s="21"/>
      <c r="LR70" s="21"/>
      <c r="LS70" s="21"/>
      <c r="LT70" s="21"/>
      <c r="LU70" s="21"/>
      <c r="LV70" s="21"/>
      <c r="LW70" s="21"/>
      <c r="LX70" s="21"/>
      <c r="LY70" s="21"/>
      <c r="LZ70" s="21"/>
      <c r="MA70" s="21"/>
      <c r="MB70" s="21"/>
      <c r="MC70" s="21"/>
      <c r="MD70" s="21"/>
      <c r="ME70" s="21"/>
      <c r="MF70" s="21"/>
      <c r="MG70" s="21"/>
      <c r="MH70" s="21"/>
      <c r="MI70" s="21"/>
      <c r="MJ70" s="21"/>
      <c r="MK70" s="21"/>
      <c r="ML70" s="21"/>
      <c r="MM70" s="21"/>
      <c r="MN70" s="21"/>
      <c r="MO70" s="21"/>
      <c r="MP70" s="21"/>
      <c r="MQ70" s="21"/>
      <c r="MR70" s="21"/>
      <c r="MS70" s="21"/>
      <c r="MT70" s="21"/>
      <c r="MU70" s="21"/>
      <c r="MV70" s="21"/>
      <c r="MW70" s="21"/>
      <c r="MX70" s="21"/>
      <c r="MY70" s="21"/>
      <c r="MZ70" s="21"/>
      <c r="NA70" s="21"/>
      <c r="NB70" s="21"/>
      <c r="NC70" s="21"/>
      <c r="ND70" s="21"/>
      <c r="NE70" s="21"/>
      <c r="NF70" s="21"/>
      <c r="NG70" s="21"/>
      <c r="NH70" s="21"/>
      <c r="NI70" s="21"/>
      <c r="NJ70" s="21"/>
      <c r="NK70" s="21"/>
      <c r="NL70" s="21"/>
      <c r="NM70" s="21"/>
      <c r="NN70" s="21"/>
      <c r="NO70" s="21"/>
      <c r="NP70" s="21"/>
      <c r="NQ70" s="21"/>
      <c r="NR70" s="21"/>
      <c r="NS70" s="21"/>
      <c r="NT70" s="21"/>
      <c r="NU70" s="21"/>
      <c r="NV70" s="21"/>
      <c r="NW70" s="21"/>
      <c r="NX70" s="21"/>
      <c r="NY70" s="21"/>
      <c r="NZ70" s="21"/>
      <c r="OA70" s="21"/>
      <c r="OB70" s="21"/>
      <c r="OC70" s="21"/>
      <c r="OD70" s="21"/>
      <c r="OE70" s="21"/>
      <c r="OF70" s="21"/>
      <c r="OG70" s="21"/>
      <c r="OH70" s="21"/>
      <c r="OI70" s="21"/>
      <c r="OJ70" s="21"/>
      <c r="OK70" s="21"/>
      <c r="OL70" s="21"/>
      <c r="OM70" s="21"/>
      <c r="ON70" s="21"/>
      <c r="OO70" s="21"/>
      <c r="OP70" s="21"/>
      <c r="OQ70" s="21"/>
      <c r="OR70" s="21"/>
      <c r="OS70" s="21"/>
      <c r="OT70" s="21"/>
      <c r="OU70" s="21"/>
      <c r="OV70" s="21"/>
      <c r="OW70" s="21"/>
      <c r="OX70" s="21"/>
      <c r="OY70" s="21"/>
      <c r="OZ70" s="21"/>
      <c r="PA70" s="21"/>
      <c r="PB70" s="21"/>
      <c r="PC70" s="21"/>
      <c r="PD70" s="21"/>
      <c r="PE70" s="21"/>
      <c r="PF70" s="21"/>
      <c r="PG70" s="21"/>
      <c r="PH70" s="21"/>
      <c r="PI70" s="21"/>
      <c r="PJ70" s="21"/>
      <c r="PK70" s="21"/>
      <c r="PL70" s="21"/>
      <c r="PM70" s="21"/>
      <c r="PN70" s="21"/>
      <c r="PO70" s="21"/>
      <c r="PP70" s="21"/>
      <c r="PQ70" s="21"/>
      <c r="PR70" s="21"/>
      <c r="PS70" s="21"/>
      <c r="PT70" s="21"/>
      <c r="PU70" s="21"/>
      <c r="PV70" s="21"/>
      <c r="PW70" s="21"/>
      <c r="PX70" s="21"/>
      <c r="PY70" s="21"/>
      <c r="PZ70" s="21"/>
      <c r="QA70" s="21"/>
      <c r="QB70" s="21"/>
      <c r="QC70" s="21"/>
      <c r="QD70" s="21"/>
      <c r="QE70" s="21"/>
      <c r="QF70" s="21"/>
      <c r="QG70" s="21"/>
      <c r="QH70" s="21"/>
      <c r="QI70" s="21"/>
      <c r="QJ70" s="21"/>
      <c r="QK70" s="21"/>
      <c r="QL70" s="21"/>
      <c r="QM70" s="21"/>
      <c r="QN70" s="21"/>
      <c r="QO70" s="21"/>
      <c r="QP70" s="21"/>
      <c r="QQ70" s="21"/>
      <c r="QR70" s="21"/>
      <c r="QS70" s="21"/>
      <c r="QT70" s="21"/>
      <c r="QU70" s="21"/>
      <c r="QV70" s="21"/>
      <c r="QW70" s="21"/>
      <c r="QX70" s="21"/>
      <c r="QY70" s="21"/>
      <c r="QZ70" s="21"/>
      <c r="RA70" s="21"/>
      <c r="RB70" s="21"/>
      <c r="RC70" s="21"/>
      <c r="RD70" s="21"/>
      <c r="RE70" s="21"/>
      <c r="RF70" s="21"/>
      <c r="RG70" s="21"/>
      <c r="RH70" s="21"/>
      <c r="RI70" s="21"/>
      <c r="RJ70" s="21"/>
      <c r="RK70" s="21"/>
      <c r="RL70" s="21"/>
      <c r="RM70" s="21"/>
      <c r="RN70" s="21"/>
      <c r="RO70" s="21"/>
      <c r="RP70" s="21"/>
      <c r="RQ70" s="21"/>
      <c r="RR70" s="21"/>
      <c r="RS70" s="21"/>
      <c r="RT70" s="21"/>
      <c r="RU70" s="21"/>
      <c r="RV70" s="21"/>
      <c r="RW70" s="21"/>
      <c r="RX70" s="21"/>
      <c r="RY70" s="21"/>
      <c r="RZ70" s="21"/>
      <c r="SA70" s="21"/>
      <c r="SB70" s="21"/>
      <c r="SC70" s="21"/>
      <c r="SD70" s="21"/>
      <c r="SE70" s="21"/>
      <c r="SF70" s="21"/>
      <c r="SG70" s="21"/>
      <c r="SH70" s="21"/>
      <c r="SI70" s="21"/>
      <c r="SJ70" s="21"/>
      <c r="SK70" s="21"/>
      <c r="SL70" s="21"/>
      <c r="SM70" s="21"/>
      <c r="SN70" s="21"/>
      <c r="SO70" s="21"/>
      <c r="SP70" s="21"/>
      <c r="SQ70" s="21"/>
      <c r="SR70" s="21"/>
      <c r="SS70" s="21"/>
      <c r="ST70" s="21"/>
      <c r="SU70" s="21"/>
      <c r="SV70" s="21"/>
      <c r="SW70" s="21"/>
      <c r="SX70" s="21"/>
      <c r="SY70" s="21"/>
      <c r="SZ70" s="21"/>
      <c r="TA70" s="21"/>
      <c r="TB70" s="21"/>
      <c r="TC70" s="21"/>
      <c r="TD70" s="21"/>
      <c r="TE70" s="21"/>
      <c r="TF70" s="21"/>
      <c r="TG70" s="21"/>
      <c r="TH70" s="21"/>
      <c r="TI70" s="21"/>
      <c r="TJ70" s="21"/>
      <c r="TK70" s="21"/>
      <c r="TL70" s="21"/>
      <c r="TM70" s="21"/>
      <c r="TN70" s="21"/>
      <c r="TO70" s="21"/>
      <c r="TP70" s="21"/>
      <c r="TQ70" s="21"/>
      <c r="TR70" s="21"/>
      <c r="TS70" s="21"/>
      <c r="TT70" s="21"/>
      <c r="TU70" s="21"/>
      <c r="TV70" s="21"/>
      <c r="TW70" s="21"/>
      <c r="TX70" s="21"/>
      <c r="TY70" s="21"/>
      <c r="TZ70" s="21"/>
      <c r="UA70" s="21"/>
      <c r="UB70" s="21"/>
      <c r="UC70" s="21"/>
      <c r="UD70" s="21"/>
      <c r="UE70" s="21"/>
      <c r="UF70" s="21"/>
      <c r="UG70" s="21"/>
      <c r="UH70" s="21"/>
      <c r="UI70" s="21"/>
      <c r="UJ70" s="21"/>
      <c r="UK70" s="21"/>
      <c r="UL70" s="21"/>
      <c r="UM70" s="21"/>
      <c r="UN70" s="21"/>
      <c r="UO70" s="21"/>
      <c r="UP70" s="21"/>
      <c r="UQ70" s="21"/>
      <c r="UR70" s="21"/>
      <c r="US70" s="21"/>
      <c r="UT70" s="21"/>
      <c r="UU70" s="21"/>
      <c r="UV70" s="21"/>
      <c r="UW70" s="21"/>
      <c r="UX70" s="21"/>
      <c r="UY70" s="21"/>
      <c r="UZ70" s="21"/>
      <c r="VA70" s="21"/>
      <c r="VB70" s="21"/>
      <c r="VC70" s="21"/>
      <c r="VD70" s="21"/>
      <c r="VE70" s="21"/>
      <c r="VF70" s="21"/>
      <c r="VG70" s="21"/>
      <c r="VH70" s="21"/>
      <c r="VI70" s="21"/>
      <c r="VJ70" s="21"/>
      <c r="VK70" s="21"/>
      <c r="VL70" s="21"/>
      <c r="VM70" s="21"/>
      <c r="VN70" s="21"/>
      <c r="VO70" s="21"/>
      <c r="VP70" s="21"/>
      <c r="VQ70" s="21"/>
      <c r="VR70" s="21"/>
      <c r="VS70" s="21"/>
      <c r="VT70" s="21"/>
      <c r="VU70" s="21"/>
      <c r="VV70" s="21"/>
      <c r="VW70" s="21"/>
      <c r="VX70" s="21"/>
      <c r="VY70" s="21"/>
      <c r="VZ70" s="21"/>
      <c r="WA70" s="21"/>
      <c r="WB70" s="21"/>
      <c r="WC70" s="21"/>
      <c r="WD70" s="21"/>
      <c r="WE70" s="21"/>
      <c r="WF70" s="21"/>
      <c r="WG70" s="21"/>
      <c r="WH70" s="21"/>
      <c r="WI70" s="21"/>
      <c r="WJ70" s="21"/>
      <c r="WK70" s="21"/>
      <c r="WL70" s="21"/>
      <c r="WM70" s="21"/>
      <c r="WN70" s="21"/>
      <c r="WO70" s="21"/>
      <c r="WP70" s="21"/>
      <c r="WQ70" s="21"/>
      <c r="WR70" s="21"/>
      <c r="WS70" s="21"/>
      <c r="WT70" s="21"/>
      <c r="WU70" s="21"/>
      <c r="WV70" s="21"/>
      <c r="WW70" s="21"/>
      <c r="WX70" s="21"/>
      <c r="WY70" s="21"/>
      <c r="WZ70" s="21"/>
      <c r="XA70" s="21"/>
      <c r="XB70" s="21"/>
      <c r="XC70" s="21"/>
      <c r="XD70" s="21"/>
      <c r="XE70" s="21"/>
      <c r="XF70" s="21"/>
      <c r="XG70" s="21"/>
      <c r="XH70" s="21"/>
      <c r="XI70" s="21"/>
      <c r="XJ70" s="21"/>
      <c r="XK70" s="21"/>
      <c r="XL70" s="21"/>
      <c r="XM70" s="21"/>
      <c r="XN70" s="21"/>
      <c r="XO70" s="21"/>
      <c r="XP70" s="21"/>
      <c r="XQ70" s="21"/>
      <c r="XR70" s="21"/>
      <c r="XS70" s="21"/>
      <c r="XT70" s="21"/>
      <c r="XU70" s="21"/>
      <c r="XV70" s="21"/>
      <c r="XW70" s="21"/>
      <c r="XX70" s="21"/>
      <c r="XY70" s="21"/>
      <c r="XZ70" s="21"/>
      <c r="YA70" s="21"/>
      <c r="YB70" s="21"/>
      <c r="YC70" s="21"/>
      <c r="YD70" s="21"/>
      <c r="YE70" s="21"/>
      <c r="YF70" s="21"/>
      <c r="YG70" s="21"/>
      <c r="YH70" s="21"/>
      <c r="YI70" s="21"/>
      <c r="YJ70" s="21"/>
      <c r="YK70" s="21"/>
      <c r="YL70" s="21"/>
      <c r="YM70" s="21"/>
      <c r="YN70" s="21"/>
      <c r="YO70" s="21"/>
      <c r="YP70" s="21"/>
      <c r="YQ70" s="21"/>
      <c r="YR70" s="21"/>
      <c r="YS70" s="21"/>
      <c r="YT70" s="21"/>
      <c r="YU70" s="21"/>
      <c r="YV70" s="21"/>
      <c r="YW70" s="21"/>
      <c r="YX70" s="21"/>
      <c r="YY70" s="21"/>
      <c r="YZ70" s="21"/>
      <c r="ZA70" s="21"/>
      <c r="ZB70" s="21"/>
      <c r="ZC70" s="21"/>
      <c r="ZD70" s="21"/>
      <c r="ZE70" s="21"/>
      <c r="ZF70" s="21"/>
      <c r="ZG70" s="21"/>
      <c r="ZH70" s="21"/>
      <c r="ZI70" s="21"/>
      <c r="ZJ70" s="21"/>
      <c r="ZK70" s="21"/>
      <c r="ZL70" s="21"/>
      <c r="ZM70" s="21"/>
      <c r="ZN70" s="21"/>
      <c r="ZO70" s="21"/>
      <c r="ZP70" s="21"/>
      <c r="ZQ70" s="21"/>
      <c r="ZR70" s="21"/>
      <c r="ZS70" s="21"/>
      <c r="ZT70" s="21"/>
      <c r="ZU70" s="21"/>
      <c r="ZV70" s="21"/>
      <c r="ZW70" s="21"/>
      <c r="ZX70" s="21"/>
      <c r="ZY70" s="21"/>
      <c r="ZZ70" s="21"/>
      <c r="AAA70" s="21"/>
      <c r="AAB70" s="21"/>
      <c r="AAC70" s="21"/>
      <c r="AAD70" s="21"/>
      <c r="AAE70" s="21"/>
      <c r="AAF70" s="21"/>
      <c r="AAG70" s="21"/>
      <c r="AAH70" s="21"/>
      <c r="AAI70" s="21"/>
      <c r="AAJ70" s="21"/>
      <c r="AAK70" s="21"/>
      <c r="AAL70" s="21"/>
      <c r="AAM70" s="21"/>
      <c r="AAN70" s="21"/>
      <c r="AAO70" s="21"/>
      <c r="AAP70" s="21"/>
      <c r="AAQ70" s="21"/>
      <c r="AAR70" s="21"/>
      <c r="AAS70" s="21"/>
      <c r="AAT70" s="21"/>
      <c r="AAU70" s="21"/>
      <c r="AAV70" s="21"/>
      <c r="AAW70" s="21"/>
      <c r="AAX70" s="21"/>
      <c r="AAY70" s="21"/>
      <c r="AAZ70" s="21"/>
      <c r="ABA70" s="21"/>
      <c r="ABB70" s="21"/>
      <c r="ABC70" s="21"/>
      <c r="ABD70" s="21"/>
      <c r="ABE70" s="21"/>
      <c r="ABF70" s="21"/>
      <c r="ABG70" s="21"/>
      <c r="ABH70" s="21"/>
      <c r="ABI70" s="21"/>
      <c r="ABJ70" s="21"/>
      <c r="ABK70" s="21"/>
      <c r="ABL70" s="21"/>
      <c r="ABM70" s="21"/>
      <c r="ABN70" s="21"/>
      <c r="ABO70" s="21"/>
      <c r="ABP70" s="21"/>
      <c r="ABQ70" s="21"/>
      <c r="ABR70" s="21"/>
      <c r="ABS70" s="21"/>
      <c r="ABT70" s="21"/>
      <c r="ABU70" s="21"/>
      <c r="ABV70" s="21"/>
      <c r="ABW70" s="21"/>
      <c r="ABX70" s="21"/>
      <c r="ABY70" s="21"/>
      <c r="ABZ70" s="21"/>
      <c r="ACA70" s="21"/>
      <c r="ACB70" s="21"/>
      <c r="ACC70" s="21"/>
      <c r="ACD70" s="21"/>
      <c r="ACE70" s="21"/>
      <c r="ACF70" s="21"/>
      <c r="ACG70" s="21"/>
      <c r="ACH70" s="21"/>
      <c r="ACI70" s="21"/>
      <c r="ACJ70" s="21"/>
      <c r="ACK70" s="21"/>
      <c r="ACL70" s="21"/>
      <c r="ACM70" s="21"/>
      <c r="ACN70" s="21"/>
      <c r="ACO70" s="21"/>
      <c r="ACP70" s="21"/>
      <c r="ACQ70" s="21"/>
      <c r="ACR70" s="21"/>
      <c r="ACS70" s="21"/>
      <c r="ACT70" s="21"/>
      <c r="ACU70" s="21"/>
      <c r="ACV70" s="21"/>
      <c r="ACW70" s="21"/>
      <c r="ACX70" s="21"/>
      <c r="ACY70" s="21"/>
      <c r="ACZ70" s="21"/>
      <c r="ADA70" s="21"/>
      <c r="ADB70" s="21"/>
      <c r="ADC70" s="21"/>
      <c r="ADD70" s="21"/>
      <c r="ADE70" s="21"/>
      <c r="ADF70" s="21"/>
      <c r="ADG70" s="21"/>
      <c r="ADH70" s="21"/>
      <c r="ADI70" s="21"/>
      <c r="ADJ70" s="21"/>
      <c r="ADK70" s="21"/>
      <c r="ADL70" s="21"/>
      <c r="ADM70" s="21"/>
      <c r="ADN70" s="21"/>
      <c r="ADO70" s="21"/>
      <c r="ADP70" s="21"/>
      <c r="ADQ70" s="21"/>
      <c r="ADR70" s="21"/>
      <c r="ADS70" s="21"/>
      <c r="ADT70" s="21"/>
      <c r="ADU70" s="21"/>
      <c r="ADV70" s="21"/>
      <c r="ADW70" s="21"/>
      <c r="ADX70" s="21"/>
      <c r="ADY70" s="21"/>
      <c r="ADZ70" s="21"/>
      <c r="AEA70" s="21"/>
      <c r="AEB70" s="21"/>
      <c r="AEC70" s="21"/>
      <c r="AED70" s="21"/>
      <c r="AEE70" s="21"/>
      <c r="AEF70" s="21"/>
      <c r="AEG70" s="21"/>
      <c r="AEH70" s="21"/>
      <c r="AEI70" s="21"/>
      <c r="AEJ70" s="21"/>
      <c r="AEK70" s="21"/>
      <c r="AEL70" s="21"/>
      <c r="AEM70" s="21"/>
      <c r="AEN70" s="21"/>
      <c r="AEO70" s="21"/>
      <c r="AEP70" s="21"/>
      <c r="AEQ70" s="21"/>
      <c r="AER70" s="21"/>
      <c r="AES70" s="21"/>
      <c r="AET70" s="21"/>
      <c r="AEU70" s="21"/>
      <c r="AEV70" s="21"/>
      <c r="AEW70" s="21"/>
      <c r="AEX70" s="21"/>
      <c r="AEY70" s="21"/>
      <c r="AEZ70" s="21"/>
      <c r="AFA70" s="21"/>
      <c r="AFB70" s="21"/>
      <c r="AFC70" s="21"/>
      <c r="AFD70" s="21"/>
      <c r="AFE70" s="21"/>
      <c r="AFF70" s="21"/>
      <c r="AFG70" s="21"/>
      <c r="AFH70" s="21"/>
      <c r="AFI70" s="21"/>
      <c r="AFJ70" s="21"/>
      <c r="AFK70" s="21"/>
      <c r="AFL70" s="21"/>
      <c r="AFM70" s="21"/>
      <c r="AFN70" s="21"/>
      <c r="AFO70" s="21"/>
      <c r="AFP70" s="21"/>
      <c r="AFQ70" s="21"/>
      <c r="AFR70" s="21"/>
      <c r="AFS70" s="21"/>
      <c r="AFT70" s="21"/>
      <c r="AFU70" s="21"/>
      <c r="AFV70" s="21"/>
      <c r="AFW70" s="21"/>
      <c r="AFX70" s="21"/>
      <c r="AFY70" s="21"/>
      <c r="AFZ70" s="21"/>
      <c r="AGA70" s="21"/>
      <c r="AGB70" s="21"/>
      <c r="AGC70" s="21"/>
      <c r="AGD70" s="21"/>
      <c r="AGE70" s="21"/>
      <c r="AGF70" s="21"/>
      <c r="AGG70" s="21"/>
      <c r="AGH70" s="21"/>
      <c r="AGI70" s="21"/>
      <c r="AGJ70" s="21"/>
      <c r="AGK70" s="21"/>
      <c r="AGL70" s="21"/>
      <c r="AGM70" s="21"/>
      <c r="AGN70" s="21"/>
      <c r="AGO70" s="21"/>
      <c r="AGP70" s="21"/>
      <c r="AGQ70" s="21"/>
      <c r="AGR70" s="21"/>
      <c r="AGS70" s="21"/>
    </row>
    <row r="71" spans="1:877" ht="13">
      <c r="A71" s="12"/>
      <c r="B71" s="58" t="s">
        <v>36</v>
      </c>
      <c r="C71" s="59"/>
      <c r="D71" s="59"/>
      <c r="E71" s="59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KN71" s="21"/>
      <c r="KO71" s="21"/>
      <c r="KP71" s="21"/>
      <c r="KQ71" s="21"/>
      <c r="KR71" s="21"/>
      <c r="KS71" s="21"/>
      <c r="KT71" s="21"/>
      <c r="KU71" s="21"/>
      <c r="KV71" s="21"/>
      <c r="KW71" s="21"/>
      <c r="KX71" s="21"/>
      <c r="KY71" s="21"/>
      <c r="KZ71" s="21"/>
      <c r="LA71" s="21"/>
      <c r="LB71" s="21"/>
      <c r="LC71" s="21"/>
      <c r="LD71" s="21"/>
      <c r="LE71" s="21"/>
      <c r="LF71" s="21"/>
      <c r="LG71" s="21"/>
      <c r="LH71" s="21"/>
      <c r="LI71" s="21"/>
      <c r="LJ71" s="21"/>
      <c r="LK71" s="21"/>
      <c r="LL71" s="21"/>
      <c r="LM71" s="21"/>
      <c r="LN71" s="21"/>
      <c r="LO71" s="21"/>
      <c r="LP71" s="21"/>
      <c r="LQ71" s="21"/>
      <c r="LR71" s="21"/>
      <c r="LS71" s="21"/>
      <c r="LT71" s="21"/>
      <c r="LU71" s="21"/>
      <c r="LV71" s="21"/>
      <c r="LW71" s="21"/>
      <c r="LX71" s="21"/>
      <c r="LY71" s="21"/>
      <c r="LZ71" s="21"/>
      <c r="MA71" s="21"/>
      <c r="MB71" s="21"/>
      <c r="MC71" s="21"/>
      <c r="MD71" s="21"/>
      <c r="ME71" s="21"/>
      <c r="MF71" s="21"/>
      <c r="MG71" s="21"/>
      <c r="MH71" s="21"/>
      <c r="MI71" s="21"/>
      <c r="MJ71" s="21"/>
      <c r="MK71" s="21"/>
      <c r="ML71" s="21"/>
      <c r="MM71" s="21"/>
      <c r="MN71" s="21"/>
      <c r="MO71" s="21"/>
      <c r="MP71" s="21"/>
      <c r="MQ71" s="21"/>
      <c r="MR71" s="21"/>
      <c r="MS71" s="21"/>
      <c r="MT71" s="21"/>
      <c r="MU71" s="21"/>
      <c r="MV71" s="21"/>
      <c r="MW71" s="21"/>
      <c r="MX71" s="21"/>
      <c r="MY71" s="21"/>
      <c r="MZ71" s="21"/>
      <c r="NA71" s="21"/>
      <c r="NB71" s="21"/>
      <c r="NC71" s="21"/>
      <c r="ND71" s="21"/>
      <c r="NE71" s="21"/>
      <c r="NF71" s="21"/>
      <c r="NG71" s="21"/>
      <c r="NH71" s="21"/>
      <c r="NI71" s="21"/>
      <c r="NJ71" s="21"/>
      <c r="NK71" s="21"/>
      <c r="NL71" s="21"/>
      <c r="NM71" s="21"/>
      <c r="NN71" s="21"/>
      <c r="NO71" s="21"/>
      <c r="NP71" s="21"/>
      <c r="NQ71" s="21"/>
      <c r="NR71" s="21"/>
      <c r="NS71" s="21"/>
      <c r="NT71" s="21"/>
      <c r="NU71" s="21"/>
      <c r="NV71" s="21"/>
      <c r="NW71" s="21"/>
      <c r="NX71" s="21"/>
      <c r="NY71" s="21"/>
      <c r="NZ71" s="21"/>
      <c r="OA71" s="21"/>
      <c r="OB71" s="21"/>
      <c r="OC71" s="21"/>
      <c r="OD71" s="21"/>
      <c r="OE71" s="21"/>
      <c r="OF71" s="21"/>
      <c r="OG71" s="21"/>
      <c r="OH71" s="21"/>
      <c r="OI71" s="21"/>
      <c r="OJ71" s="21"/>
      <c r="OK71" s="21"/>
      <c r="OL71" s="21"/>
      <c r="OM71" s="21"/>
      <c r="ON71" s="21"/>
      <c r="OO71" s="21"/>
      <c r="OP71" s="21"/>
      <c r="OQ71" s="21"/>
      <c r="OR71" s="21"/>
      <c r="OS71" s="21"/>
      <c r="OT71" s="21"/>
      <c r="OU71" s="21"/>
      <c r="OV71" s="21"/>
      <c r="OW71" s="21"/>
      <c r="OX71" s="21"/>
      <c r="OY71" s="21"/>
      <c r="OZ71" s="21"/>
      <c r="PA71" s="21"/>
      <c r="PB71" s="21"/>
      <c r="PC71" s="21"/>
      <c r="PD71" s="21"/>
      <c r="PE71" s="21"/>
      <c r="PF71" s="21"/>
      <c r="PG71" s="21"/>
      <c r="PH71" s="21"/>
      <c r="PI71" s="21"/>
      <c r="PJ71" s="21"/>
      <c r="PK71" s="21"/>
      <c r="PL71" s="21"/>
      <c r="PM71" s="21"/>
      <c r="PN71" s="21"/>
      <c r="PO71" s="21"/>
      <c r="PP71" s="21"/>
      <c r="PQ71" s="21"/>
      <c r="PR71" s="21"/>
      <c r="PS71" s="21"/>
      <c r="PT71" s="21"/>
      <c r="PU71" s="21"/>
      <c r="PV71" s="21"/>
      <c r="PW71" s="21"/>
      <c r="PX71" s="21"/>
      <c r="PY71" s="21"/>
      <c r="PZ71" s="21"/>
      <c r="QA71" s="21"/>
      <c r="QB71" s="21"/>
      <c r="QC71" s="21"/>
      <c r="QD71" s="21"/>
      <c r="QE71" s="21"/>
      <c r="QF71" s="21"/>
      <c r="QG71" s="21"/>
      <c r="QH71" s="21"/>
      <c r="QI71" s="21"/>
      <c r="QJ71" s="21"/>
      <c r="QK71" s="21"/>
      <c r="QL71" s="21"/>
      <c r="QM71" s="21"/>
      <c r="QN71" s="21"/>
      <c r="QO71" s="21"/>
      <c r="QP71" s="21"/>
      <c r="QQ71" s="21"/>
      <c r="QR71" s="21"/>
      <c r="QS71" s="21"/>
      <c r="QT71" s="21"/>
      <c r="QU71" s="21"/>
      <c r="QV71" s="21"/>
      <c r="QW71" s="21"/>
      <c r="QX71" s="21"/>
      <c r="QY71" s="21"/>
      <c r="QZ71" s="21"/>
      <c r="RA71" s="21"/>
      <c r="RB71" s="21"/>
      <c r="RC71" s="21"/>
      <c r="RD71" s="21"/>
      <c r="RE71" s="21"/>
      <c r="RF71" s="21"/>
      <c r="RG71" s="21"/>
      <c r="RH71" s="21"/>
      <c r="RI71" s="21"/>
      <c r="RJ71" s="21"/>
      <c r="RK71" s="21"/>
      <c r="RL71" s="21"/>
      <c r="RM71" s="21"/>
      <c r="RN71" s="21"/>
      <c r="RO71" s="21"/>
      <c r="RP71" s="21"/>
      <c r="RQ71" s="21"/>
      <c r="RR71" s="21"/>
      <c r="RS71" s="21"/>
      <c r="RT71" s="21"/>
      <c r="RU71" s="21"/>
      <c r="RV71" s="21"/>
      <c r="RW71" s="21"/>
      <c r="RX71" s="21"/>
      <c r="RY71" s="21"/>
      <c r="RZ71" s="21"/>
      <c r="SA71" s="21"/>
      <c r="SB71" s="21"/>
      <c r="SC71" s="21"/>
      <c r="SD71" s="21"/>
      <c r="SE71" s="21"/>
      <c r="SF71" s="21"/>
      <c r="SG71" s="21"/>
      <c r="SH71" s="21"/>
      <c r="SI71" s="21"/>
      <c r="SJ71" s="21"/>
      <c r="SK71" s="21"/>
      <c r="SL71" s="21"/>
      <c r="SM71" s="21"/>
      <c r="SN71" s="21"/>
      <c r="SO71" s="21"/>
      <c r="SP71" s="21"/>
      <c r="SQ71" s="21"/>
      <c r="SR71" s="21"/>
      <c r="SS71" s="21"/>
      <c r="ST71" s="21"/>
      <c r="SU71" s="21"/>
      <c r="SV71" s="21"/>
      <c r="SW71" s="21"/>
      <c r="SX71" s="21"/>
      <c r="SY71" s="21"/>
      <c r="SZ71" s="21"/>
      <c r="TA71" s="21"/>
      <c r="TB71" s="21"/>
      <c r="TC71" s="21"/>
      <c r="TD71" s="21"/>
      <c r="TE71" s="21"/>
      <c r="TF71" s="21"/>
      <c r="TG71" s="21"/>
      <c r="TH71" s="21"/>
      <c r="TI71" s="21"/>
      <c r="TJ71" s="21"/>
      <c r="TK71" s="21"/>
      <c r="TL71" s="21"/>
      <c r="TM71" s="21"/>
      <c r="TN71" s="21"/>
      <c r="TO71" s="21"/>
      <c r="TP71" s="21"/>
      <c r="TQ71" s="21"/>
      <c r="TR71" s="21"/>
      <c r="TS71" s="21"/>
      <c r="TT71" s="21"/>
      <c r="TU71" s="21"/>
      <c r="TV71" s="21"/>
      <c r="TW71" s="21"/>
      <c r="TX71" s="21"/>
      <c r="TY71" s="21"/>
      <c r="TZ71" s="21"/>
      <c r="UA71" s="21"/>
      <c r="UB71" s="21"/>
      <c r="UC71" s="21"/>
      <c r="UD71" s="21"/>
      <c r="UE71" s="21"/>
      <c r="UF71" s="21"/>
      <c r="UG71" s="21"/>
      <c r="UH71" s="21"/>
      <c r="UI71" s="21"/>
      <c r="UJ71" s="21"/>
      <c r="UK71" s="21"/>
      <c r="UL71" s="21"/>
      <c r="UM71" s="21"/>
      <c r="UN71" s="21"/>
      <c r="UO71" s="21"/>
      <c r="UP71" s="21"/>
      <c r="UQ71" s="21"/>
      <c r="UR71" s="21"/>
      <c r="US71" s="21"/>
      <c r="UT71" s="21"/>
      <c r="UU71" s="21"/>
      <c r="UV71" s="21"/>
      <c r="UW71" s="21"/>
      <c r="UX71" s="21"/>
      <c r="UY71" s="21"/>
      <c r="UZ71" s="21"/>
      <c r="VA71" s="21"/>
      <c r="VB71" s="21"/>
      <c r="VC71" s="21"/>
      <c r="VD71" s="21"/>
      <c r="VE71" s="21"/>
      <c r="VF71" s="21"/>
      <c r="VG71" s="21"/>
      <c r="VH71" s="21"/>
      <c r="VI71" s="21"/>
      <c r="VJ71" s="21"/>
      <c r="VK71" s="21"/>
      <c r="VL71" s="21"/>
      <c r="VM71" s="21"/>
      <c r="VN71" s="21"/>
      <c r="VO71" s="21"/>
      <c r="VP71" s="21"/>
      <c r="VQ71" s="21"/>
      <c r="VR71" s="21"/>
      <c r="VS71" s="21"/>
      <c r="VT71" s="21"/>
      <c r="VU71" s="21"/>
      <c r="VV71" s="21"/>
      <c r="VW71" s="21"/>
      <c r="VX71" s="21"/>
      <c r="VY71" s="21"/>
      <c r="VZ71" s="21"/>
      <c r="WA71" s="21"/>
      <c r="WB71" s="21"/>
      <c r="WC71" s="21"/>
      <c r="WD71" s="21"/>
      <c r="WE71" s="21"/>
      <c r="WF71" s="21"/>
      <c r="WG71" s="21"/>
      <c r="WH71" s="21"/>
      <c r="WI71" s="21"/>
      <c r="WJ71" s="21"/>
      <c r="WK71" s="21"/>
      <c r="WL71" s="21"/>
      <c r="WM71" s="21"/>
      <c r="WN71" s="21"/>
      <c r="WO71" s="21"/>
      <c r="WP71" s="21"/>
      <c r="WQ71" s="21"/>
      <c r="WR71" s="21"/>
      <c r="WS71" s="21"/>
      <c r="WT71" s="21"/>
      <c r="WU71" s="21"/>
      <c r="WV71" s="21"/>
      <c r="WW71" s="21"/>
      <c r="WX71" s="21"/>
      <c r="WY71" s="21"/>
      <c r="WZ71" s="21"/>
      <c r="XA71" s="21"/>
      <c r="XB71" s="21"/>
      <c r="XC71" s="21"/>
      <c r="XD71" s="21"/>
      <c r="XE71" s="21"/>
      <c r="XF71" s="21"/>
      <c r="XG71" s="21"/>
      <c r="XH71" s="21"/>
      <c r="XI71" s="21"/>
      <c r="XJ71" s="21"/>
      <c r="XK71" s="21"/>
      <c r="XL71" s="21"/>
      <c r="XM71" s="21"/>
      <c r="XN71" s="21"/>
      <c r="XO71" s="21"/>
      <c r="XP71" s="21"/>
      <c r="XQ71" s="21"/>
      <c r="XR71" s="21"/>
      <c r="XS71" s="21"/>
      <c r="XT71" s="21"/>
      <c r="XU71" s="21"/>
      <c r="XV71" s="21"/>
      <c r="XW71" s="21"/>
      <c r="XX71" s="21"/>
      <c r="XY71" s="21"/>
      <c r="XZ71" s="21"/>
      <c r="YA71" s="21"/>
      <c r="YB71" s="21"/>
      <c r="YC71" s="21"/>
      <c r="YD71" s="21"/>
      <c r="YE71" s="21"/>
      <c r="YF71" s="21"/>
      <c r="YG71" s="21"/>
      <c r="YH71" s="21"/>
      <c r="YI71" s="21"/>
      <c r="YJ71" s="21"/>
      <c r="YK71" s="21"/>
      <c r="YL71" s="21"/>
      <c r="YM71" s="21"/>
      <c r="YN71" s="21"/>
      <c r="YO71" s="21"/>
      <c r="YP71" s="21"/>
      <c r="YQ71" s="21"/>
      <c r="YR71" s="21"/>
      <c r="YS71" s="21"/>
      <c r="YT71" s="21"/>
      <c r="YU71" s="21"/>
      <c r="YV71" s="21"/>
      <c r="YW71" s="21"/>
      <c r="YX71" s="21"/>
      <c r="YY71" s="21"/>
      <c r="YZ71" s="21"/>
      <c r="ZA71" s="21"/>
      <c r="ZB71" s="21"/>
      <c r="ZC71" s="21"/>
      <c r="ZD71" s="21"/>
      <c r="ZE71" s="21"/>
      <c r="ZF71" s="21"/>
      <c r="ZG71" s="21"/>
      <c r="ZH71" s="21"/>
      <c r="ZI71" s="21"/>
      <c r="ZJ71" s="21"/>
      <c r="ZK71" s="21"/>
      <c r="ZL71" s="21"/>
      <c r="ZM71" s="21"/>
      <c r="ZN71" s="21"/>
      <c r="ZO71" s="21"/>
      <c r="ZP71" s="21"/>
      <c r="ZQ71" s="21"/>
      <c r="ZR71" s="21"/>
      <c r="ZS71" s="21"/>
      <c r="ZT71" s="21"/>
      <c r="ZU71" s="21"/>
      <c r="ZV71" s="21"/>
      <c r="ZW71" s="21"/>
      <c r="ZX71" s="21"/>
      <c r="ZY71" s="21"/>
      <c r="ZZ71" s="21"/>
      <c r="AAA71" s="21"/>
      <c r="AAB71" s="21"/>
      <c r="AAC71" s="21"/>
      <c r="AAD71" s="21"/>
      <c r="AAE71" s="21"/>
      <c r="AAF71" s="21"/>
      <c r="AAG71" s="21"/>
      <c r="AAH71" s="21"/>
      <c r="AAI71" s="21"/>
      <c r="AAJ71" s="21"/>
      <c r="AAK71" s="21"/>
      <c r="AAL71" s="21"/>
      <c r="AAM71" s="21"/>
      <c r="AAN71" s="21"/>
      <c r="AAO71" s="21"/>
      <c r="AAP71" s="21"/>
      <c r="AAQ71" s="21"/>
      <c r="AAR71" s="21"/>
      <c r="AAS71" s="21"/>
      <c r="AAT71" s="21"/>
      <c r="AAU71" s="21"/>
      <c r="AAV71" s="21"/>
      <c r="AAW71" s="21"/>
      <c r="AAX71" s="21"/>
      <c r="AAY71" s="21"/>
      <c r="AAZ71" s="21"/>
      <c r="ABA71" s="21"/>
      <c r="ABB71" s="21"/>
      <c r="ABC71" s="21"/>
      <c r="ABD71" s="21"/>
      <c r="ABE71" s="21"/>
      <c r="ABF71" s="21"/>
      <c r="ABG71" s="21"/>
      <c r="ABH71" s="21"/>
      <c r="ABI71" s="21"/>
      <c r="ABJ71" s="21"/>
      <c r="ABK71" s="21"/>
      <c r="ABL71" s="21"/>
      <c r="ABM71" s="21"/>
      <c r="ABN71" s="21"/>
      <c r="ABO71" s="21"/>
      <c r="ABP71" s="21"/>
      <c r="ABQ71" s="21"/>
      <c r="ABR71" s="21"/>
      <c r="ABS71" s="21"/>
      <c r="ABT71" s="21"/>
      <c r="ABU71" s="21"/>
      <c r="ABV71" s="21"/>
      <c r="ABW71" s="21"/>
      <c r="ABX71" s="21"/>
      <c r="ABY71" s="21"/>
      <c r="ABZ71" s="21"/>
      <c r="ACA71" s="21"/>
      <c r="ACB71" s="21"/>
      <c r="ACC71" s="21"/>
      <c r="ACD71" s="21"/>
      <c r="ACE71" s="21"/>
      <c r="ACF71" s="21"/>
      <c r="ACG71" s="21"/>
      <c r="ACH71" s="21"/>
      <c r="ACI71" s="21"/>
      <c r="ACJ71" s="21"/>
      <c r="ACK71" s="21"/>
      <c r="ACL71" s="21"/>
      <c r="ACM71" s="21"/>
      <c r="ACN71" s="21"/>
      <c r="ACO71" s="21"/>
      <c r="ACP71" s="21"/>
      <c r="ACQ71" s="21"/>
      <c r="ACR71" s="21"/>
      <c r="ACS71" s="21"/>
      <c r="ACT71" s="21"/>
      <c r="ACU71" s="21"/>
      <c r="ACV71" s="21"/>
      <c r="ACW71" s="21"/>
      <c r="ACX71" s="21"/>
      <c r="ACY71" s="21"/>
      <c r="ACZ71" s="21"/>
      <c r="ADA71" s="21"/>
      <c r="ADB71" s="21"/>
      <c r="ADC71" s="21"/>
      <c r="ADD71" s="21"/>
      <c r="ADE71" s="21"/>
      <c r="ADF71" s="21"/>
      <c r="ADG71" s="21"/>
      <c r="ADH71" s="21"/>
      <c r="ADI71" s="21"/>
      <c r="ADJ71" s="21"/>
      <c r="ADK71" s="21"/>
      <c r="ADL71" s="21"/>
      <c r="ADM71" s="21"/>
      <c r="ADN71" s="21"/>
      <c r="ADO71" s="21"/>
      <c r="ADP71" s="21"/>
      <c r="ADQ71" s="21"/>
      <c r="ADR71" s="21"/>
      <c r="ADS71" s="21"/>
      <c r="ADT71" s="21"/>
      <c r="ADU71" s="21"/>
      <c r="ADV71" s="21"/>
      <c r="ADW71" s="21"/>
      <c r="ADX71" s="21"/>
      <c r="ADY71" s="21"/>
      <c r="ADZ71" s="21"/>
      <c r="AEA71" s="21"/>
      <c r="AEB71" s="21"/>
      <c r="AEC71" s="21"/>
      <c r="AED71" s="21"/>
      <c r="AEE71" s="21"/>
      <c r="AEF71" s="21"/>
      <c r="AEG71" s="21"/>
      <c r="AEH71" s="21"/>
      <c r="AEI71" s="21"/>
      <c r="AEJ71" s="21"/>
      <c r="AEK71" s="21"/>
      <c r="AEL71" s="21"/>
      <c r="AEM71" s="21"/>
      <c r="AEN71" s="21"/>
      <c r="AEO71" s="21"/>
      <c r="AEP71" s="21"/>
      <c r="AEQ71" s="21"/>
      <c r="AER71" s="21"/>
      <c r="AES71" s="21"/>
      <c r="AET71" s="21"/>
      <c r="AEU71" s="21"/>
      <c r="AEV71" s="21"/>
      <c r="AEW71" s="21"/>
      <c r="AEX71" s="21"/>
      <c r="AEY71" s="21"/>
      <c r="AEZ71" s="21"/>
      <c r="AFA71" s="21"/>
      <c r="AFB71" s="21"/>
      <c r="AFC71" s="21"/>
      <c r="AFD71" s="21"/>
      <c r="AFE71" s="21"/>
      <c r="AFF71" s="21"/>
      <c r="AFG71" s="21"/>
      <c r="AFH71" s="21"/>
      <c r="AFI71" s="21"/>
      <c r="AFJ71" s="21"/>
      <c r="AFK71" s="21"/>
      <c r="AFL71" s="21"/>
      <c r="AFM71" s="21"/>
      <c r="AFN71" s="21"/>
      <c r="AFO71" s="21"/>
      <c r="AFP71" s="21"/>
      <c r="AFQ71" s="21"/>
      <c r="AFR71" s="21"/>
      <c r="AFS71" s="21"/>
      <c r="AFT71" s="21"/>
      <c r="AFU71" s="21"/>
      <c r="AFV71" s="21"/>
      <c r="AFW71" s="21"/>
      <c r="AFX71" s="21"/>
      <c r="AFY71" s="21"/>
      <c r="AFZ71" s="21"/>
      <c r="AGA71" s="21"/>
      <c r="AGB71" s="21"/>
      <c r="AGC71" s="21"/>
      <c r="AGD71" s="21"/>
      <c r="AGE71" s="21"/>
      <c r="AGF71" s="21"/>
      <c r="AGG71" s="21"/>
      <c r="AGH71" s="21"/>
      <c r="AGI71" s="21"/>
      <c r="AGJ71" s="21"/>
      <c r="AGK71" s="21"/>
      <c r="AGL71" s="21"/>
      <c r="AGM71" s="21"/>
      <c r="AGN71" s="21"/>
      <c r="AGO71" s="21"/>
      <c r="AGP71" s="21"/>
      <c r="AGQ71" s="21"/>
      <c r="AGR71" s="21"/>
      <c r="AGS71" s="21"/>
    </row>
    <row r="72" spans="1:877" ht="13">
      <c r="A72" s="12"/>
      <c r="B72" s="12"/>
      <c r="C72" s="12"/>
      <c r="D72" s="12"/>
      <c r="E72" s="12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  <c r="KJ72" s="21"/>
      <c r="KK72" s="21"/>
      <c r="KL72" s="21"/>
      <c r="KM72" s="21"/>
      <c r="KN72" s="21"/>
      <c r="KO72" s="21"/>
      <c r="KP72" s="21"/>
      <c r="KQ72" s="21"/>
      <c r="KR72" s="21"/>
      <c r="KS72" s="21"/>
      <c r="KT72" s="21"/>
      <c r="KU72" s="21"/>
      <c r="KV72" s="21"/>
      <c r="KW72" s="21"/>
      <c r="KX72" s="21"/>
      <c r="KY72" s="21"/>
      <c r="KZ72" s="21"/>
      <c r="LA72" s="21"/>
      <c r="LB72" s="21"/>
      <c r="LC72" s="21"/>
      <c r="LD72" s="21"/>
      <c r="LE72" s="21"/>
      <c r="LF72" s="21"/>
      <c r="LG72" s="21"/>
      <c r="LH72" s="21"/>
      <c r="LI72" s="21"/>
      <c r="LJ72" s="21"/>
      <c r="LK72" s="21"/>
      <c r="LL72" s="21"/>
      <c r="LM72" s="21"/>
      <c r="LN72" s="21"/>
      <c r="LO72" s="21"/>
      <c r="LP72" s="21"/>
      <c r="LQ72" s="21"/>
      <c r="LR72" s="21"/>
      <c r="LS72" s="21"/>
      <c r="LT72" s="21"/>
      <c r="LU72" s="21"/>
      <c r="LV72" s="21"/>
      <c r="LW72" s="21"/>
      <c r="LX72" s="21"/>
      <c r="LY72" s="21"/>
      <c r="LZ72" s="21"/>
      <c r="MA72" s="21"/>
      <c r="MB72" s="21"/>
      <c r="MC72" s="21"/>
      <c r="MD72" s="21"/>
      <c r="ME72" s="21"/>
      <c r="MF72" s="21"/>
      <c r="MG72" s="21"/>
      <c r="MH72" s="21"/>
      <c r="MI72" s="21"/>
      <c r="MJ72" s="21"/>
      <c r="MK72" s="21"/>
      <c r="ML72" s="21"/>
      <c r="MM72" s="21"/>
      <c r="MN72" s="21"/>
      <c r="MO72" s="21"/>
      <c r="MP72" s="21"/>
      <c r="MQ72" s="21"/>
      <c r="MR72" s="21"/>
      <c r="MS72" s="21"/>
      <c r="MT72" s="21"/>
      <c r="MU72" s="21"/>
      <c r="MV72" s="21"/>
      <c r="MW72" s="21"/>
      <c r="MX72" s="21"/>
      <c r="MY72" s="21"/>
      <c r="MZ72" s="21"/>
      <c r="NA72" s="21"/>
      <c r="NB72" s="21"/>
      <c r="NC72" s="21"/>
      <c r="ND72" s="21"/>
      <c r="NE72" s="21"/>
      <c r="NF72" s="21"/>
      <c r="NG72" s="21"/>
      <c r="NH72" s="21"/>
      <c r="NI72" s="21"/>
      <c r="NJ72" s="21"/>
      <c r="NK72" s="21"/>
      <c r="NL72" s="21"/>
      <c r="NM72" s="21"/>
      <c r="NN72" s="21"/>
      <c r="NO72" s="21"/>
      <c r="NP72" s="21"/>
      <c r="NQ72" s="21"/>
      <c r="NR72" s="21"/>
      <c r="NS72" s="21"/>
      <c r="NT72" s="21"/>
      <c r="NU72" s="21"/>
      <c r="NV72" s="21"/>
      <c r="NW72" s="21"/>
      <c r="NX72" s="21"/>
      <c r="NY72" s="21"/>
      <c r="NZ72" s="21"/>
      <c r="OA72" s="21"/>
      <c r="OB72" s="21"/>
      <c r="OC72" s="21"/>
      <c r="OD72" s="21"/>
      <c r="OE72" s="21"/>
      <c r="OF72" s="21"/>
      <c r="OG72" s="21"/>
      <c r="OH72" s="21"/>
      <c r="OI72" s="21"/>
      <c r="OJ72" s="21"/>
      <c r="OK72" s="21"/>
      <c r="OL72" s="21"/>
      <c r="OM72" s="21"/>
      <c r="ON72" s="21"/>
      <c r="OO72" s="21"/>
      <c r="OP72" s="21"/>
      <c r="OQ72" s="21"/>
      <c r="OR72" s="21"/>
      <c r="OS72" s="21"/>
      <c r="OT72" s="21"/>
      <c r="OU72" s="21"/>
      <c r="OV72" s="21"/>
      <c r="OW72" s="21"/>
      <c r="OX72" s="21"/>
      <c r="OY72" s="21"/>
      <c r="OZ72" s="21"/>
      <c r="PA72" s="21"/>
      <c r="PB72" s="21"/>
      <c r="PC72" s="21"/>
      <c r="PD72" s="21"/>
      <c r="PE72" s="21"/>
      <c r="PF72" s="21"/>
      <c r="PG72" s="21"/>
      <c r="PH72" s="21"/>
      <c r="PI72" s="21"/>
      <c r="PJ72" s="21"/>
      <c r="PK72" s="21"/>
      <c r="PL72" s="21"/>
      <c r="PM72" s="21"/>
      <c r="PN72" s="21"/>
      <c r="PO72" s="21"/>
      <c r="PP72" s="21"/>
      <c r="PQ72" s="21"/>
      <c r="PR72" s="21"/>
      <c r="PS72" s="21"/>
      <c r="PT72" s="21"/>
      <c r="PU72" s="21"/>
      <c r="PV72" s="21"/>
      <c r="PW72" s="21"/>
      <c r="PX72" s="21"/>
      <c r="PY72" s="21"/>
      <c r="PZ72" s="21"/>
      <c r="QA72" s="21"/>
      <c r="QB72" s="21"/>
      <c r="QC72" s="21"/>
      <c r="QD72" s="21"/>
      <c r="QE72" s="21"/>
      <c r="QF72" s="21"/>
      <c r="QG72" s="21"/>
      <c r="QH72" s="21"/>
      <c r="QI72" s="21"/>
      <c r="QJ72" s="21"/>
      <c r="QK72" s="21"/>
      <c r="QL72" s="21"/>
      <c r="QM72" s="21"/>
      <c r="QN72" s="21"/>
      <c r="QO72" s="21"/>
      <c r="QP72" s="21"/>
      <c r="QQ72" s="21"/>
      <c r="QR72" s="21"/>
      <c r="QS72" s="21"/>
      <c r="QT72" s="21"/>
      <c r="QU72" s="21"/>
      <c r="QV72" s="21"/>
      <c r="QW72" s="21"/>
      <c r="QX72" s="21"/>
      <c r="QY72" s="21"/>
      <c r="QZ72" s="21"/>
      <c r="RA72" s="21"/>
      <c r="RB72" s="21"/>
      <c r="RC72" s="21"/>
      <c r="RD72" s="21"/>
      <c r="RE72" s="21"/>
      <c r="RF72" s="21"/>
      <c r="RG72" s="21"/>
      <c r="RH72" s="21"/>
      <c r="RI72" s="21"/>
      <c r="RJ72" s="21"/>
      <c r="RK72" s="21"/>
      <c r="RL72" s="21"/>
      <c r="RM72" s="21"/>
      <c r="RN72" s="21"/>
      <c r="RO72" s="21"/>
      <c r="RP72" s="21"/>
      <c r="RQ72" s="21"/>
      <c r="RR72" s="21"/>
      <c r="RS72" s="21"/>
      <c r="RT72" s="21"/>
      <c r="RU72" s="21"/>
      <c r="RV72" s="21"/>
      <c r="RW72" s="21"/>
      <c r="RX72" s="21"/>
      <c r="RY72" s="21"/>
      <c r="RZ72" s="21"/>
      <c r="SA72" s="21"/>
      <c r="SB72" s="21"/>
      <c r="SC72" s="21"/>
      <c r="SD72" s="21"/>
      <c r="SE72" s="21"/>
      <c r="SF72" s="21"/>
      <c r="SG72" s="21"/>
      <c r="SH72" s="21"/>
      <c r="SI72" s="21"/>
      <c r="SJ72" s="21"/>
      <c r="SK72" s="21"/>
      <c r="SL72" s="21"/>
      <c r="SM72" s="21"/>
      <c r="SN72" s="21"/>
      <c r="SO72" s="21"/>
      <c r="SP72" s="21"/>
      <c r="SQ72" s="21"/>
      <c r="SR72" s="21"/>
      <c r="SS72" s="21"/>
      <c r="ST72" s="21"/>
      <c r="SU72" s="21"/>
      <c r="SV72" s="21"/>
      <c r="SW72" s="21"/>
      <c r="SX72" s="21"/>
      <c r="SY72" s="21"/>
      <c r="SZ72" s="21"/>
      <c r="TA72" s="21"/>
      <c r="TB72" s="21"/>
      <c r="TC72" s="21"/>
      <c r="TD72" s="21"/>
      <c r="TE72" s="21"/>
      <c r="TF72" s="21"/>
      <c r="TG72" s="21"/>
      <c r="TH72" s="21"/>
      <c r="TI72" s="21"/>
      <c r="TJ72" s="21"/>
      <c r="TK72" s="21"/>
      <c r="TL72" s="21"/>
      <c r="TM72" s="21"/>
      <c r="TN72" s="21"/>
      <c r="TO72" s="21"/>
      <c r="TP72" s="21"/>
      <c r="TQ72" s="21"/>
      <c r="TR72" s="21"/>
      <c r="TS72" s="21"/>
      <c r="TT72" s="21"/>
      <c r="TU72" s="21"/>
      <c r="TV72" s="21"/>
      <c r="TW72" s="21"/>
      <c r="TX72" s="21"/>
      <c r="TY72" s="21"/>
      <c r="TZ72" s="21"/>
      <c r="UA72" s="21"/>
      <c r="UB72" s="21"/>
      <c r="UC72" s="21"/>
      <c r="UD72" s="21"/>
      <c r="UE72" s="21"/>
      <c r="UF72" s="21"/>
      <c r="UG72" s="21"/>
      <c r="UH72" s="21"/>
      <c r="UI72" s="21"/>
      <c r="UJ72" s="21"/>
      <c r="UK72" s="21"/>
      <c r="UL72" s="21"/>
      <c r="UM72" s="21"/>
      <c r="UN72" s="21"/>
      <c r="UO72" s="21"/>
      <c r="UP72" s="21"/>
      <c r="UQ72" s="21"/>
      <c r="UR72" s="21"/>
      <c r="US72" s="21"/>
      <c r="UT72" s="21"/>
      <c r="UU72" s="21"/>
      <c r="UV72" s="21"/>
      <c r="UW72" s="21"/>
      <c r="UX72" s="21"/>
      <c r="UY72" s="21"/>
      <c r="UZ72" s="21"/>
      <c r="VA72" s="21"/>
      <c r="VB72" s="21"/>
      <c r="VC72" s="21"/>
      <c r="VD72" s="21"/>
      <c r="VE72" s="21"/>
      <c r="VF72" s="21"/>
      <c r="VG72" s="21"/>
      <c r="VH72" s="21"/>
      <c r="VI72" s="21"/>
      <c r="VJ72" s="21"/>
      <c r="VK72" s="21"/>
      <c r="VL72" s="21"/>
      <c r="VM72" s="21"/>
      <c r="VN72" s="21"/>
      <c r="VO72" s="21"/>
      <c r="VP72" s="21"/>
      <c r="VQ72" s="21"/>
      <c r="VR72" s="21"/>
      <c r="VS72" s="21"/>
      <c r="VT72" s="21"/>
      <c r="VU72" s="21"/>
      <c r="VV72" s="21"/>
      <c r="VW72" s="21"/>
      <c r="VX72" s="21"/>
      <c r="VY72" s="21"/>
      <c r="VZ72" s="21"/>
      <c r="WA72" s="21"/>
      <c r="WB72" s="21"/>
      <c r="WC72" s="21"/>
      <c r="WD72" s="21"/>
      <c r="WE72" s="21"/>
      <c r="WF72" s="21"/>
      <c r="WG72" s="21"/>
      <c r="WH72" s="21"/>
      <c r="WI72" s="21"/>
      <c r="WJ72" s="21"/>
      <c r="WK72" s="21"/>
      <c r="WL72" s="21"/>
      <c r="WM72" s="21"/>
      <c r="WN72" s="21"/>
      <c r="WO72" s="21"/>
      <c r="WP72" s="21"/>
      <c r="WQ72" s="21"/>
      <c r="WR72" s="21"/>
      <c r="WS72" s="21"/>
      <c r="WT72" s="21"/>
      <c r="WU72" s="21"/>
      <c r="WV72" s="21"/>
      <c r="WW72" s="21"/>
      <c r="WX72" s="21"/>
      <c r="WY72" s="21"/>
      <c r="WZ72" s="21"/>
      <c r="XA72" s="21"/>
      <c r="XB72" s="21"/>
      <c r="XC72" s="21"/>
      <c r="XD72" s="21"/>
      <c r="XE72" s="21"/>
      <c r="XF72" s="21"/>
      <c r="XG72" s="21"/>
      <c r="XH72" s="21"/>
      <c r="XI72" s="21"/>
      <c r="XJ72" s="21"/>
      <c r="XK72" s="21"/>
      <c r="XL72" s="21"/>
      <c r="XM72" s="21"/>
      <c r="XN72" s="21"/>
      <c r="XO72" s="21"/>
      <c r="XP72" s="21"/>
      <c r="XQ72" s="21"/>
      <c r="XR72" s="21"/>
      <c r="XS72" s="21"/>
      <c r="XT72" s="21"/>
      <c r="XU72" s="21"/>
      <c r="XV72" s="21"/>
      <c r="XW72" s="21"/>
      <c r="XX72" s="21"/>
      <c r="XY72" s="21"/>
      <c r="XZ72" s="21"/>
      <c r="YA72" s="21"/>
      <c r="YB72" s="21"/>
      <c r="YC72" s="21"/>
      <c r="YD72" s="21"/>
      <c r="YE72" s="21"/>
      <c r="YF72" s="21"/>
      <c r="YG72" s="21"/>
      <c r="YH72" s="21"/>
      <c r="YI72" s="21"/>
      <c r="YJ72" s="21"/>
      <c r="YK72" s="21"/>
      <c r="YL72" s="21"/>
      <c r="YM72" s="21"/>
      <c r="YN72" s="21"/>
      <c r="YO72" s="21"/>
      <c r="YP72" s="21"/>
      <c r="YQ72" s="21"/>
      <c r="YR72" s="21"/>
      <c r="YS72" s="21"/>
      <c r="YT72" s="21"/>
      <c r="YU72" s="21"/>
      <c r="YV72" s="21"/>
      <c r="YW72" s="21"/>
      <c r="YX72" s="21"/>
      <c r="YY72" s="21"/>
      <c r="YZ72" s="21"/>
      <c r="ZA72" s="21"/>
      <c r="ZB72" s="21"/>
      <c r="ZC72" s="21"/>
      <c r="ZD72" s="21"/>
      <c r="ZE72" s="21"/>
      <c r="ZF72" s="21"/>
      <c r="ZG72" s="21"/>
      <c r="ZH72" s="21"/>
      <c r="ZI72" s="21"/>
      <c r="ZJ72" s="21"/>
      <c r="ZK72" s="21"/>
      <c r="ZL72" s="21"/>
      <c r="ZM72" s="21"/>
      <c r="ZN72" s="21"/>
      <c r="ZO72" s="21"/>
      <c r="ZP72" s="21"/>
      <c r="ZQ72" s="21"/>
      <c r="ZR72" s="21"/>
      <c r="ZS72" s="21"/>
      <c r="ZT72" s="21"/>
      <c r="ZU72" s="21"/>
      <c r="ZV72" s="21"/>
      <c r="ZW72" s="21"/>
      <c r="ZX72" s="21"/>
      <c r="ZY72" s="21"/>
      <c r="ZZ72" s="21"/>
      <c r="AAA72" s="21"/>
      <c r="AAB72" s="21"/>
      <c r="AAC72" s="21"/>
      <c r="AAD72" s="21"/>
      <c r="AAE72" s="21"/>
      <c r="AAF72" s="21"/>
      <c r="AAG72" s="21"/>
      <c r="AAH72" s="21"/>
      <c r="AAI72" s="21"/>
      <c r="AAJ72" s="21"/>
      <c r="AAK72" s="21"/>
      <c r="AAL72" s="21"/>
      <c r="AAM72" s="21"/>
      <c r="AAN72" s="21"/>
      <c r="AAO72" s="21"/>
      <c r="AAP72" s="21"/>
      <c r="AAQ72" s="21"/>
      <c r="AAR72" s="21"/>
      <c r="AAS72" s="21"/>
      <c r="AAT72" s="21"/>
      <c r="AAU72" s="21"/>
      <c r="AAV72" s="21"/>
      <c r="AAW72" s="21"/>
      <c r="AAX72" s="21"/>
      <c r="AAY72" s="21"/>
      <c r="AAZ72" s="21"/>
      <c r="ABA72" s="21"/>
      <c r="ABB72" s="21"/>
      <c r="ABC72" s="21"/>
      <c r="ABD72" s="21"/>
      <c r="ABE72" s="21"/>
      <c r="ABF72" s="21"/>
      <c r="ABG72" s="21"/>
      <c r="ABH72" s="21"/>
      <c r="ABI72" s="21"/>
      <c r="ABJ72" s="21"/>
      <c r="ABK72" s="21"/>
      <c r="ABL72" s="21"/>
      <c r="ABM72" s="21"/>
      <c r="ABN72" s="21"/>
      <c r="ABO72" s="21"/>
      <c r="ABP72" s="21"/>
      <c r="ABQ72" s="21"/>
      <c r="ABR72" s="21"/>
      <c r="ABS72" s="21"/>
      <c r="ABT72" s="21"/>
      <c r="ABU72" s="21"/>
      <c r="ABV72" s="21"/>
      <c r="ABW72" s="21"/>
      <c r="ABX72" s="21"/>
      <c r="ABY72" s="21"/>
      <c r="ABZ72" s="21"/>
      <c r="ACA72" s="21"/>
      <c r="ACB72" s="21"/>
      <c r="ACC72" s="21"/>
      <c r="ACD72" s="21"/>
      <c r="ACE72" s="21"/>
      <c r="ACF72" s="21"/>
      <c r="ACG72" s="21"/>
      <c r="ACH72" s="21"/>
      <c r="ACI72" s="21"/>
      <c r="ACJ72" s="21"/>
      <c r="ACK72" s="21"/>
      <c r="ACL72" s="21"/>
      <c r="ACM72" s="21"/>
      <c r="ACN72" s="21"/>
      <c r="ACO72" s="21"/>
      <c r="ACP72" s="21"/>
      <c r="ACQ72" s="21"/>
      <c r="ACR72" s="21"/>
      <c r="ACS72" s="21"/>
      <c r="ACT72" s="21"/>
      <c r="ACU72" s="21"/>
      <c r="ACV72" s="21"/>
      <c r="ACW72" s="21"/>
      <c r="ACX72" s="21"/>
      <c r="ACY72" s="21"/>
      <c r="ACZ72" s="21"/>
      <c r="ADA72" s="21"/>
      <c r="ADB72" s="21"/>
      <c r="ADC72" s="21"/>
      <c r="ADD72" s="21"/>
      <c r="ADE72" s="21"/>
      <c r="ADF72" s="21"/>
      <c r="ADG72" s="21"/>
      <c r="ADH72" s="21"/>
      <c r="ADI72" s="21"/>
      <c r="ADJ72" s="21"/>
      <c r="ADK72" s="21"/>
      <c r="ADL72" s="21"/>
      <c r="ADM72" s="21"/>
      <c r="ADN72" s="21"/>
      <c r="ADO72" s="21"/>
      <c r="ADP72" s="21"/>
      <c r="ADQ72" s="21"/>
      <c r="ADR72" s="21"/>
      <c r="ADS72" s="21"/>
      <c r="ADT72" s="21"/>
      <c r="ADU72" s="21"/>
      <c r="ADV72" s="21"/>
      <c r="ADW72" s="21"/>
      <c r="ADX72" s="21"/>
      <c r="ADY72" s="21"/>
      <c r="ADZ72" s="21"/>
      <c r="AEA72" s="21"/>
      <c r="AEB72" s="21"/>
      <c r="AEC72" s="21"/>
      <c r="AED72" s="21"/>
      <c r="AEE72" s="21"/>
      <c r="AEF72" s="21"/>
      <c r="AEG72" s="21"/>
      <c r="AEH72" s="21"/>
      <c r="AEI72" s="21"/>
      <c r="AEJ72" s="21"/>
      <c r="AEK72" s="21"/>
      <c r="AEL72" s="21"/>
      <c r="AEM72" s="21"/>
      <c r="AEN72" s="21"/>
      <c r="AEO72" s="21"/>
      <c r="AEP72" s="21"/>
      <c r="AEQ72" s="21"/>
      <c r="AER72" s="21"/>
      <c r="AES72" s="21"/>
      <c r="AET72" s="21"/>
      <c r="AEU72" s="21"/>
      <c r="AEV72" s="21"/>
      <c r="AEW72" s="21"/>
      <c r="AEX72" s="21"/>
      <c r="AEY72" s="21"/>
      <c r="AEZ72" s="21"/>
      <c r="AFA72" s="21"/>
      <c r="AFB72" s="21"/>
      <c r="AFC72" s="21"/>
      <c r="AFD72" s="21"/>
      <c r="AFE72" s="21"/>
      <c r="AFF72" s="21"/>
      <c r="AFG72" s="21"/>
      <c r="AFH72" s="21"/>
      <c r="AFI72" s="21"/>
      <c r="AFJ72" s="21"/>
      <c r="AFK72" s="21"/>
      <c r="AFL72" s="21"/>
      <c r="AFM72" s="21"/>
      <c r="AFN72" s="21"/>
      <c r="AFO72" s="21"/>
      <c r="AFP72" s="21"/>
      <c r="AFQ72" s="21"/>
      <c r="AFR72" s="21"/>
      <c r="AFS72" s="21"/>
      <c r="AFT72" s="21"/>
      <c r="AFU72" s="21"/>
      <c r="AFV72" s="21"/>
      <c r="AFW72" s="21"/>
      <c r="AFX72" s="21"/>
      <c r="AFY72" s="21"/>
      <c r="AFZ72" s="21"/>
      <c r="AGA72" s="21"/>
      <c r="AGB72" s="21"/>
      <c r="AGC72" s="21"/>
      <c r="AGD72" s="21"/>
      <c r="AGE72" s="21"/>
      <c r="AGF72" s="21"/>
      <c r="AGG72" s="21"/>
      <c r="AGH72" s="21"/>
      <c r="AGI72" s="21"/>
      <c r="AGJ72" s="21"/>
      <c r="AGK72" s="21"/>
      <c r="AGL72" s="21"/>
      <c r="AGM72" s="21"/>
      <c r="AGN72" s="21"/>
      <c r="AGO72" s="21"/>
      <c r="AGP72" s="21"/>
      <c r="AGQ72" s="21"/>
      <c r="AGR72" s="21"/>
      <c r="AGS72" s="21"/>
    </row>
    <row r="73" spans="1:877" ht="13">
      <c r="A73" s="61"/>
      <c r="B73" s="62" t="s">
        <v>37</v>
      </c>
      <c r="C73" s="63">
        <v>60000</v>
      </c>
      <c r="D73" s="61"/>
      <c r="E73" s="61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21"/>
      <c r="KL73" s="21"/>
      <c r="KM73" s="21"/>
      <c r="KN73" s="21"/>
      <c r="KO73" s="21"/>
      <c r="KP73" s="21"/>
      <c r="KQ73" s="21"/>
      <c r="KR73" s="21"/>
      <c r="KS73" s="21"/>
      <c r="KT73" s="21"/>
      <c r="KU73" s="21"/>
      <c r="KV73" s="21"/>
      <c r="KW73" s="21"/>
      <c r="KX73" s="21"/>
      <c r="KY73" s="21"/>
      <c r="KZ73" s="21"/>
      <c r="LA73" s="21"/>
      <c r="LB73" s="21"/>
      <c r="LC73" s="21"/>
      <c r="LD73" s="21"/>
      <c r="LE73" s="21"/>
      <c r="LF73" s="21"/>
      <c r="LG73" s="21"/>
      <c r="LH73" s="21"/>
      <c r="LI73" s="21"/>
      <c r="LJ73" s="21"/>
      <c r="LK73" s="21"/>
      <c r="LL73" s="21"/>
      <c r="LM73" s="21"/>
      <c r="LN73" s="21"/>
      <c r="LO73" s="21"/>
      <c r="LP73" s="21"/>
      <c r="LQ73" s="21"/>
      <c r="LR73" s="21"/>
      <c r="LS73" s="21"/>
      <c r="LT73" s="21"/>
      <c r="LU73" s="21"/>
      <c r="LV73" s="21"/>
      <c r="LW73" s="21"/>
      <c r="LX73" s="21"/>
      <c r="LY73" s="21"/>
      <c r="LZ73" s="21"/>
      <c r="MA73" s="21"/>
      <c r="MB73" s="21"/>
      <c r="MC73" s="21"/>
      <c r="MD73" s="21"/>
      <c r="ME73" s="21"/>
      <c r="MF73" s="21"/>
      <c r="MG73" s="21"/>
      <c r="MH73" s="21"/>
      <c r="MI73" s="21"/>
      <c r="MJ73" s="21"/>
      <c r="MK73" s="21"/>
      <c r="ML73" s="21"/>
      <c r="MM73" s="21"/>
      <c r="MN73" s="21"/>
      <c r="MO73" s="21"/>
      <c r="MP73" s="21"/>
      <c r="MQ73" s="21"/>
      <c r="MR73" s="21"/>
      <c r="MS73" s="21"/>
      <c r="MT73" s="21"/>
      <c r="MU73" s="21"/>
      <c r="MV73" s="21"/>
      <c r="MW73" s="21"/>
      <c r="MX73" s="21"/>
      <c r="MY73" s="21"/>
      <c r="MZ73" s="21"/>
      <c r="NA73" s="21"/>
      <c r="NB73" s="21"/>
      <c r="NC73" s="21"/>
      <c r="ND73" s="21"/>
      <c r="NE73" s="21"/>
      <c r="NF73" s="21"/>
      <c r="NG73" s="21"/>
      <c r="NH73" s="21"/>
      <c r="NI73" s="21"/>
      <c r="NJ73" s="21"/>
      <c r="NK73" s="21"/>
      <c r="NL73" s="21"/>
      <c r="NM73" s="21"/>
      <c r="NN73" s="21"/>
      <c r="NO73" s="21"/>
      <c r="NP73" s="21"/>
      <c r="NQ73" s="21"/>
      <c r="NR73" s="21"/>
      <c r="NS73" s="21"/>
      <c r="NT73" s="21"/>
      <c r="NU73" s="21"/>
      <c r="NV73" s="21"/>
      <c r="NW73" s="21"/>
      <c r="NX73" s="21"/>
      <c r="NY73" s="21"/>
      <c r="NZ73" s="21"/>
      <c r="OA73" s="21"/>
      <c r="OB73" s="21"/>
      <c r="OC73" s="21"/>
      <c r="OD73" s="21"/>
      <c r="OE73" s="21"/>
      <c r="OF73" s="21"/>
      <c r="OG73" s="21"/>
      <c r="OH73" s="21"/>
      <c r="OI73" s="21"/>
      <c r="OJ73" s="21"/>
      <c r="OK73" s="21"/>
      <c r="OL73" s="21"/>
      <c r="OM73" s="21"/>
      <c r="ON73" s="21"/>
      <c r="OO73" s="21"/>
      <c r="OP73" s="21"/>
      <c r="OQ73" s="21"/>
      <c r="OR73" s="21"/>
      <c r="OS73" s="21"/>
      <c r="OT73" s="21"/>
      <c r="OU73" s="21"/>
      <c r="OV73" s="21"/>
      <c r="OW73" s="21"/>
      <c r="OX73" s="21"/>
      <c r="OY73" s="21"/>
      <c r="OZ73" s="21"/>
      <c r="PA73" s="21"/>
      <c r="PB73" s="21"/>
      <c r="PC73" s="21"/>
      <c r="PD73" s="21"/>
      <c r="PE73" s="21"/>
      <c r="PF73" s="21"/>
      <c r="PG73" s="21"/>
      <c r="PH73" s="21"/>
      <c r="PI73" s="21"/>
      <c r="PJ73" s="21"/>
      <c r="PK73" s="21"/>
      <c r="PL73" s="21"/>
      <c r="PM73" s="21"/>
      <c r="PN73" s="21"/>
      <c r="PO73" s="21"/>
      <c r="PP73" s="21"/>
      <c r="PQ73" s="21"/>
      <c r="PR73" s="21"/>
      <c r="PS73" s="21"/>
      <c r="PT73" s="21"/>
      <c r="PU73" s="21"/>
      <c r="PV73" s="21"/>
      <c r="PW73" s="21"/>
      <c r="PX73" s="21"/>
      <c r="PY73" s="21"/>
      <c r="PZ73" s="21"/>
      <c r="QA73" s="21"/>
      <c r="QB73" s="21"/>
      <c r="QC73" s="21"/>
      <c r="QD73" s="21"/>
      <c r="QE73" s="21"/>
      <c r="QF73" s="21"/>
      <c r="QG73" s="21"/>
      <c r="QH73" s="21"/>
      <c r="QI73" s="21"/>
      <c r="QJ73" s="21"/>
      <c r="QK73" s="21"/>
      <c r="QL73" s="21"/>
      <c r="QM73" s="21"/>
      <c r="QN73" s="21"/>
      <c r="QO73" s="21"/>
      <c r="QP73" s="21"/>
      <c r="QQ73" s="21"/>
      <c r="QR73" s="21"/>
      <c r="QS73" s="21"/>
      <c r="QT73" s="21"/>
      <c r="QU73" s="21"/>
      <c r="QV73" s="21"/>
      <c r="QW73" s="21"/>
      <c r="QX73" s="21"/>
      <c r="QY73" s="21"/>
      <c r="QZ73" s="21"/>
      <c r="RA73" s="21"/>
      <c r="RB73" s="21"/>
      <c r="RC73" s="21"/>
      <c r="RD73" s="21"/>
      <c r="RE73" s="21"/>
      <c r="RF73" s="21"/>
      <c r="RG73" s="21"/>
      <c r="RH73" s="21"/>
      <c r="RI73" s="21"/>
      <c r="RJ73" s="21"/>
      <c r="RK73" s="21"/>
      <c r="RL73" s="21"/>
      <c r="RM73" s="21"/>
      <c r="RN73" s="21"/>
      <c r="RO73" s="21"/>
      <c r="RP73" s="21"/>
      <c r="RQ73" s="21"/>
      <c r="RR73" s="21"/>
      <c r="RS73" s="21"/>
      <c r="RT73" s="21"/>
      <c r="RU73" s="21"/>
      <c r="RV73" s="21"/>
      <c r="RW73" s="21"/>
      <c r="RX73" s="21"/>
      <c r="RY73" s="21"/>
      <c r="RZ73" s="21"/>
      <c r="SA73" s="21"/>
      <c r="SB73" s="21"/>
      <c r="SC73" s="21"/>
      <c r="SD73" s="21"/>
      <c r="SE73" s="21"/>
      <c r="SF73" s="21"/>
      <c r="SG73" s="21"/>
      <c r="SH73" s="21"/>
      <c r="SI73" s="21"/>
      <c r="SJ73" s="21"/>
      <c r="SK73" s="21"/>
      <c r="SL73" s="21"/>
      <c r="SM73" s="21"/>
      <c r="SN73" s="21"/>
      <c r="SO73" s="21"/>
      <c r="SP73" s="21"/>
      <c r="SQ73" s="21"/>
      <c r="SR73" s="21"/>
      <c r="SS73" s="21"/>
      <c r="ST73" s="21"/>
      <c r="SU73" s="21"/>
      <c r="SV73" s="21"/>
      <c r="SW73" s="21"/>
      <c r="SX73" s="21"/>
      <c r="SY73" s="21"/>
      <c r="SZ73" s="21"/>
      <c r="TA73" s="21"/>
      <c r="TB73" s="21"/>
      <c r="TC73" s="21"/>
      <c r="TD73" s="21"/>
      <c r="TE73" s="21"/>
      <c r="TF73" s="21"/>
      <c r="TG73" s="21"/>
      <c r="TH73" s="21"/>
      <c r="TI73" s="21"/>
      <c r="TJ73" s="21"/>
      <c r="TK73" s="21"/>
      <c r="TL73" s="21"/>
      <c r="TM73" s="21"/>
      <c r="TN73" s="21"/>
      <c r="TO73" s="21"/>
      <c r="TP73" s="21"/>
      <c r="TQ73" s="21"/>
      <c r="TR73" s="21"/>
      <c r="TS73" s="21"/>
      <c r="TT73" s="21"/>
      <c r="TU73" s="21"/>
      <c r="TV73" s="21"/>
      <c r="TW73" s="21"/>
      <c r="TX73" s="21"/>
      <c r="TY73" s="21"/>
      <c r="TZ73" s="21"/>
      <c r="UA73" s="21"/>
      <c r="UB73" s="21"/>
      <c r="UC73" s="21"/>
      <c r="UD73" s="21"/>
      <c r="UE73" s="21"/>
      <c r="UF73" s="21"/>
      <c r="UG73" s="21"/>
      <c r="UH73" s="21"/>
      <c r="UI73" s="21"/>
      <c r="UJ73" s="21"/>
      <c r="UK73" s="21"/>
      <c r="UL73" s="21"/>
      <c r="UM73" s="21"/>
      <c r="UN73" s="21"/>
      <c r="UO73" s="21"/>
      <c r="UP73" s="21"/>
      <c r="UQ73" s="21"/>
      <c r="UR73" s="21"/>
      <c r="US73" s="21"/>
      <c r="UT73" s="21"/>
      <c r="UU73" s="21"/>
      <c r="UV73" s="21"/>
      <c r="UW73" s="21"/>
      <c r="UX73" s="21"/>
      <c r="UY73" s="21"/>
      <c r="UZ73" s="21"/>
      <c r="VA73" s="21"/>
      <c r="VB73" s="21"/>
      <c r="VC73" s="21"/>
      <c r="VD73" s="21"/>
      <c r="VE73" s="21"/>
      <c r="VF73" s="21"/>
      <c r="VG73" s="21"/>
      <c r="VH73" s="21"/>
      <c r="VI73" s="21"/>
      <c r="VJ73" s="21"/>
      <c r="VK73" s="21"/>
      <c r="VL73" s="21"/>
      <c r="VM73" s="21"/>
      <c r="VN73" s="21"/>
      <c r="VO73" s="21"/>
      <c r="VP73" s="21"/>
      <c r="VQ73" s="21"/>
      <c r="VR73" s="21"/>
      <c r="VS73" s="21"/>
      <c r="VT73" s="21"/>
      <c r="VU73" s="21"/>
      <c r="VV73" s="21"/>
      <c r="VW73" s="21"/>
      <c r="VX73" s="21"/>
      <c r="VY73" s="21"/>
      <c r="VZ73" s="21"/>
      <c r="WA73" s="21"/>
      <c r="WB73" s="21"/>
      <c r="WC73" s="21"/>
      <c r="WD73" s="21"/>
      <c r="WE73" s="21"/>
      <c r="WF73" s="21"/>
      <c r="WG73" s="21"/>
      <c r="WH73" s="21"/>
      <c r="WI73" s="21"/>
      <c r="WJ73" s="21"/>
      <c r="WK73" s="21"/>
      <c r="WL73" s="21"/>
      <c r="WM73" s="21"/>
      <c r="WN73" s="21"/>
      <c r="WO73" s="21"/>
      <c r="WP73" s="21"/>
      <c r="WQ73" s="21"/>
      <c r="WR73" s="21"/>
      <c r="WS73" s="21"/>
      <c r="WT73" s="21"/>
      <c r="WU73" s="21"/>
      <c r="WV73" s="21"/>
      <c r="WW73" s="21"/>
      <c r="WX73" s="21"/>
      <c r="WY73" s="21"/>
      <c r="WZ73" s="21"/>
      <c r="XA73" s="21"/>
      <c r="XB73" s="21"/>
      <c r="XC73" s="21"/>
      <c r="XD73" s="21"/>
      <c r="XE73" s="21"/>
      <c r="XF73" s="21"/>
      <c r="XG73" s="21"/>
      <c r="XH73" s="21"/>
      <c r="XI73" s="21"/>
      <c r="XJ73" s="21"/>
      <c r="XK73" s="21"/>
      <c r="XL73" s="21"/>
      <c r="XM73" s="21"/>
      <c r="XN73" s="21"/>
      <c r="XO73" s="21"/>
      <c r="XP73" s="21"/>
      <c r="XQ73" s="21"/>
      <c r="XR73" s="21"/>
      <c r="XS73" s="21"/>
      <c r="XT73" s="21"/>
      <c r="XU73" s="21"/>
      <c r="XV73" s="21"/>
      <c r="XW73" s="21"/>
      <c r="XX73" s="21"/>
      <c r="XY73" s="21"/>
      <c r="XZ73" s="21"/>
      <c r="YA73" s="21"/>
      <c r="YB73" s="21"/>
      <c r="YC73" s="21"/>
      <c r="YD73" s="21"/>
      <c r="YE73" s="21"/>
      <c r="YF73" s="21"/>
      <c r="YG73" s="21"/>
      <c r="YH73" s="21"/>
      <c r="YI73" s="21"/>
      <c r="YJ73" s="21"/>
      <c r="YK73" s="21"/>
      <c r="YL73" s="21"/>
      <c r="YM73" s="21"/>
      <c r="YN73" s="21"/>
      <c r="YO73" s="21"/>
      <c r="YP73" s="21"/>
      <c r="YQ73" s="21"/>
      <c r="YR73" s="21"/>
      <c r="YS73" s="21"/>
      <c r="YT73" s="21"/>
      <c r="YU73" s="21"/>
      <c r="YV73" s="21"/>
      <c r="YW73" s="21"/>
      <c r="YX73" s="21"/>
      <c r="YY73" s="21"/>
      <c r="YZ73" s="21"/>
      <c r="ZA73" s="21"/>
      <c r="ZB73" s="21"/>
      <c r="ZC73" s="21"/>
      <c r="ZD73" s="21"/>
      <c r="ZE73" s="21"/>
      <c r="ZF73" s="21"/>
      <c r="ZG73" s="21"/>
      <c r="ZH73" s="21"/>
      <c r="ZI73" s="21"/>
      <c r="ZJ73" s="21"/>
      <c r="ZK73" s="21"/>
      <c r="ZL73" s="21"/>
      <c r="ZM73" s="21"/>
      <c r="ZN73" s="21"/>
      <c r="ZO73" s="21"/>
      <c r="ZP73" s="21"/>
      <c r="ZQ73" s="21"/>
      <c r="ZR73" s="21"/>
      <c r="ZS73" s="21"/>
      <c r="ZT73" s="21"/>
      <c r="ZU73" s="21"/>
      <c r="ZV73" s="21"/>
      <c r="ZW73" s="21"/>
      <c r="ZX73" s="21"/>
      <c r="ZY73" s="21"/>
      <c r="ZZ73" s="21"/>
      <c r="AAA73" s="21"/>
      <c r="AAB73" s="21"/>
      <c r="AAC73" s="21"/>
      <c r="AAD73" s="21"/>
      <c r="AAE73" s="21"/>
      <c r="AAF73" s="21"/>
      <c r="AAG73" s="21"/>
      <c r="AAH73" s="21"/>
      <c r="AAI73" s="21"/>
      <c r="AAJ73" s="21"/>
      <c r="AAK73" s="21"/>
      <c r="AAL73" s="21"/>
      <c r="AAM73" s="21"/>
      <c r="AAN73" s="21"/>
      <c r="AAO73" s="21"/>
      <c r="AAP73" s="21"/>
      <c r="AAQ73" s="21"/>
      <c r="AAR73" s="21"/>
      <c r="AAS73" s="21"/>
      <c r="AAT73" s="21"/>
      <c r="AAU73" s="21"/>
      <c r="AAV73" s="21"/>
      <c r="AAW73" s="21"/>
      <c r="AAX73" s="21"/>
      <c r="AAY73" s="21"/>
      <c r="AAZ73" s="21"/>
      <c r="ABA73" s="21"/>
      <c r="ABB73" s="21"/>
      <c r="ABC73" s="21"/>
      <c r="ABD73" s="21"/>
      <c r="ABE73" s="21"/>
      <c r="ABF73" s="21"/>
      <c r="ABG73" s="21"/>
      <c r="ABH73" s="21"/>
      <c r="ABI73" s="21"/>
      <c r="ABJ73" s="21"/>
      <c r="ABK73" s="21"/>
      <c r="ABL73" s="21"/>
      <c r="ABM73" s="21"/>
      <c r="ABN73" s="21"/>
      <c r="ABO73" s="21"/>
      <c r="ABP73" s="21"/>
      <c r="ABQ73" s="21"/>
      <c r="ABR73" s="21"/>
      <c r="ABS73" s="21"/>
      <c r="ABT73" s="21"/>
      <c r="ABU73" s="21"/>
      <c r="ABV73" s="21"/>
      <c r="ABW73" s="21"/>
      <c r="ABX73" s="21"/>
      <c r="ABY73" s="21"/>
      <c r="ABZ73" s="21"/>
      <c r="ACA73" s="21"/>
      <c r="ACB73" s="21"/>
      <c r="ACC73" s="21"/>
      <c r="ACD73" s="21"/>
      <c r="ACE73" s="21"/>
      <c r="ACF73" s="21"/>
      <c r="ACG73" s="21"/>
      <c r="ACH73" s="21"/>
      <c r="ACI73" s="21"/>
      <c r="ACJ73" s="21"/>
      <c r="ACK73" s="21"/>
      <c r="ACL73" s="21"/>
      <c r="ACM73" s="21"/>
      <c r="ACN73" s="21"/>
      <c r="ACO73" s="21"/>
      <c r="ACP73" s="21"/>
      <c r="ACQ73" s="21"/>
      <c r="ACR73" s="21"/>
      <c r="ACS73" s="21"/>
      <c r="ACT73" s="21"/>
      <c r="ACU73" s="21"/>
      <c r="ACV73" s="21"/>
      <c r="ACW73" s="21"/>
      <c r="ACX73" s="21"/>
      <c r="ACY73" s="21"/>
      <c r="ACZ73" s="21"/>
      <c r="ADA73" s="21"/>
      <c r="ADB73" s="21"/>
      <c r="ADC73" s="21"/>
      <c r="ADD73" s="21"/>
      <c r="ADE73" s="21"/>
      <c r="ADF73" s="21"/>
      <c r="ADG73" s="21"/>
      <c r="ADH73" s="21"/>
      <c r="ADI73" s="21"/>
      <c r="ADJ73" s="21"/>
      <c r="ADK73" s="21"/>
      <c r="ADL73" s="21"/>
      <c r="ADM73" s="21"/>
      <c r="ADN73" s="21"/>
      <c r="ADO73" s="21"/>
      <c r="ADP73" s="21"/>
      <c r="ADQ73" s="21"/>
      <c r="ADR73" s="21"/>
      <c r="ADS73" s="21"/>
      <c r="ADT73" s="21"/>
      <c r="ADU73" s="21"/>
      <c r="ADV73" s="21"/>
      <c r="ADW73" s="21"/>
      <c r="ADX73" s="21"/>
      <c r="ADY73" s="21"/>
      <c r="ADZ73" s="21"/>
      <c r="AEA73" s="21"/>
      <c r="AEB73" s="21"/>
      <c r="AEC73" s="21"/>
      <c r="AED73" s="21"/>
      <c r="AEE73" s="21"/>
      <c r="AEF73" s="21"/>
      <c r="AEG73" s="21"/>
      <c r="AEH73" s="21"/>
      <c r="AEI73" s="21"/>
      <c r="AEJ73" s="21"/>
      <c r="AEK73" s="21"/>
      <c r="AEL73" s="21"/>
      <c r="AEM73" s="21"/>
      <c r="AEN73" s="21"/>
      <c r="AEO73" s="21"/>
      <c r="AEP73" s="21"/>
      <c r="AEQ73" s="21"/>
      <c r="AER73" s="21"/>
      <c r="AES73" s="21"/>
      <c r="AET73" s="21"/>
      <c r="AEU73" s="21"/>
      <c r="AEV73" s="21"/>
      <c r="AEW73" s="21"/>
      <c r="AEX73" s="21"/>
      <c r="AEY73" s="21"/>
      <c r="AEZ73" s="21"/>
      <c r="AFA73" s="21"/>
      <c r="AFB73" s="21"/>
      <c r="AFC73" s="21"/>
      <c r="AFD73" s="21"/>
      <c r="AFE73" s="21"/>
      <c r="AFF73" s="21"/>
      <c r="AFG73" s="21"/>
      <c r="AFH73" s="21"/>
      <c r="AFI73" s="21"/>
      <c r="AFJ73" s="21"/>
      <c r="AFK73" s="21"/>
      <c r="AFL73" s="21"/>
      <c r="AFM73" s="21"/>
      <c r="AFN73" s="21"/>
      <c r="AFO73" s="21"/>
      <c r="AFP73" s="21"/>
      <c r="AFQ73" s="21"/>
      <c r="AFR73" s="21"/>
      <c r="AFS73" s="21"/>
      <c r="AFT73" s="21"/>
      <c r="AFU73" s="21"/>
      <c r="AFV73" s="21"/>
      <c r="AFW73" s="21"/>
      <c r="AFX73" s="21"/>
      <c r="AFY73" s="21"/>
      <c r="AFZ73" s="21"/>
      <c r="AGA73" s="21"/>
      <c r="AGB73" s="21"/>
      <c r="AGC73" s="21"/>
      <c r="AGD73" s="21"/>
      <c r="AGE73" s="21"/>
      <c r="AGF73" s="21"/>
      <c r="AGG73" s="21"/>
      <c r="AGH73" s="21"/>
      <c r="AGI73" s="21"/>
      <c r="AGJ73" s="21"/>
      <c r="AGK73" s="21"/>
      <c r="AGL73" s="21"/>
      <c r="AGM73" s="21"/>
      <c r="AGN73" s="21"/>
      <c r="AGO73" s="21"/>
      <c r="AGP73" s="21"/>
      <c r="AGQ73" s="21"/>
      <c r="AGR73" s="21"/>
      <c r="AGS73" s="21"/>
    </row>
    <row r="74" spans="1:877" ht="13">
      <c r="A74" s="12"/>
      <c r="B74" s="12"/>
      <c r="C74" s="12"/>
      <c r="D74" s="12"/>
      <c r="E74" s="12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  <c r="KJ74" s="21"/>
      <c r="KK74" s="21"/>
      <c r="KL74" s="21"/>
      <c r="KM74" s="21"/>
      <c r="KN74" s="21"/>
      <c r="KO74" s="21"/>
      <c r="KP74" s="21"/>
      <c r="KQ74" s="21"/>
      <c r="KR74" s="21"/>
      <c r="KS74" s="21"/>
      <c r="KT74" s="21"/>
      <c r="KU74" s="21"/>
      <c r="KV74" s="21"/>
      <c r="KW74" s="21"/>
      <c r="KX74" s="21"/>
      <c r="KY74" s="21"/>
      <c r="KZ74" s="21"/>
      <c r="LA74" s="21"/>
      <c r="LB74" s="21"/>
      <c r="LC74" s="21"/>
      <c r="LD74" s="21"/>
      <c r="LE74" s="21"/>
      <c r="LF74" s="21"/>
      <c r="LG74" s="21"/>
      <c r="LH74" s="21"/>
      <c r="LI74" s="21"/>
      <c r="LJ74" s="21"/>
      <c r="LK74" s="21"/>
      <c r="LL74" s="21"/>
      <c r="LM74" s="21"/>
      <c r="LN74" s="21"/>
      <c r="LO74" s="21"/>
      <c r="LP74" s="21"/>
      <c r="LQ74" s="21"/>
      <c r="LR74" s="21"/>
      <c r="LS74" s="21"/>
      <c r="LT74" s="21"/>
      <c r="LU74" s="21"/>
      <c r="LV74" s="21"/>
      <c r="LW74" s="21"/>
      <c r="LX74" s="21"/>
      <c r="LY74" s="21"/>
      <c r="LZ74" s="21"/>
      <c r="MA74" s="21"/>
      <c r="MB74" s="21"/>
      <c r="MC74" s="21"/>
      <c r="MD74" s="21"/>
      <c r="ME74" s="21"/>
      <c r="MF74" s="21"/>
      <c r="MG74" s="21"/>
      <c r="MH74" s="21"/>
      <c r="MI74" s="21"/>
      <c r="MJ74" s="21"/>
      <c r="MK74" s="21"/>
      <c r="ML74" s="21"/>
      <c r="MM74" s="21"/>
      <c r="MN74" s="21"/>
      <c r="MO74" s="21"/>
      <c r="MP74" s="21"/>
      <c r="MQ74" s="21"/>
      <c r="MR74" s="21"/>
      <c r="MS74" s="21"/>
      <c r="MT74" s="21"/>
      <c r="MU74" s="21"/>
      <c r="MV74" s="21"/>
      <c r="MW74" s="21"/>
      <c r="MX74" s="21"/>
      <c r="MY74" s="21"/>
      <c r="MZ74" s="21"/>
      <c r="NA74" s="21"/>
      <c r="NB74" s="21"/>
      <c r="NC74" s="21"/>
      <c r="ND74" s="21"/>
      <c r="NE74" s="21"/>
      <c r="NF74" s="21"/>
      <c r="NG74" s="21"/>
      <c r="NH74" s="21"/>
      <c r="NI74" s="21"/>
      <c r="NJ74" s="21"/>
      <c r="NK74" s="21"/>
      <c r="NL74" s="21"/>
      <c r="NM74" s="21"/>
      <c r="NN74" s="21"/>
      <c r="NO74" s="21"/>
      <c r="NP74" s="21"/>
      <c r="NQ74" s="21"/>
      <c r="NR74" s="21"/>
      <c r="NS74" s="21"/>
      <c r="NT74" s="21"/>
      <c r="NU74" s="21"/>
      <c r="NV74" s="21"/>
      <c r="NW74" s="21"/>
      <c r="NX74" s="21"/>
      <c r="NY74" s="21"/>
      <c r="NZ74" s="21"/>
      <c r="OA74" s="21"/>
      <c r="OB74" s="21"/>
      <c r="OC74" s="21"/>
      <c r="OD74" s="21"/>
      <c r="OE74" s="21"/>
      <c r="OF74" s="21"/>
      <c r="OG74" s="21"/>
      <c r="OH74" s="21"/>
      <c r="OI74" s="21"/>
      <c r="OJ74" s="21"/>
      <c r="OK74" s="21"/>
      <c r="OL74" s="21"/>
      <c r="OM74" s="21"/>
      <c r="ON74" s="21"/>
      <c r="OO74" s="21"/>
      <c r="OP74" s="21"/>
      <c r="OQ74" s="21"/>
      <c r="OR74" s="21"/>
      <c r="OS74" s="21"/>
      <c r="OT74" s="21"/>
      <c r="OU74" s="21"/>
      <c r="OV74" s="21"/>
      <c r="OW74" s="21"/>
      <c r="OX74" s="21"/>
      <c r="OY74" s="21"/>
      <c r="OZ74" s="21"/>
      <c r="PA74" s="21"/>
      <c r="PB74" s="21"/>
      <c r="PC74" s="21"/>
      <c r="PD74" s="21"/>
      <c r="PE74" s="21"/>
      <c r="PF74" s="21"/>
      <c r="PG74" s="21"/>
      <c r="PH74" s="21"/>
      <c r="PI74" s="21"/>
      <c r="PJ74" s="21"/>
      <c r="PK74" s="21"/>
      <c r="PL74" s="21"/>
      <c r="PM74" s="21"/>
      <c r="PN74" s="21"/>
      <c r="PO74" s="21"/>
      <c r="PP74" s="21"/>
      <c r="PQ74" s="21"/>
      <c r="PR74" s="21"/>
      <c r="PS74" s="21"/>
      <c r="PT74" s="21"/>
      <c r="PU74" s="21"/>
      <c r="PV74" s="21"/>
      <c r="PW74" s="21"/>
      <c r="PX74" s="21"/>
      <c r="PY74" s="21"/>
      <c r="PZ74" s="21"/>
      <c r="QA74" s="21"/>
      <c r="QB74" s="21"/>
      <c r="QC74" s="21"/>
      <c r="QD74" s="21"/>
      <c r="QE74" s="21"/>
      <c r="QF74" s="21"/>
      <c r="QG74" s="21"/>
      <c r="QH74" s="21"/>
      <c r="QI74" s="21"/>
      <c r="QJ74" s="21"/>
      <c r="QK74" s="21"/>
      <c r="QL74" s="21"/>
      <c r="QM74" s="21"/>
      <c r="QN74" s="21"/>
      <c r="QO74" s="21"/>
      <c r="QP74" s="21"/>
      <c r="QQ74" s="21"/>
      <c r="QR74" s="21"/>
      <c r="QS74" s="21"/>
      <c r="QT74" s="21"/>
      <c r="QU74" s="21"/>
      <c r="QV74" s="21"/>
      <c r="QW74" s="21"/>
      <c r="QX74" s="21"/>
      <c r="QY74" s="21"/>
      <c r="QZ74" s="21"/>
      <c r="RA74" s="21"/>
      <c r="RB74" s="21"/>
      <c r="RC74" s="21"/>
      <c r="RD74" s="21"/>
      <c r="RE74" s="21"/>
      <c r="RF74" s="21"/>
      <c r="RG74" s="21"/>
      <c r="RH74" s="21"/>
      <c r="RI74" s="21"/>
      <c r="RJ74" s="21"/>
      <c r="RK74" s="21"/>
      <c r="RL74" s="21"/>
      <c r="RM74" s="21"/>
      <c r="RN74" s="21"/>
      <c r="RO74" s="21"/>
      <c r="RP74" s="21"/>
      <c r="RQ74" s="21"/>
      <c r="RR74" s="21"/>
      <c r="RS74" s="21"/>
      <c r="RT74" s="21"/>
      <c r="RU74" s="21"/>
      <c r="RV74" s="21"/>
      <c r="RW74" s="21"/>
      <c r="RX74" s="21"/>
      <c r="RY74" s="21"/>
      <c r="RZ74" s="21"/>
      <c r="SA74" s="21"/>
      <c r="SB74" s="21"/>
      <c r="SC74" s="21"/>
      <c r="SD74" s="21"/>
      <c r="SE74" s="21"/>
      <c r="SF74" s="21"/>
      <c r="SG74" s="21"/>
      <c r="SH74" s="21"/>
      <c r="SI74" s="21"/>
      <c r="SJ74" s="21"/>
      <c r="SK74" s="21"/>
      <c r="SL74" s="21"/>
      <c r="SM74" s="21"/>
      <c r="SN74" s="21"/>
      <c r="SO74" s="21"/>
      <c r="SP74" s="21"/>
      <c r="SQ74" s="21"/>
      <c r="SR74" s="21"/>
      <c r="SS74" s="21"/>
      <c r="ST74" s="21"/>
      <c r="SU74" s="21"/>
      <c r="SV74" s="21"/>
      <c r="SW74" s="21"/>
      <c r="SX74" s="21"/>
      <c r="SY74" s="21"/>
      <c r="SZ74" s="21"/>
      <c r="TA74" s="21"/>
      <c r="TB74" s="21"/>
      <c r="TC74" s="21"/>
      <c r="TD74" s="21"/>
      <c r="TE74" s="21"/>
      <c r="TF74" s="21"/>
      <c r="TG74" s="21"/>
      <c r="TH74" s="21"/>
      <c r="TI74" s="21"/>
      <c r="TJ74" s="21"/>
      <c r="TK74" s="21"/>
      <c r="TL74" s="21"/>
      <c r="TM74" s="21"/>
      <c r="TN74" s="21"/>
      <c r="TO74" s="21"/>
      <c r="TP74" s="21"/>
      <c r="TQ74" s="21"/>
      <c r="TR74" s="21"/>
      <c r="TS74" s="21"/>
      <c r="TT74" s="21"/>
      <c r="TU74" s="21"/>
      <c r="TV74" s="21"/>
      <c r="TW74" s="21"/>
      <c r="TX74" s="21"/>
      <c r="TY74" s="21"/>
      <c r="TZ74" s="21"/>
      <c r="UA74" s="21"/>
      <c r="UB74" s="21"/>
      <c r="UC74" s="21"/>
      <c r="UD74" s="21"/>
      <c r="UE74" s="21"/>
      <c r="UF74" s="21"/>
      <c r="UG74" s="21"/>
      <c r="UH74" s="21"/>
      <c r="UI74" s="21"/>
      <c r="UJ74" s="21"/>
      <c r="UK74" s="21"/>
      <c r="UL74" s="21"/>
      <c r="UM74" s="21"/>
      <c r="UN74" s="21"/>
      <c r="UO74" s="21"/>
      <c r="UP74" s="21"/>
      <c r="UQ74" s="21"/>
      <c r="UR74" s="21"/>
      <c r="US74" s="21"/>
      <c r="UT74" s="21"/>
      <c r="UU74" s="21"/>
      <c r="UV74" s="21"/>
      <c r="UW74" s="21"/>
      <c r="UX74" s="21"/>
      <c r="UY74" s="21"/>
      <c r="UZ74" s="21"/>
      <c r="VA74" s="21"/>
      <c r="VB74" s="21"/>
      <c r="VC74" s="21"/>
      <c r="VD74" s="21"/>
      <c r="VE74" s="21"/>
      <c r="VF74" s="21"/>
      <c r="VG74" s="21"/>
      <c r="VH74" s="21"/>
      <c r="VI74" s="21"/>
      <c r="VJ74" s="21"/>
      <c r="VK74" s="21"/>
      <c r="VL74" s="21"/>
      <c r="VM74" s="21"/>
      <c r="VN74" s="21"/>
      <c r="VO74" s="21"/>
      <c r="VP74" s="21"/>
      <c r="VQ74" s="21"/>
      <c r="VR74" s="21"/>
      <c r="VS74" s="21"/>
      <c r="VT74" s="21"/>
      <c r="VU74" s="21"/>
      <c r="VV74" s="21"/>
      <c r="VW74" s="21"/>
      <c r="VX74" s="21"/>
      <c r="VY74" s="21"/>
      <c r="VZ74" s="21"/>
      <c r="WA74" s="21"/>
      <c r="WB74" s="21"/>
      <c r="WC74" s="21"/>
      <c r="WD74" s="21"/>
      <c r="WE74" s="21"/>
      <c r="WF74" s="21"/>
      <c r="WG74" s="21"/>
      <c r="WH74" s="21"/>
      <c r="WI74" s="21"/>
      <c r="WJ74" s="21"/>
      <c r="WK74" s="21"/>
      <c r="WL74" s="21"/>
      <c r="WM74" s="21"/>
      <c r="WN74" s="21"/>
      <c r="WO74" s="21"/>
      <c r="WP74" s="21"/>
      <c r="WQ74" s="21"/>
      <c r="WR74" s="21"/>
      <c r="WS74" s="21"/>
      <c r="WT74" s="21"/>
      <c r="WU74" s="21"/>
      <c r="WV74" s="21"/>
      <c r="WW74" s="21"/>
      <c r="WX74" s="21"/>
      <c r="WY74" s="21"/>
      <c r="WZ74" s="21"/>
      <c r="XA74" s="21"/>
      <c r="XB74" s="21"/>
      <c r="XC74" s="21"/>
      <c r="XD74" s="21"/>
      <c r="XE74" s="21"/>
      <c r="XF74" s="21"/>
      <c r="XG74" s="21"/>
      <c r="XH74" s="21"/>
      <c r="XI74" s="21"/>
      <c r="XJ74" s="21"/>
      <c r="XK74" s="21"/>
      <c r="XL74" s="21"/>
      <c r="XM74" s="21"/>
      <c r="XN74" s="21"/>
      <c r="XO74" s="21"/>
      <c r="XP74" s="21"/>
      <c r="XQ74" s="21"/>
      <c r="XR74" s="21"/>
      <c r="XS74" s="21"/>
      <c r="XT74" s="21"/>
      <c r="XU74" s="21"/>
      <c r="XV74" s="21"/>
      <c r="XW74" s="21"/>
      <c r="XX74" s="21"/>
      <c r="XY74" s="21"/>
      <c r="XZ74" s="21"/>
      <c r="YA74" s="21"/>
      <c r="YB74" s="21"/>
      <c r="YC74" s="21"/>
      <c r="YD74" s="21"/>
      <c r="YE74" s="21"/>
      <c r="YF74" s="21"/>
      <c r="YG74" s="21"/>
      <c r="YH74" s="21"/>
      <c r="YI74" s="21"/>
      <c r="YJ74" s="21"/>
      <c r="YK74" s="21"/>
      <c r="YL74" s="21"/>
      <c r="YM74" s="21"/>
      <c r="YN74" s="21"/>
      <c r="YO74" s="21"/>
      <c r="YP74" s="21"/>
      <c r="YQ74" s="21"/>
      <c r="YR74" s="21"/>
      <c r="YS74" s="21"/>
      <c r="YT74" s="21"/>
      <c r="YU74" s="21"/>
      <c r="YV74" s="21"/>
      <c r="YW74" s="21"/>
      <c r="YX74" s="21"/>
      <c r="YY74" s="21"/>
      <c r="YZ74" s="21"/>
      <c r="ZA74" s="21"/>
      <c r="ZB74" s="21"/>
      <c r="ZC74" s="21"/>
      <c r="ZD74" s="21"/>
      <c r="ZE74" s="21"/>
      <c r="ZF74" s="21"/>
      <c r="ZG74" s="21"/>
      <c r="ZH74" s="21"/>
      <c r="ZI74" s="21"/>
      <c r="ZJ74" s="21"/>
      <c r="ZK74" s="21"/>
      <c r="ZL74" s="21"/>
      <c r="ZM74" s="21"/>
      <c r="ZN74" s="21"/>
      <c r="ZO74" s="21"/>
      <c r="ZP74" s="21"/>
      <c r="ZQ74" s="21"/>
      <c r="ZR74" s="21"/>
      <c r="ZS74" s="21"/>
      <c r="ZT74" s="21"/>
      <c r="ZU74" s="21"/>
      <c r="ZV74" s="21"/>
      <c r="ZW74" s="21"/>
      <c r="ZX74" s="21"/>
      <c r="ZY74" s="21"/>
      <c r="ZZ74" s="21"/>
      <c r="AAA74" s="21"/>
      <c r="AAB74" s="21"/>
      <c r="AAC74" s="21"/>
      <c r="AAD74" s="21"/>
      <c r="AAE74" s="21"/>
      <c r="AAF74" s="21"/>
      <c r="AAG74" s="21"/>
      <c r="AAH74" s="21"/>
      <c r="AAI74" s="21"/>
      <c r="AAJ74" s="21"/>
      <c r="AAK74" s="21"/>
      <c r="AAL74" s="21"/>
      <c r="AAM74" s="21"/>
      <c r="AAN74" s="21"/>
      <c r="AAO74" s="21"/>
      <c r="AAP74" s="21"/>
      <c r="AAQ74" s="21"/>
      <c r="AAR74" s="21"/>
      <c r="AAS74" s="21"/>
      <c r="AAT74" s="21"/>
      <c r="AAU74" s="21"/>
      <c r="AAV74" s="21"/>
      <c r="AAW74" s="21"/>
      <c r="AAX74" s="21"/>
      <c r="AAY74" s="21"/>
      <c r="AAZ74" s="21"/>
      <c r="ABA74" s="21"/>
      <c r="ABB74" s="21"/>
      <c r="ABC74" s="21"/>
      <c r="ABD74" s="21"/>
      <c r="ABE74" s="21"/>
      <c r="ABF74" s="21"/>
      <c r="ABG74" s="21"/>
      <c r="ABH74" s="21"/>
      <c r="ABI74" s="21"/>
      <c r="ABJ74" s="21"/>
      <c r="ABK74" s="21"/>
      <c r="ABL74" s="21"/>
      <c r="ABM74" s="21"/>
      <c r="ABN74" s="21"/>
      <c r="ABO74" s="21"/>
      <c r="ABP74" s="21"/>
      <c r="ABQ74" s="21"/>
      <c r="ABR74" s="21"/>
      <c r="ABS74" s="21"/>
      <c r="ABT74" s="21"/>
      <c r="ABU74" s="21"/>
      <c r="ABV74" s="21"/>
      <c r="ABW74" s="21"/>
      <c r="ABX74" s="21"/>
      <c r="ABY74" s="21"/>
      <c r="ABZ74" s="21"/>
      <c r="ACA74" s="21"/>
      <c r="ACB74" s="21"/>
      <c r="ACC74" s="21"/>
      <c r="ACD74" s="21"/>
      <c r="ACE74" s="21"/>
      <c r="ACF74" s="21"/>
      <c r="ACG74" s="21"/>
      <c r="ACH74" s="21"/>
      <c r="ACI74" s="21"/>
      <c r="ACJ74" s="21"/>
      <c r="ACK74" s="21"/>
      <c r="ACL74" s="21"/>
      <c r="ACM74" s="21"/>
      <c r="ACN74" s="21"/>
      <c r="ACO74" s="21"/>
      <c r="ACP74" s="21"/>
      <c r="ACQ74" s="21"/>
      <c r="ACR74" s="21"/>
      <c r="ACS74" s="21"/>
      <c r="ACT74" s="21"/>
      <c r="ACU74" s="21"/>
      <c r="ACV74" s="21"/>
      <c r="ACW74" s="21"/>
      <c r="ACX74" s="21"/>
      <c r="ACY74" s="21"/>
      <c r="ACZ74" s="21"/>
      <c r="ADA74" s="21"/>
      <c r="ADB74" s="21"/>
      <c r="ADC74" s="21"/>
      <c r="ADD74" s="21"/>
      <c r="ADE74" s="21"/>
      <c r="ADF74" s="21"/>
      <c r="ADG74" s="21"/>
      <c r="ADH74" s="21"/>
      <c r="ADI74" s="21"/>
      <c r="ADJ74" s="21"/>
      <c r="ADK74" s="21"/>
      <c r="ADL74" s="21"/>
      <c r="ADM74" s="21"/>
      <c r="ADN74" s="21"/>
      <c r="ADO74" s="21"/>
      <c r="ADP74" s="21"/>
      <c r="ADQ74" s="21"/>
      <c r="ADR74" s="21"/>
      <c r="ADS74" s="21"/>
      <c r="ADT74" s="21"/>
      <c r="ADU74" s="21"/>
      <c r="ADV74" s="21"/>
      <c r="ADW74" s="21"/>
      <c r="ADX74" s="21"/>
      <c r="ADY74" s="21"/>
      <c r="ADZ74" s="21"/>
      <c r="AEA74" s="21"/>
      <c r="AEB74" s="21"/>
      <c r="AEC74" s="21"/>
      <c r="AED74" s="21"/>
      <c r="AEE74" s="21"/>
      <c r="AEF74" s="21"/>
      <c r="AEG74" s="21"/>
      <c r="AEH74" s="21"/>
      <c r="AEI74" s="21"/>
      <c r="AEJ74" s="21"/>
      <c r="AEK74" s="21"/>
      <c r="AEL74" s="21"/>
      <c r="AEM74" s="21"/>
      <c r="AEN74" s="21"/>
      <c r="AEO74" s="21"/>
      <c r="AEP74" s="21"/>
      <c r="AEQ74" s="21"/>
      <c r="AER74" s="21"/>
      <c r="AES74" s="21"/>
      <c r="AET74" s="21"/>
      <c r="AEU74" s="21"/>
      <c r="AEV74" s="21"/>
      <c r="AEW74" s="21"/>
      <c r="AEX74" s="21"/>
      <c r="AEY74" s="21"/>
      <c r="AEZ74" s="21"/>
      <c r="AFA74" s="21"/>
      <c r="AFB74" s="21"/>
      <c r="AFC74" s="21"/>
      <c r="AFD74" s="21"/>
      <c r="AFE74" s="21"/>
      <c r="AFF74" s="21"/>
      <c r="AFG74" s="21"/>
      <c r="AFH74" s="21"/>
      <c r="AFI74" s="21"/>
      <c r="AFJ74" s="21"/>
      <c r="AFK74" s="21"/>
      <c r="AFL74" s="21"/>
      <c r="AFM74" s="21"/>
      <c r="AFN74" s="21"/>
      <c r="AFO74" s="21"/>
      <c r="AFP74" s="21"/>
      <c r="AFQ74" s="21"/>
      <c r="AFR74" s="21"/>
      <c r="AFS74" s="21"/>
      <c r="AFT74" s="21"/>
      <c r="AFU74" s="21"/>
      <c r="AFV74" s="21"/>
      <c r="AFW74" s="21"/>
      <c r="AFX74" s="21"/>
      <c r="AFY74" s="21"/>
      <c r="AFZ74" s="21"/>
      <c r="AGA74" s="21"/>
      <c r="AGB74" s="21"/>
      <c r="AGC74" s="21"/>
      <c r="AGD74" s="21"/>
      <c r="AGE74" s="21"/>
      <c r="AGF74" s="21"/>
      <c r="AGG74" s="21"/>
      <c r="AGH74" s="21"/>
      <c r="AGI74" s="21"/>
      <c r="AGJ74" s="21"/>
      <c r="AGK74" s="21"/>
      <c r="AGL74" s="21"/>
      <c r="AGM74" s="21"/>
      <c r="AGN74" s="21"/>
      <c r="AGO74" s="21"/>
      <c r="AGP74" s="21"/>
      <c r="AGQ74" s="21"/>
      <c r="AGR74" s="21"/>
      <c r="AGS74" s="21"/>
    </row>
    <row r="75" spans="1:877" ht="13">
      <c r="A75" s="12"/>
      <c r="B75" s="64" t="s">
        <v>38</v>
      </c>
      <c r="C75" s="65">
        <v>15</v>
      </c>
      <c r="D75" s="17" t="s">
        <v>39</v>
      </c>
      <c r="E75" s="12"/>
      <c r="F75" s="66"/>
      <c r="G75" s="66">
        <f t="shared" ref="G75:CL75" si="28">SUM(G15,G23,G31,G47,G63,)*($C75/30)</f>
        <v>0</v>
      </c>
      <c r="H75" s="66">
        <f t="shared" si="28"/>
        <v>0</v>
      </c>
      <c r="I75" s="66">
        <f t="shared" si="28"/>
        <v>0</v>
      </c>
      <c r="J75" s="66">
        <f t="shared" si="28"/>
        <v>0</v>
      </c>
      <c r="K75" s="66">
        <f t="shared" si="28"/>
        <v>0</v>
      </c>
      <c r="L75" s="66">
        <f t="shared" si="28"/>
        <v>0</v>
      </c>
      <c r="M75" s="66">
        <f t="shared" si="28"/>
        <v>0</v>
      </c>
      <c r="N75" s="66">
        <f t="shared" si="28"/>
        <v>0</v>
      </c>
      <c r="O75" s="66">
        <f t="shared" si="28"/>
        <v>0</v>
      </c>
      <c r="P75" s="66">
        <f t="shared" si="28"/>
        <v>0</v>
      </c>
      <c r="Q75" s="66">
        <f t="shared" si="28"/>
        <v>0</v>
      </c>
      <c r="R75" s="66">
        <f t="shared" si="28"/>
        <v>0</v>
      </c>
      <c r="S75" s="66">
        <f t="shared" si="28"/>
        <v>93750</v>
      </c>
      <c r="T75" s="66">
        <f t="shared" si="28"/>
        <v>93750</v>
      </c>
      <c r="U75" s="66">
        <f t="shared" si="28"/>
        <v>93750</v>
      </c>
      <c r="V75" s="66">
        <f t="shared" si="28"/>
        <v>93750</v>
      </c>
      <c r="W75" s="66">
        <f t="shared" si="28"/>
        <v>93750</v>
      </c>
      <c r="X75" s="66">
        <f t="shared" si="28"/>
        <v>93750</v>
      </c>
      <c r="Y75" s="66">
        <f t="shared" si="28"/>
        <v>468750</v>
      </c>
      <c r="Z75" s="66">
        <f t="shared" si="28"/>
        <v>468750</v>
      </c>
      <c r="AA75" s="66">
        <f t="shared" si="28"/>
        <v>468750</v>
      </c>
      <c r="AB75" s="66">
        <f t="shared" si="28"/>
        <v>468750</v>
      </c>
      <c r="AC75" s="66">
        <f t="shared" si="28"/>
        <v>468750</v>
      </c>
      <c r="AD75" s="66">
        <f t="shared" si="28"/>
        <v>468750</v>
      </c>
      <c r="AE75" s="66">
        <f t="shared" si="28"/>
        <v>937500</v>
      </c>
      <c r="AF75" s="66">
        <f t="shared" si="28"/>
        <v>937500</v>
      </c>
      <c r="AG75" s="66">
        <f t="shared" si="28"/>
        <v>937500</v>
      </c>
      <c r="AH75" s="66">
        <f t="shared" si="28"/>
        <v>937500</v>
      </c>
      <c r="AI75" s="66">
        <f t="shared" si="28"/>
        <v>937500</v>
      </c>
      <c r="AJ75" s="66">
        <f t="shared" si="28"/>
        <v>937500</v>
      </c>
      <c r="AK75" s="66">
        <f t="shared" si="28"/>
        <v>1406250</v>
      </c>
      <c r="AL75" s="66">
        <f t="shared" si="28"/>
        <v>1406250</v>
      </c>
      <c r="AM75" s="66">
        <f t="shared" si="28"/>
        <v>1406250</v>
      </c>
      <c r="AN75" s="66">
        <f t="shared" si="28"/>
        <v>1406250</v>
      </c>
      <c r="AO75" s="66">
        <f t="shared" si="28"/>
        <v>1406250</v>
      </c>
      <c r="AP75" s="66">
        <f t="shared" si="28"/>
        <v>1406250</v>
      </c>
      <c r="AQ75" s="66">
        <f t="shared" si="28"/>
        <v>2343750</v>
      </c>
      <c r="AR75" s="66">
        <f t="shared" si="28"/>
        <v>2343750</v>
      </c>
      <c r="AS75" s="66">
        <f t="shared" si="28"/>
        <v>2343750</v>
      </c>
      <c r="AT75" s="66">
        <f t="shared" si="28"/>
        <v>2343750</v>
      </c>
      <c r="AU75" s="66">
        <f t="shared" si="28"/>
        <v>2343750</v>
      </c>
      <c r="AV75" s="66">
        <f t="shared" si="28"/>
        <v>2343750</v>
      </c>
      <c r="AW75" s="66">
        <f t="shared" si="28"/>
        <v>2343750</v>
      </c>
      <c r="AX75" s="66">
        <f t="shared" si="28"/>
        <v>2343750</v>
      </c>
      <c r="AY75" s="66">
        <f t="shared" si="28"/>
        <v>2343750</v>
      </c>
      <c r="AZ75" s="66">
        <f t="shared" si="28"/>
        <v>2343750</v>
      </c>
      <c r="BA75" s="66">
        <f t="shared" si="28"/>
        <v>2343750</v>
      </c>
      <c r="BB75" s="66">
        <f t="shared" si="28"/>
        <v>2343750</v>
      </c>
      <c r="BC75" s="66">
        <f t="shared" si="28"/>
        <v>3281250</v>
      </c>
      <c r="BD75" s="66">
        <f t="shared" si="28"/>
        <v>3281250</v>
      </c>
      <c r="BE75" s="66">
        <f t="shared" si="28"/>
        <v>3281250</v>
      </c>
      <c r="BF75" s="66">
        <f t="shared" si="28"/>
        <v>3281250</v>
      </c>
      <c r="BG75" s="66">
        <f t="shared" si="28"/>
        <v>3281250</v>
      </c>
      <c r="BH75" s="66">
        <f t="shared" si="28"/>
        <v>3281250</v>
      </c>
      <c r="BI75" s="66">
        <f t="shared" si="28"/>
        <v>3281250</v>
      </c>
      <c r="BJ75" s="66">
        <f t="shared" si="28"/>
        <v>3281250</v>
      </c>
      <c r="BK75" s="66">
        <f t="shared" si="28"/>
        <v>3281250</v>
      </c>
      <c r="BL75" s="66">
        <f t="shared" si="28"/>
        <v>3281250</v>
      </c>
      <c r="BM75" s="66">
        <f t="shared" si="28"/>
        <v>3281250</v>
      </c>
      <c r="BN75" s="66">
        <f t="shared" si="28"/>
        <v>3281250</v>
      </c>
      <c r="BO75" s="66">
        <f t="shared" si="28"/>
        <v>6562500</v>
      </c>
      <c r="BP75" s="66">
        <f t="shared" si="28"/>
        <v>6562500</v>
      </c>
      <c r="BQ75" s="66">
        <f t="shared" si="28"/>
        <v>6562500</v>
      </c>
      <c r="BR75" s="66">
        <f t="shared" si="28"/>
        <v>6562500</v>
      </c>
      <c r="BS75" s="66">
        <f t="shared" si="28"/>
        <v>6562500</v>
      </c>
      <c r="BT75" s="66">
        <f t="shared" si="28"/>
        <v>6562500</v>
      </c>
      <c r="BU75" s="66">
        <f t="shared" si="28"/>
        <v>6562500</v>
      </c>
      <c r="BV75" s="66">
        <f t="shared" si="28"/>
        <v>6562500</v>
      </c>
      <c r="BW75" s="66">
        <f t="shared" si="28"/>
        <v>6562500</v>
      </c>
      <c r="BX75" s="66">
        <f t="shared" si="28"/>
        <v>6562500</v>
      </c>
      <c r="BY75" s="66">
        <f t="shared" si="28"/>
        <v>6562500</v>
      </c>
      <c r="BZ75" s="66">
        <f t="shared" si="28"/>
        <v>6562500</v>
      </c>
      <c r="CA75" s="66">
        <f t="shared" si="28"/>
        <v>9375000</v>
      </c>
      <c r="CB75" s="66">
        <f t="shared" si="28"/>
        <v>9375000</v>
      </c>
      <c r="CC75" s="66">
        <f t="shared" si="28"/>
        <v>9375000</v>
      </c>
      <c r="CD75" s="66">
        <f t="shared" si="28"/>
        <v>9375000</v>
      </c>
      <c r="CE75" s="66">
        <f t="shared" si="28"/>
        <v>9375000</v>
      </c>
      <c r="CF75" s="66">
        <f t="shared" si="28"/>
        <v>9375000</v>
      </c>
      <c r="CG75" s="66">
        <f t="shared" si="28"/>
        <v>9375000</v>
      </c>
      <c r="CH75" s="66">
        <f t="shared" si="28"/>
        <v>9375000</v>
      </c>
      <c r="CI75" s="66">
        <f t="shared" si="28"/>
        <v>9375000</v>
      </c>
      <c r="CJ75" s="66">
        <f t="shared" si="28"/>
        <v>9375000</v>
      </c>
      <c r="CK75" s="66">
        <f t="shared" si="28"/>
        <v>9375000</v>
      </c>
      <c r="CL75" s="66">
        <f t="shared" si="28"/>
        <v>9375000</v>
      </c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21"/>
      <c r="KL75" s="21"/>
      <c r="KM75" s="21"/>
      <c r="KN75" s="21"/>
      <c r="KO75" s="21"/>
      <c r="KP75" s="21"/>
      <c r="KQ75" s="21"/>
      <c r="KR75" s="21"/>
      <c r="KS75" s="21"/>
      <c r="KT75" s="21"/>
      <c r="KU75" s="21"/>
      <c r="KV75" s="21"/>
      <c r="KW75" s="21"/>
      <c r="KX75" s="21"/>
      <c r="KY75" s="21"/>
      <c r="KZ75" s="21"/>
      <c r="LA75" s="21"/>
      <c r="LB75" s="21"/>
      <c r="LC75" s="21"/>
      <c r="LD75" s="21"/>
      <c r="LE75" s="21"/>
      <c r="LF75" s="21"/>
      <c r="LG75" s="21"/>
      <c r="LH75" s="21"/>
      <c r="LI75" s="21"/>
      <c r="LJ75" s="21"/>
      <c r="LK75" s="21"/>
      <c r="LL75" s="21"/>
      <c r="LM75" s="21"/>
      <c r="LN75" s="21"/>
      <c r="LO75" s="21"/>
      <c r="LP75" s="21"/>
      <c r="LQ75" s="21"/>
      <c r="LR75" s="21"/>
      <c r="LS75" s="21"/>
      <c r="LT75" s="21"/>
      <c r="LU75" s="21"/>
      <c r="LV75" s="21"/>
      <c r="LW75" s="21"/>
      <c r="LX75" s="21"/>
      <c r="LY75" s="21"/>
      <c r="LZ75" s="21"/>
      <c r="MA75" s="21"/>
      <c r="MB75" s="21"/>
      <c r="MC75" s="21"/>
      <c r="MD75" s="21"/>
      <c r="ME75" s="21"/>
      <c r="MF75" s="21"/>
      <c r="MG75" s="21"/>
      <c r="MH75" s="21"/>
      <c r="MI75" s="21"/>
      <c r="MJ75" s="21"/>
      <c r="MK75" s="21"/>
      <c r="ML75" s="21"/>
      <c r="MM75" s="21"/>
      <c r="MN75" s="21"/>
      <c r="MO75" s="21"/>
      <c r="MP75" s="21"/>
      <c r="MQ75" s="21"/>
      <c r="MR75" s="21"/>
      <c r="MS75" s="21"/>
      <c r="MT75" s="21"/>
      <c r="MU75" s="21"/>
      <c r="MV75" s="21"/>
      <c r="MW75" s="21"/>
      <c r="MX75" s="21"/>
      <c r="MY75" s="21"/>
      <c r="MZ75" s="21"/>
      <c r="NA75" s="21"/>
      <c r="NB75" s="21"/>
      <c r="NC75" s="21"/>
      <c r="ND75" s="21"/>
      <c r="NE75" s="21"/>
      <c r="NF75" s="21"/>
      <c r="NG75" s="21"/>
      <c r="NH75" s="21"/>
      <c r="NI75" s="21"/>
      <c r="NJ75" s="21"/>
      <c r="NK75" s="21"/>
      <c r="NL75" s="21"/>
      <c r="NM75" s="21"/>
      <c r="NN75" s="21"/>
      <c r="NO75" s="21"/>
      <c r="NP75" s="21"/>
      <c r="NQ75" s="21"/>
      <c r="NR75" s="21"/>
      <c r="NS75" s="21"/>
      <c r="NT75" s="21"/>
      <c r="NU75" s="21"/>
      <c r="NV75" s="21"/>
      <c r="NW75" s="21"/>
      <c r="NX75" s="21"/>
      <c r="NY75" s="21"/>
      <c r="NZ75" s="21"/>
      <c r="OA75" s="21"/>
      <c r="OB75" s="21"/>
      <c r="OC75" s="21"/>
      <c r="OD75" s="21"/>
      <c r="OE75" s="21"/>
      <c r="OF75" s="21"/>
      <c r="OG75" s="21"/>
      <c r="OH75" s="21"/>
      <c r="OI75" s="21"/>
      <c r="OJ75" s="21"/>
      <c r="OK75" s="21"/>
      <c r="OL75" s="21"/>
      <c r="OM75" s="21"/>
      <c r="ON75" s="21"/>
      <c r="OO75" s="21"/>
      <c r="OP75" s="21"/>
      <c r="OQ75" s="21"/>
      <c r="OR75" s="21"/>
      <c r="OS75" s="21"/>
      <c r="OT75" s="21"/>
      <c r="OU75" s="21"/>
      <c r="OV75" s="21"/>
      <c r="OW75" s="21"/>
      <c r="OX75" s="21"/>
      <c r="OY75" s="21"/>
      <c r="OZ75" s="21"/>
      <c r="PA75" s="21"/>
      <c r="PB75" s="21"/>
      <c r="PC75" s="21"/>
      <c r="PD75" s="21"/>
      <c r="PE75" s="21"/>
      <c r="PF75" s="21"/>
      <c r="PG75" s="21"/>
      <c r="PH75" s="21"/>
      <c r="PI75" s="21"/>
      <c r="PJ75" s="21"/>
      <c r="PK75" s="21"/>
      <c r="PL75" s="21"/>
      <c r="PM75" s="21"/>
      <c r="PN75" s="21"/>
      <c r="PO75" s="21"/>
      <c r="PP75" s="21"/>
      <c r="PQ75" s="21"/>
      <c r="PR75" s="21"/>
      <c r="PS75" s="21"/>
      <c r="PT75" s="21"/>
      <c r="PU75" s="21"/>
      <c r="PV75" s="21"/>
      <c r="PW75" s="21"/>
      <c r="PX75" s="21"/>
      <c r="PY75" s="21"/>
      <c r="PZ75" s="21"/>
      <c r="QA75" s="21"/>
      <c r="QB75" s="21"/>
      <c r="QC75" s="21"/>
      <c r="QD75" s="21"/>
      <c r="QE75" s="21"/>
      <c r="QF75" s="21"/>
      <c r="QG75" s="21"/>
      <c r="QH75" s="21"/>
      <c r="QI75" s="21"/>
      <c r="QJ75" s="21"/>
      <c r="QK75" s="21"/>
      <c r="QL75" s="21"/>
      <c r="QM75" s="21"/>
      <c r="QN75" s="21"/>
      <c r="QO75" s="21"/>
      <c r="QP75" s="21"/>
      <c r="QQ75" s="21"/>
      <c r="QR75" s="21"/>
      <c r="QS75" s="21"/>
      <c r="QT75" s="21"/>
      <c r="QU75" s="21"/>
      <c r="QV75" s="21"/>
      <c r="QW75" s="21"/>
      <c r="QX75" s="21"/>
      <c r="QY75" s="21"/>
      <c r="QZ75" s="21"/>
      <c r="RA75" s="21"/>
      <c r="RB75" s="21"/>
      <c r="RC75" s="21"/>
      <c r="RD75" s="21"/>
      <c r="RE75" s="21"/>
      <c r="RF75" s="21"/>
      <c r="RG75" s="21"/>
      <c r="RH75" s="21"/>
      <c r="RI75" s="21"/>
      <c r="RJ75" s="21"/>
      <c r="RK75" s="21"/>
      <c r="RL75" s="21"/>
      <c r="RM75" s="21"/>
      <c r="RN75" s="21"/>
      <c r="RO75" s="21"/>
      <c r="RP75" s="21"/>
      <c r="RQ75" s="21"/>
      <c r="RR75" s="21"/>
      <c r="RS75" s="21"/>
      <c r="RT75" s="21"/>
      <c r="RU75" s="21"/>
      <c r="RV75" s="21"/>
      <c r="RW75" s="21"/>
      <c r="RX75" s="21"/>
      <c r="RY75" s="21"/>
      <c r="RZ75" s="21"/>
      <c r="SA75" s="21"/>
      <c r="SB75" s="21"/>
      <c r="SC75" s="21"/>
      <c r="SD75" s="21"/>
      <c r="SE75" s="21"/>
      <c r="SF75" s="21"/>
      <c r="SG75" s="21"/>
      <c r="SH75" s="21"/>
      <c r="SI75" s="21"/>
      <c r="SJ75" s="21"/>
      <c r="SK75" s="21"/>
      <c r="SL75" s="21"/>
      <c r="SM75" s="21"/>
      <c r="SN75" s="21"/>
      <c r="SO75" s="21"/>
      <c r="SP75" s="21"/>
      <c r="SQ75" s="21"/>
      <c r="SR75" s="21"/>
      <c r="SS75" s="21"/>
      <c r="ST75" s="21"/>
      <c r="SU75" s="21"/>
      <c r="SV75" s="21"/>
      <c r="SW75" s="21"/>
      <c r="SX75" s="21"/>
      <c r="SY75" s="21"/>
      <c r="SZ75" s="21"/>
      <c r="TA75" s="21"/>
      <c r="TB75" s="21"/>
      <c r="TC75" s="21"/>
      <c r="TD75" s="21"/>
      <c r="TE75" s="21"/>
      <c r="TF75" s="21"/>
      <c r="TG75" s="21"/>
      <c r="TH75" s="21"/>
      <c r="TI75" s="21"/>
      <c r="TJ75" s="21"/>
      <c r="TK75" s="21"/>
      <c r="TL75" s="21"/>
      <c r="TM75" s="21"/>
      <c r="TN75" s="21"/>
      <c r="TO75" s="21"/>
      <c r="TP75" s="21"/>
      <c r="TQ75" s="21"/>
      <c r="TR75" s="21"/>
      <c r="TS75" s="21"/>
      <c r="TT75" s="21"/>
      <c r="TU75" s="21"/>
      <c r="TV75" s="21"/>
      <c r="TW75" s="21"/>
      <c r="TX75" s="21"/>
      <c r="TY75" s="21"/>
      <c r="TZ75" s="21"/>
      <c r="UA75" s="21"/>
      <c r="UB75" s="21"/>
      <c r="UC75" s="21"/>
      <c r="UD75" s="21"/>
      <c r="UE75" s="21"/>
      <c r="UF75" s="21"/>
      <c r="UG75" s="21"/>
      <c r="UH75" s="21"/>
      <c r="UI75" s="21"/>
      <c r="UJ75" s="21"/>
      <c r="UK75" s="21"/>
      <c r="UL75" s="21"/>
      <c r="UM75" s="21"/>
      <c r="UN75" s="21"/>
      <c r="UO75" s="21"/>
      <c r="UP75" s="21"/>
      <c r="UQ75" s="21"/>
      <c r="UR75" s="21"/>
      <c r="US75" s="21"/>
      <c r="UT75" s="21"/>
      <c r="UU75" s="21"/>
      <c r="UV75" s="21"/>
      <c r="UW75" s="21"/>
      <c r="UX75" s="21"/>
      <c r="UY75" s="21"/>
      <c r="UZ75" s="21"/>
      <c r="VA75" s="21"/>
      <c r="VB75" s="21"/>
      <c r="VC75" s="21"/>
      <c r="VD75" s="21"/>
      <c r="VE75" s="21"/>
      <c r="VF75" s="21"/>
      <c r="VG75" s="21"/>
      <c r="VH75" s="21"/>
      <c r="VI75" s="21"/>
      <c r="VJ75" s="21"/>
      <c r="VK75" s="21"/>
      <c r="VL75" s="21"/>
      <c r="VM75" s="21"/>
      <c r="VN75" s="21"/>
      <c r="VO75" s="21"/>
      <c r="VP75" s="21"/>
      <c r="VQ75" s="21"/>
      <c r="VR75" s="21"/>
      <c r="VS75" s="21"/>
      <c r="VT75" s="21"/>
      <c r="VU75" s="21"/>
      <c r="VV75" s="21"/>
      <c r="VW75" s="21"/>
      <c r="VX75" s="21"/>
      <c r="VY75" s="21"/>
      <c r="VZ75" s="21"/>
      <c r="WA75" s="21"/>
      <c r="WB75" s="21"/>
      <c r="WC75" s="21"/>
      <c r="WD75" s="21"/>
      <c r="WE75" s="21"/>
      <c r="WF75" s="21"/>
      <c r="WG75" s="21"/>
      <c r="WH75" s="21"/>
      <c r="WI75" s="21"/>
      <c r="WJ75" s="21"/>
      <c r="WK75" s="21"/>
      <c r="WL75" s="21"/>
      <c r="WM75" s="21"/>
      <c r="WN75" s="21"/>
      <c r="WO75" s="21"/>
      <c r="WP75" s="21"/>
      <c r="WQ75" s="21"/>
      <c r="WR75" s="21"/>
      <c r="WS75" s="21"/>
      <c r="WT75" s="21"/>
      <c r="WU75" s="21"/>
      <c r="WV75" s="21"/>
      <c r="WW75" s="21"/>
      <c r="WX75" s="21"/>
      <c r="WY75" s="21"/>
      <c r="WZ75" s="21"/>
      <c r="XA75" s="21"/>
      <c r="XB75" s="21"/>
      <c r="XC75" s="21"/>
      <c r="XD75" s="21"/>
      <c r="XE75" s="21"/>
      <c r="XF75" s="21"/>
      <c r="XG75" s="21"/>
      <c r="XH75" s="21"/>
      <c r="XI75" s="21"/>
      <c r="XJ75" s="21"/>
      <c r="XK75" s="21"/>
      <c r="XL75" s="21"/>
      <c r="XM75" s="21"/>
      <c r="XN75" s="21"/>
      <c r="XO75" s="21"/>
      <c r="XP75" s="21"/>
      <c r="XQ75" s="21"/>
      <c r="XR75" s="21"/>
      <c r="XS75" s="21"/>
      <c r="XT75" s="21"/>
      <c r="XU75" s="21"/>
      <c r="XV75" s="21"/>
      <c r="XW75" s="21"/>
      <c r="XX75" s="21"/>
      <c r="XY75" s="21"/>
      <c r="XZ75" s="21"/>
      <c r="YA75" s="21"/>
      <c r="YB75" s="21"/>
      <c r="YC75" s="21"/>
      <c r="YD75" s="21"/>
      <c r="YE75" s="21"/>
      <c r="YF75" s="21"/>
      <c r="YG75" s="21"/>
      <c r="YH75" s="21"/>
      <c r="YI75" s="21"/>
      <c r="YJ75" s="21"/>
      <c r="YK75" s="21"/>
      <c r="YL75" s="21"/>
      <c r="YM75" s="21"/>
      <c r="YN75" s="21"/>
      <c r="YO75" s="21"/>
      <c r="YP75" s="21"/>
      <c r="YQ75" s="21"/>
      <c r="YR75" s="21"/>
      <c r="YS75" s="21"/>
      <c r="YT75" s="21"/>
      <c r="YU75" s="21"/>
      <c r="YV75" s="21"/>
      <c r="YW75" s="21"/>
      <c r="YX75" s="21"/>
      <c r="YY75" s="21"/>
      <c r="YZ75" s="21"/>
      <c r="ZA75" s="21"/>
      <c r="ZB75" s="21"/>
      <c r="ZC75" s="21"/>
      <c r="ZD75" s="21"/>
      <c r="ZE75" s="21"/>
      <c r="ZF75" s="21"/>
      <c r="ZG75" s="21"/>
      <c r="ZH75" s="21"/>
      <c r="ZI75" s="21"/>
      <c r="ZJ75" s="21"/>
      <c r="ZK75" s="21"/>
      <c r="ZL75" s="21"/>
      <c r="ZM75" s="21"/>
      <c r="ZN75" s="21"/>
      <c r="ZO75" s="21"/>
      <c r="ZP75" s="21"/>
      <c r="ZQ75" s="21"/>
      <c r="ZR75" s="21"/>
      <c r="ZS75" s="21"/>
      <c r="ZT75" s="21"/>
      <c r="ZU75" s="21"/>
      <c r="ZV75" s="21"/>
      <c r="ZW75" s="21"/>
      <c r="ZX75" s="21"/>
      <c r="ZY75" s="21"/>
      <c r="ZZ75" s="21"/>
      <c r="AAA75" s="21"/>
      <c r="AAB75" s="21"/>
      <c r="AAC75" s="21"/>
      <c r="AAD75" s="21"/>
      <c r="AAE75" s="21"/>
      <c r="AAF75" s="21"/>
      <c r="AAG75" s="21"/>
      <c r="AAH75" s="21"/>
      <c r="AAI75" s="21"/>
      <c r="AAJ75" s="21"/>
      <c r="AAK75" s="21"/>
      <c r="AAL75" s="21"/>
      <c r="AAM75" s="21"/>
      <c r="AAN75" s="21"/>
      <c r="AAO75" s="21"/>
      <c r="AAP75" s="21"/>
      <c r="AAQ75" s="21"/>
      <c r="AAR75" s="21"/>
      <c r="AAS75" s="21"/>
      <c r="AAT75" s="21"/>
      <c r="AAU75" s="21"/>
      <c r="AAV75" s="21"/>
      <c r="AAW75" s="21"/>
      <c r="AAX75" s="21"/>
      <c r="AAY75" s="21"/>
      <c r="AAZ75" s="21"/>
      <c r="ABA75" s="21"/>
      <c r="ABB75" s="21"/>
      <c r="ABC75" s="21"/>
      <c r="ABD75" s="21"/>
      <c r="ABE75" s="21"/>
      <c r="ABF75" s="21"/>
      <c r="ABG75" s="21"/>
      <c r="ABH75" s="21"/>
      <c r="ABI75" s="21"/>
      <c r="ABJ75" s="21"/>
      <c r="ABK75" s="21"/>
      <c r="ABL75" s="21"/>
      <c r="ABM75" s="21"/>
      <c r="ABN75" s="21"/>
      <c r="ABO75" s="21"/>
      <c r="ABP75" s="21"/>
      <c r="ABQ75" s="21"/>
      <c r="ABR75" s="21"/>
      <c r="ABS75" s="21"/>
      <c r="ABT75" s="21"/>
      <c r="ABU75" s="21"/>
      <c r="ABV75" s="21"/>
      <c r="ABW75" s="21"/>
      <c r="ABX75" s="21"/>
      <c r="ABY75" s="21"/>
      <c r="ABZ75" s="21"/>
      <c r="ACA75" s="21"/>
      <c r="ACB75" s="21"/>
      <c r="ACC75" s="21"/>
      <c r="ACD75" s="21"/>
      <c r="ACE75" s="21"/>
      <c r="ACF75" s="21"/>
      <c r="ACG75" s="21"/>
      <c r="ACH75" s="21"/>
      <c r="ACI75" s="21"/>
      <c r="ACJ75" s="21"/>
      <c r="ACK75" s="21"/>
      <c r="ACL75" s="21"/>
      <c r="ACM75" s="21"/>
      <c r="ACN75" s="21"/>
      <c r="ACO75" s="21"/>
      <c r="ACP75" s="21"/>
      <c r="ACQ75" s="21"/>
      <c r="ACR75" s="21"/>
      <c r="ACS75" s="21"/>
      <c r="ACT75" s="21"/>
      <c r="ACU75" s="21"/>
      <c r="ACV75" s="21"/>
      <c r="ACW75" s="21"/>
      <c r="ACX75" s="21"/>
      <c r="ACY75" s="21"/>
      <c r="ACZ75" s="21"/>
      <c r="ADA75" s="21"/>
      <c r="ADB75" s="21"/>
      <c r="ADC75" s="21"/>
      <c r="ADD75" s="21"/>
      <c r="ADE75" s="21"/>
      <c r="ADF75" s="21"/>
      <c r="ADG75" s="21"/>
      <c r="ADH75" s="21"/>
      <c r="ADI75" s="21"/>
      <c r="ADJ75" s="21"/>
      <c r="ADK75" s="21"/>
      <c r="ADL75" s="21"/>
      <c r="ADM75" s="21"/>
      <c r="ADN75" s="21"/>
      <c r="ADO75" s="21"/>
      <c r="ADP75" s="21"/>
      <c r="ADQ75" s="21"/>
      <c r="ADR75" s="21"/>
      <c r="ADS75" s="21"/>
      <c r="ADT75" s="21"/>
      <c r="ADU75" s="21"/>
      <c r="ADV75" s="21"/>
      <c r="ADW75" s="21"/>
      <c r="ADX75" s="21"/>
      <c r="ADY75" s="21"/>
      <c r="ADZ75" s="21"/>
      <c r="AEA75" s="21"/>
      <c r="AEB75" s="21"/>
      <c r="AEC75" s="21"/>
      <c r="AED75" s="21"/>
      <c r="AEE75" s="21"/>
      <c r="AEF75" s="21"/>
      <c r="AEG75" s="21"/>
      <c r="AEH75" s="21"/>
      <c r="AEI75" s="21"/>
      <c r="AEJ75" s="21"/>
      <c r="AEK75" s="21"/>
      <c r="AEL75" s="21"/>
      <c r="AEM75" s="21"/>
      <c r="AEN75" s="21"/>
      <c r="AEO75" s="21"/>
      <c r="AEP75" s="21"/>
      <c r="AEQ75" s="21"/>
      <c r="AER75" s="21"/>
      <c r="AES75" s="21"/>
      <c r="AET75" s="21"/>
      <c r="AEU75" s="21"/>
      <c r="AEV75" s="21"/>
      <c r="AEW75" s="21"/>
      <c r="AEX75" s="21"/>
      <c r="AEY75" s="21"/>
      <c r="AEZ75" s="21"/>
      <c r="AFA75" s="21"/>
      <c r="AFB75" s="21"/>
      <c r="AFC75" s="21"/>
      <c r="AFD75" s="21"/>
      <c r="AFE75" s="21"/>
      <c r="AFF75" s="21"/>
      <c r="AFG75" s="21"/>
      <c r="AFH75" s="21"/>
      <c r="AFI75" s="21"/>
      <c r="AFJ75" s="21"/>
      <c r="AFK75" s="21"/>
      <c r="AFL75" s="21"/>
      <c r="AFM75" s="21"/>
      <c r="AFN75" s="21"/>
      <c r="AFO75" s="21"/>
      <c r="AFP75" s="21"/>
      <c r="AFQ75" s="21"/>
      <c r="AFR75" s="21"/>
      <c r="AFS75" s="21"/>
      <c r="AFT75" s="21"/>
      <c r="AFU75" s="21"/>
      <c r="AFV75" s="21"/>
      <c r="AFW75" s="21"/>
      <c r="AFX75" s="21"/>
      <c r="AFY75" s="21"/>
      <c r="AFZ75" s="21"/>
      <c r="AGA75" s="21"/>
      <c r="AGB75" s="21"/>
      <c r="AGC75" s="21"/>
      <c r="AGD75" s="21"/>
      <c r="AGE75" s="21"/>
      <c r="AGF75" s="21"/>
      <c r="AGG75" s="21"/>
      <c r="AGH75" s="21"/>
      <c r="AGI75" s="21"/>
      <c r="AGJ75" s="21"/>
      <c r="AGK75" s="21"/>
      <c r="AGL75" s="21"/>
      <c r="AGM75" s="21"/>
      <c r="AGN75" s="21"/>
      <c r="AGO75" s="21"/>
      <c r="AGP75" s="21"/>
      <c r="AGQ75" s="21"/>
      <c r="AGR75" s="21"/>
      <c r="AGS75" s="21"/>
    </row>
    <row r="76" spans="1:877" ht="13">
      <c r="A76" s="12"/>
      <c r="B76" s="12"/>
      <c r="C76" s="12"/>
      <c r="D76" s="12"/>
      <c r="E76" s="12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55"/>
      <c r="BL76" s="55"/>
      <c r="BM76" s="55"/>
      <c r="BN76" s="55"/>
      <c r="BO76" s="55"/>
      <c r="BP76" s="55"/>
      <c r="BQ76" s="55"/>
      <c r="BR76" s="55"/>
      <c r="BS76" s="55"/>
      <c r="BT76" s="55"/>
      <c r="BU76" s="55"/>
      <c r="BV76" s="55"/>
      <c r="BW76" s="55"/>
      <c r="BX76" s="55"/>
      <c r="BY76" s="55"/>
      <c r="BZ76" s="55"/>
      <c r="CA76" s="55"/>
      <c r="CB76" s="55"/>
      <c r="CC76" s="55"/>
      <c r="CD76" s="55"/>
      <c r="CE76" s="55"/>
      <c r="CF76" s="55"/>
      <c r="CG76" s="55"/>
      <c r="CH76" s="55"/>
      <c r="CI76" s="55"/>
      <c r="CJ76" s="55"/>
      <c r="CK76" s="55"/>
      <c r="CL76" s="55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1"/>
      <c r="JV76" s="21"/>
      <c r="JW76" s="21"/>
      <c r="JX76" s="21"/>
      <c r="JY76" s="21"/>
      <c r="JZ76" s="21"/>
      <c r="KA76" s="21"/>
      <c r="KB76" s="21"/>
      <c r="KC76" s="21"/>
      <c r="KD76" s="21"/>
      <c r="KE76" s="21"/>
      <c r="KF76" s="21"/>
      <c r="KG76" s="21"/>
      <c r="KH76" s="21"/>
      <c r="KI76" s="21"/>
      <c r="KJ76" s="21"/>
      <c r="KK76" s="21"/>
      <c r="KL76" s="21"/>
      <c r="KM76" s="21"/>
      <c r="KN76" s="21"/>
      <c r="KO76" s="21"/>
      <c r="KP76" s="21"/>
      <c r="KQ76" s="21"/>
      <c r="KR76" s="21"/>
      <c r="KS76" s="21"/>
      <c r="KT76" s="21"/>
      <c r="KU76" s="21"/>
      <c r="KV76" s="21"/>
      <c r="KW76" s="21"/>
      <c r="KX76" s="21"/>
      <c r="KY76" s="21"/>
      <c r="KZ76" s="21"/>
      <c r="LA76" s="21"/>
      <c r="LB76" s="21"/>
      <c r="LC76" s="21"/>
      <c r="LD76" s="21"/>
      <c r="LE76" s="21"/>
      <c r="LF76" s="21"/>
      <c r="LG76" s="21"/>
      <c r="LH76" s="21"/>
      <c r="LI76" s="21"/>
      <c r="LJ76" s="21"/>
      <c r="LK76" s="21"/>
      <c r="LL76" s="21"/>
      <c r="LM76" s="21"/>
      <c r="LN76" s="21"/>
      <c r="LO76" s="21"/>
      <c r="LP76" s="21"/>
      <c r="LQ76" s="21"/>
      <c r="LR76" s="21"/>
      <c r="LS76" s="21"/>
      <c r="LT76" s="21"/>
      <c r="LU76" s="21"/>
      <c r="LV76" s="21"/>
      <c r="LW76" s="21"/>
      <c r="LX76" s="21"/>
      <c r="LY76" s="21"/>
      <c r="LZ76" s="21"/>
      <c r="MA76" s="21"/>
      <c r="MB76" s="21"/>
      <c r="MC76" s="21"/>
      <c r="MD76" s="21"/>
      <c r="ME76" s="21"/>
      <c r="MF76" s="21"/>
      <c r="MG76" s="21"/>
      <c r="MH76" s="21"/>
      <c r="MI76" s="21"/>
      <c r="MJ76" s="21"/>
      <c r="MK76" s="21"/>
      <c r="ML76" s="21"/>
      <c r="MM76" s="21"/>
      <c r="MN76" s="21"/>
      <c r="MO76" s="21"/>
      <c r="MP76" s="21"/>
      <c r="MQ76" s="21"/>
      <c r="MR76" s="21"/>
      <c r="MS76" s="21"/>
      <c r="MT76" s="21"/>
      <c r="MU76" s="21"/>
      <c r="MV76" s="21"/>
      <c r="MW76" s="21"/>
      <c r="MX76" s="21"/>
      <c r="MY76" s="21"/>
      <c r="MZ76" s="21"/>
      <c r="NA76" s="21"/>
      <c r="NB76" s="21"/>
      <c r="NC76" s="21"/>
      <c r="ND76" s="21"/>
      <c r="NE76" s="21"/>
      <c r="NF76" s="21"/>
      <c r="NG76" s="21"/>
      <c r="NH76" s="21"/>
      <c r="NI76" s="21"/>
      <c r="NJ76" s="21"/>
      <c r="NK76" s="21"/>
      <c r="NL76" s="21"/>
      <c r="NM76" s="21"/>
      <c r="NN76" s="21"/>
      <c r="NO76" s="21"/>
      <c r="NP76" s="21"/>
      <c r="NQ76" s="21"/>
      <c r="NR76" s="21"/>
      <c r="NS76" s="21"/>
      <c r="NT76" s="21"/>
      <c r="NU76" s="21"/>
      <c r="NV76" s="21"/>
      <c r="NW76" s="21"/>
      <c r="NX76" s="21"/>
      <c r="NY76" s="21"/>
      <c r="NZ76" s="21"/>
      <c r="OA76" s="21"/>
      <c r="OB76" s="21"/>
      <c r="OC76" s="21"/>
      <c r="OD76" s="21"/>
      <c r="OE76" s="21"/>
      <c r="OF76" s="21"/>
      <c r="OG76" s="21"/>
      <c r="OH76" s="21"/>
      <c r="OI76" s="21"/>
      <c r="OJ76" s="21"/>
      <c r="OK76" s="21"/>
      <c r="OL76" s="21"/>
      <c r="OM76" s="21"/>
      <c r="ON76" s="21"/>
      <c r="OO76" s="21"/>
      <c r="OP76" s="21"/>
      <c r="OQ76" s="21"/>
      <c r="OR76" s="21"/>
      <c r="OS76" s="21"/>
      <c r="OT76" s="21"/>
      <c r="OU76" s="21"/>
      <c r="OV76" s="21"/>
      <c r="OW76" s="21"/>
      <c r="OX76" s="21"/>
      <c r="OY76" s="21"/>
      <c r="OZ76" s="21"/>
      <c r="PA76" s="21"/>
      <c r="PB76" s="21"/>
      <c r="PC76" s="21"/>
      <c r="PD76" s="21"/>
      <c r="PE76" s="21"/>
      <c r="PF76" s="21"/>
      <c r="PG76" s="21"/>
      <c r="PH76" s="21"/>
      <c r="PI76" s="21"/>
      <c r="PJ76" s="21"/>
      <c r="PK76" s="21"/>
      <c r="PL76" s="21"/>
      <c r="PM76" s="21"/>
      <c r="PN76" s="21"/>
      <c r="PO76" s="21"/>
      <c r="PP76" s="21"/>
      <c r="PQ76" s="21"/>
      <c r="PR76" s="21"/>
      <c r="PS76" s="21"/>
      <c r="PT76" s="21"/>
      <c r="PU76" s="21"/>
      <c r="PV76" s="21"/>
      <c r="PW76" s="21"/>
      <c r="PX76" s="21"/>
      <c r="PY76" s="21"/>
      <c r="PZ76" s="21"/>
      <c r="QA76" s="21"/>
      <c r="QB76" s="21"/>
      <c r="QC76" s="21"/>
      <c r="QD76" s="21"/>
      <c r="QE76" s="21"/>
      <c r="QF76" s="21"/>
      <c r="QG76" s="21"/>
      <c r="QH76" s="21"/>
      <c r="QI76" s="21"/>
      <c r="QJ76" s="21"/>
      <c r="QK76" s="21"/>
      <c r="QL76" s="21"/>
      <c r="QM76" s="21"/>
      <c r="QN76" s="21"/>
      <c r="QO76" s="21"/>
      <c r="QP76" s="21"/>
      <c r="QQ76" s="21"/>
      <c r="QR76" s="21"/>
      <c r="QS76" s="21"/>
      <c r="QT76" s="21"/>
      <c r="QU76" s="21"/>
      <c r="QV76" s="21"/>
      <c r="QW76" s="21"/>
      <c r="QX76" s="21"/>
      <c r="QY76" s="21"/>
      <c r="QZ76" s="21"/>
      <c r="RA76" s="21"/>
      <c r="RB76" s="21"/>
      <c r="RC76" s="21"/>
      <c r="RD76" s="21"/>
      <c r="RE76" s="21"/>
      <c r="RF76" s="21"/>
      <c r="RG76" s="21"/>
      <c r="RH76" s="21"/>
      <c r="RI76" s="21"/>
      <c r="RJ76" s="21"/>
      <c r="RK76" s="21"/>
      <c r="RL76" s="21"/>
      <c r="RM76" s="21"/>
      <c r="RN76" s="21"/>
      <c r="RO76" s="21"/>
      <c r="RP76" s="21"/>
      <c r="RQ76" s="21"/>
      <c r="RR76" s="21"/>
      <c r="RS76" s="21"/>
      <c r="RT76" s="21"/>
      <c r="RU76" s="21"/>
      <c r="RV76" s="21"/>
      <c r="RW76" s="21"/>
      <c r="RX76" s="21"/>
      <c r="RY76" s="21"/>
      <c r="RZ76" s="21"/>
      <c r="SA76" s="21"/>
      <c r="SB76" s="21"/>
      <c r="SC76" s="21"/>
      <c r="SD76" s="21"/>
      <c r="SE76" s="21"/>
      <c r="SF76" s="21"/>
      <c r="SG76" s="21"/>
      <c r="SH76" s="21"/>
      <c r="SI76" s="21"/>
      <c r="SJ76" s="21"/>
      <c r="SK76" s="21"/>
      <c r="SL76" s="21"/>
      <c r="SM76" s="21"/>
      <c r="SN76" s="21"/>
      <c r="SO76" s="21"/>
      <c r="SP76" s="21"/>
      <c r="SQ76" s="21"/>
      <c r="SR76" s="21"/>
      <c r="SS76" s="21"/>
      <c r="ST76" s="21"/>
      <c r="SU76" s="21"/>
      <c r="SV76" s="21"/>
      <c r="SW76" s="21"/>
      <c r="SX76" s="21"/>
      <c r="SY76" s="21"/>
      <c r="SZ76" s="21"/>
      <c r="TA76" s="21"/>
      <c r="TB76" s="21"/>
      <c r="TC76" s="21"/>
      <c r="TD76" s="21"/>
      <c r="TE76" s="21"/>
      <c r="TF76" s="21"/>
      <c r="TG76" s="21"/>
      <c r="TH76" s="21"/>
      <c r="TI76" s="21"/>
      <c r="TJ76" s="21"/>
      <c r="TK76" s="21"/>
      <c r="TL76" s="21"/>
      <c r="TM76" s="21"/>
      <c r="TN76" s="21"/>
      <c r="TO76" s="21"/>
      <c r="TP76" s="21"/>
      <c r="TQ76" s="21"/>
      <c r="TR76" s="21"/>
      <c r="TS76" s="21"/>
      <c r="TT76" s="21"/>
      <c r="TU76" s="21"/>
      <c r="TV76" s="21"/>
      <c r="TW76" s="21"/>
      <c r="TX76" s="21"/>
      <c r="TY76" s="21"/>
      <c r="TZ76" s="21"/>
      <c r="UA76" s="21"/>
      <c r="UB76" s="21"/>
      <c r="UC76" s="21"/>
      <c r="UD76" s="21"/>
      <c r="UE76" s="21"/>
      <c r="UF76" s="21"/>
      <c r="UG76" s="21"/>
      <c r="UH76" s="21"/>
      <c r="UI76" s="21"/>
      <c r="UJ76" s="21"/>
      <c r="UK76" s="21"/>
      <c r="UL76" s="21"/>
      <c r="UM76" s="21"/>
      <c r="UN76" s="21"/>
      <c r="UO76" s="21"/>
      <c r="UP76" s="21"/>
      <c r="UQ76" s="21"/>
      <c r="UR76" s="21"/>
      <c r="US76" s="21"/>
      <c r="UT76" s="21"/>
      <c r="UU76" s="21"/>
      <c r="UV76" s="21"/>
      <c r="UW76" s="21"/>
      <c r="UX76" s="21"/>
      <c r="UY76" s="21"/>
      <c r="UZ76" s="21"/>
      <c r="VA76" s="21"/>
      <c r="VB76" s="21"/>
      <c r="VC76" s="21"/>
      <c r="VD76" s="21"/>
      <c r="VE76" s="21"/>
      <c r="VF76" s="21"/>
      <c r="VG76" s="21"/>
      <c r="VH76" s="21"/>
      <c r="VI76" s="21"/>
      <c r="VJ76" s="21"/>
      <c r="VK76" s="21"/>
      <c r="VL76" s="21"/>
      <c r="VM76" s="21"/>
      <c r="VN76" s="21"/>
      <c r="VO76" s="21"/>
      <c r="VP76" s="21"/>
      <c r="VQ76" s="21"/>
      <c r="VR76" s="21"/>
      <c r="VS76" s="21"/>
      <c r="VT76" s="21"/>
      <c r="VU76" s="21"/>
      <c r="VV76" s="21"/>
      <c r="VW76" s="21"/>
      <c r="VX76" s="21"/>
      <c r="VY76" s="21"/>
      <c r="VZ76" s="21"/>
      <c r="WA76" s="21"/>
      <c r="WB76" s="21"/>
      <c r="WC76" s="21"/>
      <c r="WD76" s="21"/>
      <c r="WE76" s="21"/>
      <c r="WF76" s="21"/>
      <c r="WG76" s="21"/>
      <c r="WH76" s="21"/>
      <c r="WI76" s="21"/>
      <c r="WJ76" s="21"/>
      <c r="WK76" s="21"/>
      <c r="WL76" s="21"/>
      <c r="WM76" s="21"/>
      <c r="WN76" s="21"/>
      <c r="WO76" s="21"/>
      <c r="WP76" s="21"/>
      <c r="WQ76" s="21"/>
      <c r="WR76" s="21"/>
      <c r="WS76" s="21"/>
      <c r="WT76" s="21"/>
      <c r="WU76" s="21"/>
      <c r="WV76" s="21"/>
      <c r="WW76" s="21"/>
      <c r="WX76" s="21"/>
      <c r="WY76" s="21"/>
      <c r="WZ76" s="21"/>
      <c r="XA76" s="21"/>
      <c r="XB76" s="21"/>
      <c r="XC76" s="21"/>
      <c r="XD76" s="21"/>
      <c r="XE76" s="21"/>
      <c r="XF76" s="21"/>
      <c r="XG76" s="21"/>
      <c r="XH76" s="21"/>
      <c r="XI76" s="21"/>
      <c r="XJ76" s="21"/>
      <c r="XK76" s="21"/>
      <c r="XL76" s="21"/>
      <c r="XM76" s="21"/>
      <c r="XN76" s="21"/>
      <c r="XO76" s="21"/>
      <c r="XP76" s="21"/>
      <c r="XQ76" s="21"/>
      <c r="XR76" s="21"/>
      <c r="XS76" s="21"/>
      <c r="XT76" s="21"/>
      <c r="XU76" s="21"/>
      <c r="XV76" s="21"/>
      <c r="XW76" s="21"/>
      <c r="XX76" s="21"/>
      <c r="XY76" s="21"/>
      <c r="XZ76" s="21"/>
      <c r="YA76" s="21"/>
      <c r="YB76" s="21"/>
      <c r="YC76" s="21"/>
      <c r="YD76" s="21"/>
      <c r="YE76" s="21"/>
      <c r="YF76" s="21"/>
      <c r="YG76" s="21"/>
      <c r="YH76" s="21"/>
      <c r="YI76" s="21"/>
      <c r="YJ76" s="21"/>
      <c r="YK76" s="21"/>
      <c r="YL76" s="21"/>
      <c r="YM76" s="21"/>
      <c r="YN76" s="21"/>
      <c r="YO76" s="21"/>
      <c r="YP76" s="21"/>
      <c r="YQ76" s="21"/>
      <c r="YR76" s="21"/>
      <c r="YS76" s="21"/>
      <c r="YT76" s="21"/>
      <c r="YU76" s="21"/>
      <c r="YV76" s="21"/>
      <c r="YW76" s="21"/>
      <c r="YX76" s="21"/>
      <c r="YY76" s="21"/>
      <c r="YZ76" s="21"/>
      <c r="ZA76" s="21"/>
      <c r="ZB76" s="21"/>
      <c r="ZC76" s="21"/>
      <c r="ZD76" s="21"/>
      <c r="ZE76" s="21"/>
      <c r="ZF76" s="21"/>
      <c r="ZG76" s="21"/>
      <c r="ZH76" s="21"/>
      <c r="ZI76" s="21"/>
      <c r="ZJ76" s="21"/>
      <c r="ZK76" s="21"/>
      <c r="ZL76" s="21"/>
      <c r="ZM76" s="21"/>
      <c r="ZN76" s="21"/>
      <c r="ZO76" s="21"/>
      <c r="ZP76" s="21"/>
      <c r="ZQ76" s="21"/>
      <c r="ZR76" s="21"/>
      <c r="ZS76" s="21"/>
      <c r="ZT76" s="21"/>
      <c r="ZU76" s="21"/>
      <c r="ZV76" s="21"/>
      <c r="ZW76" s="21"/>
      <c r="ZX76" s="21"/>
      <c r="ZY76" s="21"/>
      <c r="ZZ76" s="21"/>
      <c r="AAA76" s="21"/>
      <c r="AAB76" s="21"/>
      <c r="AAC76" s="21"/>
      <c r="AAD76" s="21"/>
      <c r="AAE76" s="21"/>
      <c r="AAF76" s="21"/>
      <c r="AAG76" s="21"/>
      <c r="AAH76" s="21"/>
      <c r="AAI76" s="21"/>
      <c r="AAJ76" s="21"/>
      <c r="AAK76" s="21"/>
      <c r="AAL76" s="21"/>
      <c r="AAM76" s="21"/>
      <c r="AAN76" s="21"/>
      <c r="AAO76" s="21"/>
      <c r="AAP76" s="21"/>
      <c r="AAQ76" s="21"/>
      <c r="AAR76" s="21"/>
      <c r="AAS76" s="21"/>
      <c r="AAT76" s="21"/>
      <c r="AAU76" s="21"/>
      <c r="AAV76" s="21"/>
      <c r="AAW76" s="21"/>
      <c r="AAX76" s="21"/>
      <c r="AAY76" s="21"/>
      <c r="AAZ76" s="21"/>
      <c r="ABA76" s="21"/>
      <c r="ABB76" s="21"/>
      <c r="ABC76" s="21"/>
      <c r="ABD76" s="21"/>
      <c r="ABE76" s="21"/>
      <c r="ABF76" s="21"/>
      <c r="ABG76" s="21"/>
      <c r="ABH76" s="21"/>
      <c r="ABI76" s="21"/>
      <c r="ABJ76" s="21"/>
      <c r="ABK76" s="21"/>
      <c r="ABL76" s="21"/>
      <c r="ABM76" s="21"/>
      <c r="ABN76" s="21"/>
      <c r="ABO76" s="21"/>
      <c r="ABP76" s="21"/>
      <c r="ABQ76" s="21"/>
      <c r="ABR76" s="21"/>
      <c r="ABS76" s="21"/>
      <c r="ABT76" s="21"/>
      <c r="ABU76" s="21"/>
      <c r="ABV76" s="21"/>
      <c r="ABW76" s="21"/>
      <c r="ABX76" s="21"/>
      <c r="ABY76" s="21"/>
      <c r="ABZ76" s="21"/>
      <c r="ACA76" s="21"/>
      <c r="ACB76" s="21"/>
      <c r="ACC76" s="21"/>
      <c r="ACD76" s="21"/>
      <c r="ACE76" s="21"/>
      <c r="ACF76" s="21"/>
      <c r="ACG76" s="21"/>
      <c r="ACH76" s="21"/>
      <c r="ACI76" s="21"/>
      <c r="ACJ76" s="21"/>
      <c r="ACK76" s="21"/>
      <c r="ACL76" s="21"/>
      <c r="ACM76" s="21"/>
      <c r="ACN76" s="21"/>
      <c r="ACO76" s="21"/>
      <c r="ACP76" s="21"/>
      <c r="ACQ76" s="21"/>
      <c r="ACR76" s="21"/>
      <c r="ACS76" s="21"/>
      <c r="ACT76" s="21"/>
      <c r="ACU76" s="21"/>
      <c r="ACV76" s="21"/>
      <c r="ACW76" s="21"/>
      <c r="ACX76" s="21"/>
      <c r="ACY76" s="21"/>
      <c r="ACZ76" s="21"/>
      <c r="ADA76" s="21"/>
      <c r="ADB76" s="21"/>
      <c r="ADC76" s="21"/>
      <c r="ADD76" s="21"/>
      <c r="ADE76" s="21"/>
      <c r="ADF76" s="21"/>
      <c r="ADG76" s="21"/>
      <c r="ADH76" s="21"/>
      <c r="ADI76" s="21"/>
      <c r="ADJ76" s="21"/>
      <c r="ADK76" s="21"/>
      <c r="ADL76" s="21"/>
      <c r="ADM76" s="21"/>
      <c r="ADN76" s="21"/>
      <c r="ADO76" s="21"/>
      <c r="ADP76" s="21"/>
      <c r="ADQ76" s="21"/>
      <c r="ADR76" s="21"/>
      <c r="ADS76" s="21"/>
      <c r="ADT76" s="21"/>
      <c r="ADU76" s="21"/>
      <c r="ADV76" s="21"/>
      <c r="ADW76" s="21"/>
      <c r="ADX76" s="21"/>
      <c r="ADY76" s="21"/>
      <c r="ADZ76" s="21"/>
      <c r="AEA76" s="21"/>
      <c r="AEB76" s="21"/>
      <c r="AEC76" s="21"/>
      <c r="AED76" s="21"/>
      <c r="AEE76" s="21"/>
      <c r="AEF76" s="21"/>
      <c r="AEG76" s="21"/>
      <c r="AEH76" s="21"/>
      <c r="AEI76" s="21"/>
      <c r="AEJ76" s="21"/>
      <c r="AEK76" s="21"/>
      <c r="AEL76" s="21"/>
      <c r="AEM76" s="21"/>
      <c r="AEN76" s="21"/>
      <c r="AEO76" s="21"/>
      <c r="AEP76" s="21"/>
      <c r="AEQ76" s="21"/>
      <c r="AER76" s="21"/>
      <c r="AES76" s="21"/>
      <c r="AET76" s="21"/>
      <c r="AEU76" s="21"/>
      <c r="AEV76" s="21"/>
      <c r="AEW76" s="21"/>
      <c r="AEX76" s="21"/>
      <c r="AEY76" s="21"/>
      <c r="AEZ76" s="21"/>
      <c r="AFA76" s="21"/>
      <c r="AFB76" s="21"/>
      <c r="AFC76" s="21"/>
      <c r="AFD76" s="21"/>
      <c r="AFE76" s="21"/>
      <c r="AFF76" s="21"/>
      <c r="AFG76" s="21"/>
      <c r="AFH76" s="21"/>
      <c r="AFI76" s="21"/>
      <c r="AFJ76" s="21"/>
      <c r="AFK76" s="21"/>
      <c r="AFL76" s="21"/>
      <c r="AFM76" s="21"/>
      <c r="AFN76" s="21"/>
      <c r="AFO76" s="21"/>
      <c r="AFP76" s="21"/>
      <c r="AFQ76" s="21"/>
      <c r="AFR76" s="21"/>
      <c r="AFS76" s="21"/>
      <c r="AFT76" s="21"/>
      <c r="AFU76" s="21"/>
      <c r="AFV76" s="21"/>
      <c r="AFW76" s="21"/>
      <c r="AFX76" s="21"/>
      <c r="AFY76" s="21"/>
      <c r="AFZ76" s="21"/>
      <c r="AGA76" s="21"/>
      <c r="AGB76" s="21"/>
      <c r="AGC76" s="21"/>
      <c r="AGD76" s="21"/>
      <c r="AGE76" s="21"/>
      <c r="AGF76" s="21"/>
      <c r="AGG76" s="21"/>
      <c r="AGH76" s="21"/>
      <c r="AGI76" s="21"/>
      <c r="AGJ76" s="21"/>
      <c r="AGK76" s="21"/>
      <c r="AGL76" s="21"/>
      <c r="AGM76" s="21"/>
      <c r="AGN76" s="21"/>
      <c r="AGO76" s="21"/>
      <c r="AGP76" s="21"/>
      <c r="AGQ76" s="21"/>
      <c r="AGR76" s="21"/>
      <c r="AGS76" s="21"/>
    </row>
    <row r="77" spans="1:877" ht="13">
      <c r="A77" s="12"/>
      <c r="B77" s="67" t="s">
        <v>40</v>
      </c>
      <c r="C77" s="68" t="s">
        <v>41</v>
      </c>
      <c r="D77" s="68" t="s">
        <v>42</v>
      </c>
      <c r="E77" s="68" t="s">
        <v>43</v>
      </c>
      <c r="F77" s="69"/>
      <c r="G77" s="69" t="s">
        <v>44</v>
      </c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  <c r="BM77" s="55"/>
      <c r="BN77" s="55"/>
      <c r="BO77" s="55"/>
      <c r="BP77" s="55"/>
      <c r="BQ77" s="55"/>
      <c r="BR77" s="55"/>
      <c r="BS77" s="55"/>
      <c r="BT77" s="55"/>
      <c r="BU77" s="55"/>
      <c r="BV77" s="55"/>
      <c r="BW77" s="55"/>
      <c r="BX77" s="55"/>
      <c r="BY77" s="55"/>
      <c r="BZ77" s="55"/>
      <c r="CA77" s="55"/>
      <c r="CB77" s="55"/>
      <c r="CC77" s="55"/>
      <c r="CD77" s="55"/>
      <c r="CE77" s="55"/>
      <c r="CF77" s="55"/>
      <c r="CG77" s="55"/>
      <c r="CH77" s="55"/>
      <c r="CI77" s="55"/>
      <c r="CJ77" s="55"/>
      <c r="CK77" s="55"/>
      <c r="CL77" s="55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1"/>
      <c r="JV77" s="21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  <c r="KJ77" s="21"/>
      <c r="KK77" s="21"/>
      <c r="KL77" s="21"/>
      <c r="KM77" s="21"/>
      <c r="KN77" s="21"/>
      <c r="KO77" s="21"/>
      <c r="KP77" s="21"/>
      <c r="KQ77" s="21"/>
      <c r="KR77" s="21"/>
      <c r="KS77" s="21"/>
      <c r="KT77" s="21"/>
      <c r="KU77" s="21"/>
      <c r="KV77" s="21"/>
      <c r="KW77" s="21"/>
      <c r="KX77" s="21"/>
      <c r="KY77" s="21"/>
      <c r="KZ77" s="21"/>
      <c r="LA77" s="21"/>
      <c r="LB77" s="21"/>
      <c r="LC77" s="21"/>
      <c r="LD77" s="21"/>
      <c r="LE77" s="21"/>
      <c r="LF77" s="21"/>
      <c r="LG77" s="21"/>
      <c r="LH77" s="21"/>
      <c r="LI77" s="21"/>
      <c r="LJ77" s="21"/>
      <c r="LK77" s="21"/>
      <c r="LL77" s="21"/>
      <c r="LM77" s="21"/>
      <c r="LN77" s="21"/>
      <c r="LO77" s="21"/>
      <c r="LP77" s="21"/>
      <c r="LQ77" s="21"/>
      <c r="LR77" s="21"/>
      <c r="LS77" s="21"/>
      <c r="LT77" s="21"/>
      <c r="LU77" s="21"/>
      <c r="LV77" s="21"/>
      <c r="LW77" s="21"/>
      <c r="LX77" s="21"/>
      <c r="LY77" s="21"/>
      <c r="LZ77" s="21"/>
      <c r="MA77" s="21"/>
      <c r="MB77" s="21"/>
      <c r="MC77" s="21"/>
      <c r="MD77" s="21"/>
      <c r="ME77" s="21"/>
      <c r="MF77" s="21"/>
      <c r="MG77" s="21"/>
      <c r="MH77" s="21"/>
      <c r="MI77" s="21"/>
      <c r="MJ77" s="21"/>
      <c r="MK77" s="21"/>
      <c r="ML77" s="21"/>
      <c r="MM77" s="21"/>
      <c r="MN77" s="21"/>
      <c r="MO77" s="21"/>
      <c r="MP77" s="21"/>
      <c r="MQ77" s="21"/>
      <c r="MR77" s="21"/>
      <c r="MS77" s="21"/>
      <c r="MT77" s="21"/>
      <c r="MU77" s="21"/>
      <c r="MV77" s="21"/>
      <c r="MW77" s="21"/>
      <c r="MX77" s="21"/>
      <c r="MY77" s="21"/>
      <c r="MZ77" s="21"/>
      <c r="NA77" s="21"/>
      <c r="NB77" s="21"/>
      <c r="NC77" s="21"/>
      <c r="ND77" s="21"/>
      <c r="NE77" s="21"/>
      <c r="NF77" s="21"/>
      <c r="NG77" s="21"/>
      <c r="NH77" s="21"/>
      <c r="NI77" s="21"/>
      <c r="NJ77" s="21"/>
      <c r="NK77" s="21"/>
      <c r="NL77" s="21"/>
      <c r="NM77" s="21"/>
      <c r="NN77" s="21"/>
      <c r="NO77" s="21"/>
      <c r="NP77" s="21"/>
      <c r="NQ77" s="21"/>
      <c r="NR77" s="21"/>
      <c r="NS77" s="21"/>
      <c r="NT77" s="21"/>
      <c r="NU77" s="21"/>
      <c r="NV77" s="21"/>
      <c r="NW77" s="21"/>
      <c r="NX77" s="21"/>
      <c r="NY77" s="21"/>
      <c r="NZ77" s="21"/>
      <c r="OA77" s="21"/>
      <c r="OB77" s="21"/>
      <c r="OC77" s="21"/>
      <c r="OD77" s="21"/>
      <c r="OE77" s="21"/>
      <c r="OF77" s="21"/>
      <c r="OG77" s="21"/>
      <c r="OH77" s="21"/>
      <c r="OI77" s="21"/>
      <c r="OJ77" s="21"/>
      <c r="OK77" s="21"/>
      <c r="OL77" s="21"/>
      <c r="OM77" s="21"/>
      <c r="ON77" s="21"/>
      <c r="OO77" s="21"/>
      <c r="OP77" s="21"/>
      <c r="OQ77" s="21"/>
      <c r="OR77" s="21"/>
      <c r="OS77" s="21"/>
      <c r="OT77" s="21"/>
      <c r="OU77" s="21"/>
      <c r="OV77" s="21"/>
      <c r="OW77" s="21"/>
      <c r="OX77" s="21"/>
      <c r="OY77" s="21"/>
      <c r="OZ77" s="21"/>
      <c r="PA77" s="21"/>
      <c r="PB77" s="21"/>
      <c r="PC77" s="21"/>
      <c r="PD77" s="21"/>
      <c r="PE77" s="21"/>
      <c r="PF77" s="21"/>
      <c r="PG77" s="21"/>
      <c r="PH77" s="21"/>
      <c r="PI77" s="21"/>
      <c r="PJ77" s="21"/>
      <c r="PK77" s="21"/>
      <c r="PL77" s="21"/>
      <c r="PM77" s="21"/>
      <c r="PN77" s="21"/>
      <c r="PO77" s="21"/>
      <c r="PP77" s="21"/>
      <c r="PQ77" s="21"/>
      <c r="PR77" s="21"/>
      <c r="PS77" s="21"/>
      <c r="PT77" s="21"/>
      <c r="PU77" s="21"/>
      <c r="PV77" s="21"/>
      <c r="PW77" s="21"/>
      <c r="PX77" s="21"/>
      <c r="PY77" s="21"/>
      <c r="PZ77" s="21"/>
      <c r="QA77" s="21"/>
      <c r="QB77" s="21"/>
      <c r="QC77" s="21"/>
      <c r="QD77" s="21"/>
      <c r="QE77" s="21"/>
      <c r="QF77" s="21"/>
      <c r="QG77" s="21"/>
      <c r="QH77" s="21"/>
      <c r="QI77" s="21"/>
      <c r="QJ77" s="21"/>
      <c r="QK77" s="21"/>
      <c r="QL77" s="21"/>
      <c r="QM77" s="21"/>
      <c r="QN77" s="21"/>
      <c r="QO77" s="21"/>
      <c r="QP77" s="21"/>
      <c r="QQ77" s="21"/>
      <c r="QR77" s="21"/>
      <c r="QS77" s="21"/>
      <c r="QT77" s="21"/>
      <c r="QU77" s="21"/>
      <c r="QV77" s="21"/>
      <c r="QW77" s="21"/>
      <c r="QX77" s="21"/>
      <c r="QY77" s="21"/>
      <c r="QZ77" s="21"/>
      <c r="RA77" s="21"/>
      <c r="RB77" s="21"/>
      <c r="RC77" s="21"/>
      <c r="RD77" s="21"/>
      <c r="RE77" s="21"/>
      <c r="RF77" s="21"/>
      <c r="RG77" s="21"/>
      <c r="RH77" s="21"/>
      <c r="RI77" s="21"/>
      <c r="RJ77" s="21"/>
      <c r="RK77" s="21"/>
      <c r="RL77" s="21"/>
      <c r="RM77" s="21"/>
      <c r="RN77" s="21"/>
      <c r="RO77" s="21"/>
      <c r="RP77" s="21"/>
      <c r="RQ77" s="21"/>
      <c r="RR77" s="21"/>
      <c r="RS77" s="21"/>
      <c r="RT77" s="21"/>
      <c r="RU77" s="21"/>
      <c r="RV77" s="21"/>
      <c r="RW77" s="21"/>
      <c r="RX77" s="21"/>
      <c r="RY77" s="21"/>
      <c r="RZ77" s="21"/>
      <c r="SA77" s="21"/>
      <c r="SB77" s="21"/>
      <c r="SC77" s="21"/>
      <c r="SD77" s="21"/>
      <c r="SE77" s="21"/>
      <c r="SF77" s="21"/>
      <c r="SG77" s="21"/>
      <c r="SH77" s="21"/>
      <c r="SI77" s="21"/>
      <c r="SJ77" s="21"/>
      <c r="SK77" s="21"/>
      <c r="SL77" s="21"/>
      <c r="SM77" s="21"/>
      <c r="SN77" s="21"/>
      <c r="SO77" s="21"/>
      <c r="SP77" s="21"/>
      <c r="SQ77" s="21"/>
      <c r="SR77" s="21"/>
      <c r="SS77" s="21"/>
      <c r="ST77" s="21"/>
      <c r="SU77" s="21"/>
      <c r="SV77" s="21"/>
      <c r="SW77" s="21"/>
      <c r="SX77" s="21"/>
      <c r="SY77" s="21"/>
      <c r="SZ77" s="21"/>
      <c r="TA77" s="21"/>
      <c r="TB77" s="21"/>
      <c r="TC77" s="21"/>
      <c r="TD77" s="21"/>
      <c r="TE77" s="21"/>
      <c r="TF77" s="21"/>
      <c r="TG77" s="21"/>
      <c r="TH77" s="21"/>
      <c r="TI77" s="21"/>
      <c r="TJ77" s="21"/>
      <c r="TK77" s="21"/>
      <c r="TL77" s="21"/>
      <c r="TM77" s="21"/>
      <c r="TN77" s="21"/>
      <c r="TO77" s="21"/>
      <c r="TP77" s="21"/>
      <c r="TQ77" s="21"/>
      <c r="TR77" s="21"/>
      <c r="TS77" s="21"/>
      <c r="TT77" s="21"/>
      <c r="TU77" s="21"/>
      <c r="TV77" s="21"/>
      <c r="TW77" s="21"/>
      <c r="TX77" s="21"/>
      <c r="TY77" s="21"/>
      <c r="TZ77" s="21"/>
      <c r="UA77" s="21"/>
      <c r="UB77" s="21"/>
      <c r="UC77" s="21"/>
      <c r="UD77" s="21"/>
      <c r="UE77" s="21"/>
      <c r="UF77" s="21"/>
      <c r="UG77" s="21"/>
      <c r="UH77" s="21"/>
      <c r="UI77" s="21"/>
      <c r="UJ77" s="21"/>
      <c r="UK77" s="21"/>
      <c r="UL77" s="21"/>
      <c r="UM77" s="21"/>
      <c r="UN77" s="21"/>
      <c r="UO77" s="21"/>
      <c r="UP77" s="21"/>
      <c r="UQ77" s="21"/>
      <c r="UR77" s="21"/>
      <c r="US77" s="21"/>
      <c r="UT77" s="21"/>
      <c r="UU77" s="21"/>
      <c r="UV77" s="21"/>
      <c r="UW77" s="21"/>
      <c r="UX77" s="21"/>
      <c r="UY77" s="21"/>
      <c r="UZ77" s="21"/>
      <c r="VA77" s="21"/>
      <c r="VB77" s="21"/>
      <c r="VC77" s="21"/>
      <c r="VD77" s="21"/>
      <c r="VE77" s="21"/>
      <c r="VF77" s="21"/>
      <c r="VG77" s="21"/>
      <c r="VH77" s="21"/>
      <c r="VI77" s="21"/>
      <c r="VJ77" s="21"/>
      <c r="VK77" s="21"/>
      <c r="VL77" s="21"/>
      <c r="VM77" s="21"/>
      <c r="VN77" s="21"/>
      <c r="VO77" s="21"/>
      <c r="VP77" s="21"/>
      <c r="VQ77" s="21"/>
      <c r="VR77" s="21"/>
      <c r="VS77" s="21"/>
      <c r="VT77" s="21"/>
      <c r="VU77" s="21"/>
      <c r="VV77" s="21"/>
      <c r="VW77" s="21"/>
      <c r="VX77" s="21"/>
      <c r="VY77" s="21"/>
      <c r="VZ77" s="21"/>
      <c r="WA77" s="21"/>
      <c r="WB77" s="21"/>
      <c r="WC77" s="21"/>
      <c r="WD77" s="21"/>
      <c r="WE77" s="21"/>
      <c r="WF77" s="21"/>
      <c r="WG77" s="21"/>
      <c r="WH77" s="21"/>
      <c r="WI77" s="21"/>
      <c r="WJ77" s="21"/>
      <c r="WK77" s="21"/>
      <c r="WL77" s="21"/>
      <c r="WM77" s="21"/>
      <c r="WN77" s="21"/>
      <c r="WO77" s="21"/>
      <c r="WP77" s="21"/>
      <c r="WQ77" s="21"/>
      <c r="WR77" s="21"/>
      <c r="WS77" s="21"/>
      <c r="WT77" s="21"/>
      <c r="WU77" s="21"/>
      <c r="WV77" s="21"/>
      <c r="WW77" s="21"/>
      <c r="WX77" s="21"/>
      <c r="WY77" s="21"/>
      <c r="WZ77" s="21"/>
      <c r="XA77" s="21"/>
      <c r="XB77" s="21"/>
      <c r="XC77" s="21"/>
      <c r="XD77" s="21"/>
      <c r="XE77" s="21"/>
      <c r="XF77" s="21"/>
      <c r="XG77" s="21"/>
      <c r="XH77" s="21"/>
      <c r="XI77" s="21"/>
      <c r="XJ77" s="21"/>
      <c r="XK77" s="21"/>
      <c r="XL77" s="21"/>
      <c r="XM77" s="21"/>
      <c r="XN77" s="21"/>
      <c r="XO77" s="21"/>
      <c r="XP77" s="21"/>
      <c r="XQ77" s="21"/>
      <c r="XR77" s="21"/>
      <c r="XS77" s="21"/>
      <c r="XT77" s="21"/>
      <c r="XU77" s="21"/>
      <c r="XV77" s="21"/>
      <c r="XW77" s="21"/>
      <c r="XX77" s="21"/>
      <c r="XY77" s="21"/>
      <c r="XZ77" s="21"/>
      <c r="YA77" s="21"/>
      <c r="YB77" s="21"/>
      <c r="YC77" s="21"/>
      <c r="YD77" s="21"/>
      <c r="YE77" s="21"/>
      <c r="YF77" s="21"/>
      <c r="YG77" s="21"/>
      <c r="YH77" s="21"/>
      <c r="YI77" s="21"/>
      <c r="YJ77" s="21"/>
      <c r="YK77" s="21"/>
      <c r="YL77" s="21"/>
      <c r="YM77" s="21"/>
      <c r="YN77" s="21"/>
      <c r="YO77" s="21"/>
      <c r="YP77" s="21"/>
      <c r="YQ77" s="21"/>
      <c r="YR77" s="21"/>
      <c r="YS77" s="21"/>
      <c r="YT77" s="21"/>
      <c r="YU77" s="21"/>
      <c r="YV77" s="21"/>
      <c r="YW77" s="21"/>
      <c r="YX77" s="21"/>
      <c r="YY77" s="21"/>
      <c r="YZ77" s="21"/>
      <c r="ZA77" s="21"/>
      <c r="ZB77" s="21"/>
      <c r="ZC77" s="21"/>
      <c r="ZD77" s="21"/>
      <c r="ZE77" s="21"/>
      <c r="ZF77" s="21"/>
      <c r="ZG77" s="21"/>
      <c r="ZH77" s="21"/>
      <c r="ZI77" s="21"/>
      <c r="ZJ77" s="21"/>
      <c r="ZK77" s="21"/>
      <c r="ZL77" s="21"/>
      <c r="ZM77" s="21"/>
      <c r="ZN77" s="21"/>
      <c r="ZO77" s="21"/>
      <c r="ZP77" s="21"/>
      <c r="ZQ77" s="21"/>
      <c r="ZR77" s="21"/>
      <c r="ZS77" s="21"/>
      <c r="ZT77" s="21"/>
      <c r="ZU77" s="21"/>
      <c r="ZV77" s="21"/>
      <c r="ZW77" s="21"/>
      <c r="ZX77" s="21"/>
      <c r="ZY77" s="21"/>
      <c r="ZZ77" s="21"/>
      <c r="AAA77" s="21"/>
      <c r="AAB77" s="21"/>
      <c r="AAC77" s="21"/>
      <c r="AAD77" s="21"/>
      <c r="AAE77" s="21"/>
      <c r="AAF77" s="21"/>
      <c r="AAG77" s="21"/>
      <c r="AAH77" s="21"/>
      <c r="AAI77" s="21"/>
      <c r="AAJ77" s="21"/>
      <c r="AAK77" s="21"/>
      <c r="AAL77" s="21"/>
      <c r="AAM77" s="21"/>
      <c r="AAN77" s="21"/>
      <c r="AAO77" s="21"/>
      <c r="AAP77" s="21"/>
      <c r="AAQ77" s="21"/>
      <c r="AAR77" s="21"/>
      <c r="AAS77" s="21"/>
      <c r="AAT77" s="21"/>
      <c r="AAU77" s="21"/>
      <c r="AAV77" s="21"/>
      <c r="AAW77" s="21"/>
      <c r="AAX77" s="21"/>
      <c r="AAY77" s="21"/>
      <c r="AAZ77" s="21"/>
      <c r="ABA77" s="21"/>
      <c r="ABB77" s="21"/>
      <c r="ABC77" s="21"/>
      <c r="ABD77" s="21"/>
      <c r="ABE77" s="21"/>
      <c r="ABF77" s="21"/>
      <c r="ABG77" s="21"/>
      <c r="ABH77" s="21"/>
      <c r="ABI77" s="21"/>
      <c r="ABJ77" s="21"/>
      <c r="ABK77" s="21"/>
      <c r="ABL77" s="21"/>
      <c r="ABM77" s="21"/>
      <c r="ABN77" s="21"/>
      <c r="ABO77" s="21"/>
      <c r="ABP77" s="21"/>
      <c r="ABQ77" s="21"/>
      <c r="ABR77" s="21"/>
      <c r="ABS77" s="21"/>
      <c r="ABT77" s="21"/>
      <c r="ABU77" s="21"/>
      <c r="ABV77" s="21"/>
      <c r="ABW77" s="21"/>
      <c r="ABX77" s="21"/>
      <c r="ABY77" s="21"/>
      <c r="ABZ77" s="21"/>
      <c r="ACA77" s="21"/>
      <c r="ACB77" s="21"/>
      <c r="ACC77" s="21"/>
      <c r="ACD77" s="21"/>
      <c r="ACE77" s="21"/>
      <c r="ACF77" s="21"/>
      <c r="ACG77" s="21"/>
      <c r="ACH77" s="21"/>
      <c r="ACI77" s="21"/>
      <c r="ACJ77" s="21"/>
      <c r="ACK77" s="21"/>
      <c r="ACL77" s="21"/>
      <c r="ACM77" s="21"/>
      <c r="ACN77" s="21"/>
      <c r="ACO77" s="21"/>
      <c r="ACP77" s="21"/>
      <c r="ACQ77" s="21"/>
      <c r="ACR77" s="21"/>
      <c r="ACS77" s="21"/>
      <c r="ACT77" s="21"/>
      <c r="ACU77" s="21"/>
      <c r="ACV77" s="21"/>
      <c r="ACW77" s="21"/>
      <c r="ACX77" s="21"/>
      <c r="ACY77" s="21"/>
      <c r="ACZ77" s="21"/>
      <c r="ADA77" s="21"/>
      <c r="ADB77" s="21"/>
      <c r="ADC77" s="21"/>
      <c r="ADD77" s="21"/>
      <c r="ADE77" s="21"/>
      <c r="ADF77" s="21"/>
      <c r="ADG77" s="21"/>
      <c r="ADH77" s="21"/>
      <c r="ADI77" s="21"/>
      <c r="ADJ77" s="21"/>
      <c r="ADK77" s="21"/>
      <c r="ADL77" s="21"/>
      <c r="ADM77" s="21"/>
      <c r="ADN77" s="21"/>
      <c r="ADO77" s="21"/>
      <c r="ADP77" s="21"/>
      <c r="ADQ77" s="21"/>
      <c r="ADR77" s="21"/>
      <c r="ADS77" s="21"/>
      <c r="ADT77" s="21"/>
      <c r="ADU77" s="21"/>
      <c r="ADV77" s="21"/>
      <c r="ADW77" s="21"/>
      <c r="ADX77" s="21"/>
      <c r="ADY77" s="21"/>
      <c r="ADZ77" s="21"/>
      <c r="AEA77" s="21"/>
      <c r="AEB77" s="21"/>
      <c r="AEC77" s="21"/>
      <c r="AED77" s="21"/>
      <c r="AEE77" s="21"/>
      <c r="AEF77" s="21"/>
      <c r="AEG77" s="21"/>
      <c r="AEH77" s="21"/>
      <c r="AEI77" s="21"/>
      <c r="AEJ77" s="21"/>
      <c r="AEK77" s="21"/>
      <c r="AEL77" s="21"/>
      <c r="AEM77" s="21"/>
      <c r="AEN77" s="21"/>
      <c r="AEO77" s="21"/>
      <c r="AEP77" s="21"/>
      <c r="AEQ77" s="21"/>
      <c r="AER77" s="21"/>
      <c r="AES77" s="21"/>
      <c r="AET77" s="21"/>
      <c r="AEU77" s="21"/>
      <c r="AEV77" s="21"/>
      <c r="AEW77" s="21"/>
      <c r="AEX77" s="21"/>
      <c r="AEY77" s="21"/>
      <c r="AEZ77" s="21"/>
      <c r="AFA77" s="21"/>
      <c r="AFB77" s="21"/>
      <c r="AFC77" s="21"/>
      <c r="AFD77" s="21"/>
      <c r="AFE77" s="21"/>
      <c r="AFF77" s="21"/>
      <c r="AFG77" s="21"/>
      <c r="AFH77" s="21"/>
      <c r="AFI77" s="21"/>
      <c r="AFJ77" s="21"/>
      <c r="AFK77" s="21"/>
      <c r="AFL77" s="21"/>
      <c r="AFM77" s="21"/>
      <c r="AFN77" s="21"/>
      <c r="AFO77" s="21"/>
      <c r="AFP77" s="21"/>
      <c r="AFQ77" s="21"/>
      <c r="AFR77" s="21"/>
      <c r="AFS77" s="21"/>
      <c r="AFT77" s="21"/>
      <c r="AFU77" s="21"/>
      <c r="AFV77" s="21"/>
      <c r="AFW77" s="21"/>
      <c r="AFX77" s="21"/>
      <c r="AFY77" s="21"/>
      <c r="AFZ77" s="21"/>
      <c r="AGA77" s="21"/>
      <c r="AGB77" s="21"/>
      <c r="AGC77" s="21"/>
      <c r="AGD77" s="21"/>
      <c r="AGE77" s="21"/>
      <c r="AGF77" s="21"/>
      <c r="AGG77" s="21"/>
      <c r="AGH77" s="21"/>
      <c r="AGI77" s="21"/>
      <c r="AGJ77" s="21"/>
      <c r="AGK77" s="21"/>
      <c r="AGL77" s="21"/>
      <c r="AGM77" s="21"/>
      <c r="AGN77" s="21"/>
      <c r="AGO77" s="21"/>
      <c r="AGP77" s="21"/>
      <c r="AGQ77" s="21"/>
      <c r="AGR77" s="21"/>
      <c r="AGS77" s="21"/>
    </row>
    <row r="78" spans="1:877" ht="13">
      <c r="A78" s="12"/>
      <c r="B78" s="70" t="s">
        <v>45</v>
      </c>
      <c r="C78" s="71">
        <v>3200000</v>
      </c>
      <c r="D78" s="72">
        <v>45839</v>
      </c>
      <c r="E78" s="73">
        <v>9</v>
      </c>
      <c r="F78" s="27"/>
      <c r="G78" s="27">
        <v>3200000</v>
      </c>
      <c r="H78" s="27">
        <v>3200000</v>
      </c>
      <c r="I78" s="27">
        <v>3200000</v>
      </c>
      <c r="J78" s="27">
        <v>3200000</v>
      </c>
      <c r="K78" s="27">
        <v>3200000</v>
      </c>
      <c r="L78" s="27">
        <v>3200000</v>
      </c>
      <c r="M78" s="27">
        <v>3200000</v>
      </c>
      <c r="N78" s="27">
        <v>3200000</v>
      </c>
      <c r="O78" s="27">
        <v>3200000</v>
      </c>
      <c r="P78" s="27">
        <v>3200000</v>
      </c>
      <c r="Q78" s="27">
        <v>3200000</v>
      </c>
      <c r="R78" s="27">
        <v>3200000</v>
      </c>
      <c r="S78" s="27">
        <v>3200000</v>
      </c>
      <c r="T78" s="27">
        <v>3200000</v>
      </c>
      <c r="U78" s="27">
        <v>3200000</v>
      </c>
      <c r="V78" s="27">
        <v>3200000</v>
      </c>
      <c r="W78" s="27">
        <v>3200000</v>
      </c>
      <c r="X78" s="27">
        <v>3200000</v>
      </c>
      <c r="Y78" s="27">
        <v>3200000</v>
      </c>
      <c r="Z78" s="27">
        <v>3200000</v>
      </c>
      <c r="AA78" s="27">
        <v>3200000</v>
      </c>
      <c r="AB78" s="27">
        <v>3200000</v>
      </c>
      <c r="AC78" s="27">
        <v>3200000</v>
      </c>
      <c r="AD78" s="27">
        <v>3200000</v>
      </c>
      <c r="AE78" s="27">
        <v>3200000</v>
      </c>
      <c r="AF78" s="27">
        <v>3200000</v>
      </c>
      <c r="AG78" s="27">
        <v>3200000</v>
      </c>
      <c r="AH78" s="27">
        <v>3200000</v>
      </c>
      <c r="AI78" s="27">
        <v>3200000</v>
      </c>
      <c r="AJ78" s="27">
        <v>3200000</v>
      </c>
      <c r="AK78" s="27">
        <v>3200000</v>
      </c>
      <c r="AL78" s="27">
        <v>3200000</v>
      </c>
      <c r="AM78" s="27">
        <v>3200000</v>
      </c>
      <c r="AN78" s="27">
        <v>3200000</v>
      </c>
      <c r="AO78" s="27">
        <v>3200000</v>
      </c>
      <c r="AP78" s="27">
        <v>3200000</v>
      </c>
      <c r="AQ78" s="27">
        <v>3200000</v>
      </c>
      <c r="AR78" s="27">
        <v>3200000</v>
      </c>
      <c r="AS78" s="27">
        <v>3200000</v>
      </c>
      <c r="AT78" s="27">
        <v>3200000</v>
      </c>
      <c r="AU78" s="27">
        <v>3200000</v>
      </c>
      <c r="AV78" s="27">
        <v>3200000</v>
      </c>
      <c r="AW78" s="27">
        <v>3200000</v>
      </c>
      <c r="AX78" s="27">
        <v>3200000</v>
      </c>
      <c r="AY78" s="27">
        <v>3200000</v>
      </c>
      <c r="AZ78" s="27">
        <v>3200000</v>
      </c>
      <c r="BA78" s="27">
        <v>3200000</v>
      </c>
      <c r="BB78" s="27">
        <v>3200000</v>
      </c>
      <c r="BC78" s="27">
        <v>3200000</v>
      </c>
      <c r="BD78" s="27">
        <v>3200000</v>
      </c>
      <c r="BE78" s="27">
        <v>3200000</v>
      </c>
      <c r="BF78" s="27">
        <v>3200000</v>
      </c>
      <c r="BG78" s="27">
        <v>3200000</v>
      </c>
      <c r="BH78" s="27">
        <v>3200000</v>
      </c>
      <c r="BI78" s="27">
        <v>3200000</v>
      </c>
      <c r="BJ78" s="27">
        <v>3200000</v>
      </c>
      <c r="BK78" s="27">
        <v>3200000</v>
      </c>
      <c r="BL78" s="27">
        <v>3200000</v>
      </c>
      <c r="BM78" s="27">
        <v>3200000</v>
      </c>
      <c r="BN78" s="27">
        <v>3200000</v>
      </c>
      <c r="BO78" s="27">
        <v>3200000</v>
      </c>
      <c r="BP78" s="27">
        <v>3200000</v>
      </c>
      <c r="BQ78" s="27">
        <v>3200000</v>
      </c>
      <c r="BR78" s="27">
        <v>3200000</v>
      </c>
      <c r="BS78" s="27">
        <v>3200000</v>
      </c>
      <c r="BT78" s="27">
        <v>3200000</v>
      </c>
      <c r="BU78" s="27">
        <v>3200000</v>
      </c>
      <c r="BV78" s="27">
        <v>3200000</v>
      </c>
      <c r="BW78" s="27">
        <v>3200000</v>
      </c>
      <c r="BX78" s="27">
        <v>3200000</v>
      </c>
      <c r="BY78" s="27">
        <v>3200000</v>
      </c>
      <c r="BZ78" s="27">
        <v>3200000</v>
      </c>
      <c r="CA78" s="27">
        <v>3200000</v>
      </c>
      <c r="CB78" s="27">
        <v>3200000</v>
      </c>
      <c r="CC78" s="27">
        <v>3200000</v>
      </c>
      <c r="CD78" s="27">
        <v>3200000</v>
      </c>
      <c r="CE78" s="27">
        <v>3200000</v>
      </c>
      <c r="CF78" s="27">
        <v>3200000</v>
      </c>
      <c r="CG78" s="27">
        <v>3200000</v>
      </c>
      <c r="CH78" s="27">
        <v>3200000</v>
      </c>
      <c r="CI78" s="27">
        <v>3200000</v>
      </c>
      <c r="CJ78" s="27">
        <v>3200000</v>
      </c>
      <c r="CK78" s="27">
        <v>3200000</v>
      </c>
      <c r="CL78" s="27">
        <v>3200000</v>
      </c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  <c r="JO78" s="21"/>
      <c r="JP78" s="21"/>
      <c r="JQ78" s="21"/>
      <c r="JR78" s="21"/>
      <c r="JS78" s="21"/>
      <c r="JT78" s="21"/>
      <c r="JU78" s="21"/>
      <c r="JV78" s="21"/>
      <c r="JW78" s="21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  <c r="KJ78" s="21"/>
      <c r="KK78" s="21"/>
      <c r="KL78" s="21"/>
      <c r="KM78" s="21"/>
      <c r="KN78" s="21"/>
      <c r="KO78" s="21"/>
      <c r="KP78" s="21"/>
      <c r="KQ78" s="21"/>
      <c r="KR78" s="21"/>
      <c r="KS78" s="21"/>
      <c r="KT78" s="21"/>
      <c r="KU78" s="21"/>
      <c r="KV78" s="21"/>
      <c r="KW78" s="21"/>
      <c r="KX78" s="21"/>
      <c r="KY78" s="21"/>
      <c r="KZ78" s="21"/>
      <c r="LA78" s="21"/>
      <c r="LB78" s="21"/>
      <c r="LC78" s="21"/>
      <c r="LD78" s="21"/>
      <c r="LE78" s="21"/>
      <c r="LF78" s="21"/>
      <c r="LG78" s="21"/>
      <c r="LH78" s="21"/>
      <c r="LI78" s="21"/>
      <c r="LJ78" s="21"/>
      <c r="LK78" s="21"/>
      <c r="LL78" s="21"/>
      <c r="LM78" s="21"/>
      <c r="LN78" s="21"/>
      <c r="LO78" s="21"/>
      <c r="LP78" s="21"/>
      <c r="LQ78" s="21"/>
      <c r="LR78" s="21"/>
      <c r="LS78" s="21"/>
      <c r="LT78" s="21"/>
      <c r="LU78" s="21"/>
      <c r="LV78" s="21"/>
      <c r="LW78" s="21"/>
      <c r="LX78" s="21"/>
      <c r="LY78" s="21"/>
      <c r="LZ78" s="21"/>
      <c r="MA78" s="21"/>
      <c r="MB78" s="21"/>
      <c r="MC78" s="21"/>
      <c r="MD78" s="21"/>
      <c r="ME78" s="21"/>
      <c r="MF78" s="21"/>
      <c r="MG78" s="21"/>
      <c r="MH78" s="21"/>
      <c r="MI78" s="21"/>
      <c r="MJ78" s="21"/>
      <c r="MK78" s="21"/>
      <c r="ML78" s="21"/>
      <c r="MM78" s="21"/>
      <c r="MN78" s="21"/>
      <c r="MO78" s="21"/>
      <c r="MP78" s="21"/>
      <c r="MQ78" s="21"/>
      <c r="MR78" s="21"/>
      <c r="MS78" s="21"/>
      <c r="MT78" s="21"/>
      <c r="MU78" s="21"/>
      <c r="MV78" s="21"/>
      <c r="MW78" s="21"/>
      <c r="MX78" s="21"/>
      <c r="MY78" s="21"/>
      <c r="MZ78" s="21"/>
      <c r="NA78" s="21"/>
      <c r="NB78" s="21"/>
      <c r="NC78" s="21"/>
      <c r="ND78" s="21"/>
      <c r="NE78" s="21"/>
      <c r="NF78" s="21"/>
      <c r="NG78" s="21"/>
      <c r="NH78" s="21"/>
      <c r="NI78" s="21"/>
      <c r="NJ78" s="21"/>
      <c r="NK78" s="21"/>
      <c r="NL78" s="21"/>
      <c r="NM78" s="21"/>
      <c r="NN78" s="21"/>
      <c r="NO78" s="21"/>
      <c r="NP78" s="21"/>
      <c r="NQ78" s="21"/>
      <c r="NR78" s="21"/>
      <c r="NS78" s="21"/>
      <c r="NT78" s="21"/>
      <c r="NU78" s="21"/>
      <c r="NV78" s="21"/>
      <c r="NW78" s="21"/>
      <c r="NX78" s="21"/>
      <c r="NY78" s="21"/>
      <c r="NZ78" s="21"/>
      <c r="OA78" s="21"/>
      <c r="OB78" s="21"/>
      <c r="OC78" s="21"/>
      <c r="OD78" s="21"/>
      <c r="OE78" s="21"/>
      <c r="OF78" s="21"/>
      <c r="OG78" s="21"/>
      <c r="OH78" s="21"/>
      <c r="OI78" s="21"/>
      <c r="OJ78" s="21"/>
      <c r="OK78" s="21"/>
      <c r="OL78" s="21"/>
      <c r="OM78" s="21"/>
      <c r="ON78" s="21"/>
      <c r="OO78" s="21"/>
      <c r="OP78" s="21"/>
      <c r="OQ78" s="21"/>
      <c r="OR78" s="21"/>
      <c r="OS78" s="21"/>
      <c r="OT78" s="21"/>
      <c r="OU78" s="21"/>
      <c r="OV78" s="21"/>
      <c r="OW78" s="21"/>
      <c r="OX78" s="21"/>
      <c r="OY78" s="21"/>
      <c r="OZ78" s="21"/>
      <c r="PA78" s="21"/>
      <c r="PB78" s="21"/>
      <c r="PC78" s="21"/>
      <c r="PD78" s="21"/>
      <c r="PE78" s="21"/>
      <c r="PF78" s="21"/>
      <c r="PG78" s="21"/>
      <c r="PH78" s="21"/>
      <c r="PI78" s="21"/>
      <c r="PJ78" s="21"/>
      <c r="PK78" s="21"/>
      <c r="PL78" s="21"/>
      <c r="PM78" s="21"/>
      <c r="PN78" s="21"/>
      <c r="PO78" s="21"/>
      <c r="PP78" s="21"/>
      <c r="PQ78" s="21"/>
      <c r="PR78" s="21"/>
      <c r="PS78" s="21"/>
      <c r="PT78" s="21"/>
      <c r="PU78" s="21"/>
      <c r="PV78" s="21"/>
      <c r="PW78" s="21"/>
      <c r="PX78" s="21"/>
      <c r="PY78" s="21"/>
      <c r="PZ78" s="21"/>
      <c r="QA78" s="21"/>
      <c r="QB78" s="21"/>
      <c r="QC78" s="21"/>
      <c r="QD78" s="21"/>
      <c r="QE78" s="21"/>
      <c r="QF78" s="21"/>
      <c r="QG78" s="21"/>
      <c r="QH78" s="21"/>
      <c r="QI78" s="21"/>
      <c r="QJ78" s="21"/>
      <c r="QK78" s="21"/>
      <c r="QL78" s="21"/>
      <c r="QM78" s="21"/>
      <c r="QN78" s="21"/>
      <c r="QO78" s="21"/>
      <c r="QP78" s="21"/>
      <c r="QQ78" s="21"/>
      <c r="QR78" s="21"/>
      <c r="QS78" s="21"/>
      <c r="QT78" s="21"/>
      <c r="QU78" s="21"/>
      <c r="QV78" s="21"/>
      <c r="QW78" s="21"/>
      <c r="QX78" s="21"/>
      <c r="QY78" s="21"/>
      <c r="QZ78" s="21"/>
      <c r="RA78" s="21"/>
      <c r="RB78" s="21"/>
      <c r="RC78" s="21"/>
      <c r="RD78" s="21"/>
      <c r="RE78" s="21"/>
      <c r="RF78" s="21"/>
      <c r="RG78" s="21"/>
      <c r="RH78" s="21"/>
      <c r="RI78" s="21"/>
      <c r="RJ78" s="21"/>
      <c r="RK78" s="21"/>
      <c r="RL78" s="21"/>
      <c r="RM78" s="21"/>
      <c r="RN78" s="21"/>
      <c r="RO78" s="21"/>
      <c r="RP78" s="21"/>
      <c r="RQ78" s="21"/>
      <c r="RR78" s="21"/>
      <c r="RS78" s="21"/>
      <c r="RT78" s="21"/>
      <c r="RU78" s="21"/>
      <c r="RV78" s="21"/>
      <c r="RW78" s="21"/>
      <c r="RX78" s="21"/>
      <c r="RY78" s="21"/>
      <c r="RZ78" s="21"/>
      <c r="SA78" s="21"/>
      <c r="SB78" s="21"/>
      <c r="SC78" s="21"/>
      <c r="SD78" s="21"/>
      <c r="SE78" s="21"/>
      <c r="SF78" s="21"/>
      <c r="SG78" s="21"/>
      <c r="SH78" s="21"/>
      <c r="SI78" s="21"/>
      <c r="SJ78" s="21"/>
      <c r="SK78" s="21"/>
      <c r="SL78" s="21"/>
      <c r="SM78" s="21"/>
      <c r="SN78" s="21"/>
      <c r="SO78" s="21"/>
      <c r="SP78" s="21"/>
      <c r="SQ78" s="21"/>
      <c r="SR78" s="21"/>
      <c r="SS78" s="21"/>
      <c r="ST78" s="21"/>
      <c r="SU78" s="21"/>
      <c r="SV78" s="21"/>
      <c r="SW78" s="21"/>
      <c r="SX78" s="21"/>
      <c r="SY78" s="21"/>
      <c r="SZ78" s="21"/>
      <c r="TA78" s="21"/>
      <c r="TB78" s="21"/>
      <c r="TC78" s="21"/>
      <c r="TD78" s="21"/>
      <c r="TE78" s="21"/>
      <c r="TF78" s="21"/>
      <c r="TG78" s="21"/>
      <c r="TH78" s="21"/>
      <c r="TI78" s="21"/>
      <c r="TJ78" s="21"/>
      <c r="TK78" s="21"/>
      <c r="TL78" s="21"/>
      <c r="TM78" s="21"/>
      <c r="TN78" s="21"/>
      <c r="TO78" s="21"/>
      <c r="TP78" s="21"/>
      <c r="TQ78" s="21"/>
      <c r="TR78" s="21"/>
      <c r="TS78" s="21"/>
      <c r="TT78" s="21"/>
      <c r="TU78" s="21"/>
      <c r="TV78" s="21"/>
      <c r="TW78" s="21"/>
      <c r="TX78" s="21"/>
      <c r="TY78" s="21"/>
      <c r="TZ78" s="21"/>
      <c r="UA78" s="21"/>
      <c r="UB78" s="21"/>
      <c r="UC78" s="21"/>
      <c r="UD78" s="21"/>
      <c r="UE78" s="21"/>
      <c r="UF78" s="21"/>
      <c r="UG78" s="21"/>
      <c r="UH78" s="21"/>
      <c r="UI78" s="21"/>
      <c r="UJ78" s="21"/>
      <c r="UK78" s="21"/>
      <c r="UL78" s="21"/>
      <c r="UM78" s="21"/>
      <c r="UN78" s="21"/>
      <c r="UO78" s="21"/>
      <c r="UP78" s="21"/>
      <c r="UQ78" s="21"/>
      <c r="UR78" s="21"/>
      <c r="US78" s="21"/>
      <c r="UT78" s="21"/>
      <c r="UU78" s="21"/>
      <c r="UV78" s="21"/>
      <c r="UW78" s="21"/>
      <c r="UX78" s="21"/>
      <c r="UY78" s="21"/>
      <c r="UZ78" s="21"/>
      <c r="VA78" s="21"/>
      <c r="VB78" s="21"/>
      <c r="VC78" s="21"/>
      <c r="VD78" s="21"/>
      <c r="VE78" s="21"/>
      <c r="VF78" s="21"/>
      <c r="VG78" s="21"/>
      <c r="VH78" s="21"/>
      <c r="VI78" s="21"/>
      <c r="VJ78" s="21"/>
      <c r="VK78" s="21"/>
      <c r="VL78" s="21"/>
      <c r="VM78" s="21"/>
      <c r="VN78" s="21"/>
      <c r="VO78" s="21"/>
      <c r="VP78" s="21"/>
      <c r="VQ78" s="21"/>
      <c r="VR78" s="21"/>
      <c r="VS78" s="21"/>
      <c r="VT78" s="21"/>
      <c r="VU78" s="21"/>
      <c r="VV78" s="21"/>
      <c r="VW78" s="21"/>
      <c r="VX78" s="21"/>
      <c r="VY78" s="21"/>
      <c r="VZ78" s="21"/>
      <c r="WA78" s="21"/>
      <c r="WB78" s="21"/>
      <c r="WC78" s="21"/>
      <c r="WD78" s="21"/>
      <c r="WE78" s="21"/>
      <c r="WF78" s="21"/>
      <c r="WG78" s="21"/>
      <c r="WH78" s="21"/>
      <c r="WI78" s="21"/>
      <c r="WJ78" s="21"/>
      <c r="WK78" s="21"/>
      <c r="WL78" s="21"/>
      <c r="WM78" s="21"/>
      <c r="WN78" s="21"/>
      <c r="WO78" s="21"/>
      <c r="WP78" s="21"/>
      <c r="WQ78" s="21"/>
      <c r="WR78" s="21"/>
      <c r="WS78" s="21"/>
      <c r="WT78" s="21"/>
      <c r="WU78" s="21"/>
      <c r="WV78" s="21"/>
      <c r="WW78" s="21"/>
      <c r="WX78" s="21"/>
      <c r="WY78" s="21"/>
      <c r="WZ78" s="21"/>
      <c r="XA78" s="21"/>
      <c r="XB78" s="21"/>
      <c r="XC78" s="21"/>
      <c r="XD78" s="21"/>
      <c r="XE78" s="21"/>
      <c r="XF78" s="21"/>
      <c r="XG78" s="21"/>
      <c r="XH78" s="21"/>
      <c r="XI78" s="21"/>
      <c r="XJ78" s="21"/>
      <c r="XK78" s="21"/>
      <c r="XL78" s="21"/>
      <c r="XM78" s="21"/>
      <c r="XN78" s="21"/>
      <c r="XO78" s="21"/>
      <c r="XP78" s="21"/>
      <c r="XQ78" s="21"/>
      <c r="XR78" s="21"/>
      <c r="XS78" s="21"/>
      <c r="XT78" s="21"/>
      <c r="XU78" s="21"/>
      <c r="XV78" s="21"/>
      <c r="XW78" s="21"/>
      <c r="XX78" s="21"/>
      <c r="XY78" s="21"/>
      <c r="XZ78" s="21"/>
      <c r="YA78" s="21"/>
      <c r="YB78" s="21"/>
      <c r="YC78" s="21"/>
      <c r="YD78" s="21"/>
      <c r="YE78" s="21"/>
      <c r="YF78" s="21"/>
      <c r="YG78" s="21"/>
      <c r="YH78" s="21"/>
      <c r="YI78" s="21"/>
      <c r="YJ78" s="21"/>
      <c r="YK78" s="21"/>
      <c r="YL78" s="21"/>
      <c r="YM78" s="21"/>
      <c r="YN78" s="21"/>
      <c r="YO78" s="21"/>
      <c r="YP78" s="21"/>
      <c r="YQ78" s="21"/>
      <c r="YR78" s="21"/>
      <c r="YS78" s="21"/>
      <c r="YT78" s="21"/>
      <c r="YU78" s="21"/>
      <c r="YV78" s="21"/>
      <c r="YW78" s="21"/>
      <c r="YX78" s="21"/>
      <c r="YY78" s="21"/>
      <c r="YZ78" s="21"/>
      <c r="ZA78" s="21"/>
      <c r="ZB78" s="21"/>
      <c r="ZC78" s="21"/>
      <c r="ZD78" s="21"/>
      <c r="ZE78" s="21"/>
      <c r="ZF78" s="21"/>
      <c r="ZG78" s="21"/>
      <c r="ZH78" s="21"/>
      <c r="ZI78" s="21"/>
      <c r="ZJ78" s="21"/>
      <c r="ZK78" s="21"/>
      <c r="ZL78" s="21"/>
      <c r="ZM78" s="21"/>
      <c r="ZN78" s="21"/>
      <c r="ZO78" s="21"/>
      <c r="ZP78" s="21"/>
      <c r="ZQ78" s="21"/>
      <c r="ZR78" s="21"/>
      <c r="ZS78" s="21"/>
      <c r="ZT78" s="21"/>
      <c r="ZU78" s="21"/>
      <c r="ZV78" s="21"/>
      <c r="ZW78" s="21"/>
      <c r="ZX78" s="21"/>
      <c r="ZY78" s="21"/>
      <c r="ZZ78" s="21"/>
      <c r="AAA78" s="21"/>
      <c r="AAB78" s="21"/>
      <c r="AAC78" s="21"/>
      <c r="AAD78" s="21"/>
      <c r="AAE78" s="21"/>
      <c r="AAF78" s="21"/>
      <c r="AAG78" s="21"/>
      <c r="AAH78" s="21"/>
      <c r="AAI78" s="21"/>
      <c r="AAJ78" s="21"/>
      <c r="AAK78" s="21"/>
      <c r="AAL78" s="21"/>
      <c r="AAM78" s="21"/>
      <c r="AAN78" s="21"/>
      <c r="AAO78" s="21"/>
      <c r="AAP78" s="21"/>
      <c r="AAQ78" s="21"/>
      <c r="AAR78" s="21"/>
      <c r="AAS78" s="21"/>
      <c r="AAT78" s="21"/>
      <c r="AAU78" s="21"/>
      <c r="AAV78" s="21"/>
      <c r="AAW78" s="21"/>
      <c r="AAX78" s="21"/>
      <c r="AAY78" s="21"/>
      <c r="AAZ78" s="21"/>
      <c r="ABA78" s="21"/>
      <c r="ABB78" s="21"/>
      <c r="ABC78" s="21"/>
      <c r="ABD78" s="21"/>
      <c r="ABE78" s="21"/>
      <c r="ABF78" s="21"/>
      <c r="ABG78" s="21"/>
      <c r="ABH78" s="21"/>
      <c r="ABI78" s="21"/>
      <c r="ABJ78" s="21"/>
      <c r="ABK78" s="21"/>
      <c r="ABL78" s="21"/>
      <c r="ABM78" s="21"/>
      <c r="ABN78" s="21"/>
      <c r="ABO78" s="21"/>
      <c r="ABP78" s="21"/>
      <c r="ABQ78" s="21"/>
      <c r="ABR78" s="21"/>
      <c r="ABS78" s="21"/>
      <c r="ABT78" s="21"/>
      <c r="ABU78" s="21"/>
      <c r="ABV78" s="21"/>
      <c r="ABW78" s="21"/>
      <c r="ABX78" s="21"/>
      <c r="ABY78" s="21"/>
      <c r="ABZ78" s="21"/>
      <c r="ACA78" s="21"/>
      <c r="ACB78" s="21"/>
      <c r="ACC78" s="21"/>
      <c r="ACD78" s="21"/>
      <c r="ACE78" s="21"/>
      <c r="ACF78" s="21"/>
      <c r="ACG78" s="21"/>
      <c r="ACH78" s="21"/>
      <c r="ACI78" s="21"/>
      <c r="ACJ78" s="21"/>
      <c r="ACK78" s="21"/>
      <c r="ACL78" s="21"/>
      <c r="ACM78" s="21"/>
      <c r="ACN78" s="21"/>
      <c r="ACO78" s="21"/>
      <c r="ACP78" s="21"/>
      <c r="ACQ78" s="21"/>
      <c r="ACR78" s="21"/>
      <c r="ACS78" s="21"/>
      <c r="ACT78" s="21"/>
      <c r="ACU78" s="21"/>
      <c r="ACV78" s="21"/>
      <c r="ACW78" s="21"/>
      <c r="ACX78" s="21"/>
      <c r="ACY78" s="21"/>
      <c r="ACZ78" s="21"/>
      <c r="ADA78" s="21"/>
      <c r="ADB78" s="21"/>
      <c r="ADC78" s="21"/>
      <c r="ADD78" s="21"/>
      <c r="ADE78" s="21"/>
      <c r="ADF78" s="21"/>
      <c r="ADG78" s="21"/>
      <c r="ADH78" s="21"/>
      <c r="ADI78" s="21"/>
      <c r="ADJ78" s="21"/>
      <c r="ADK78" s="21"/>
      <c r="ADL78" s="21"/>
      <c r="ADM78" s="21"/>
      <c r="ADN78" s="21"/>
      <c r="ADO78" s="21"/>
      <c r="ADP78" s="21"/>
      <c r="ADQ78" s="21"/>
      <c r="ADR78" s="21"/>
      <c r="ADS78" s="21"/>
      <c r="ADT78" s="21"/>
      <c r="ADU78" s="21"/>
      <c r="ADV78" s="21"/>
      <c r="ADW78" s="21"/>
      <c r="ADX78" s="21"/>
      <c r="ADY78" s="21"/>
      <c r="ADZ78" s="21"/>
      <c r="AEA78" s="21"/>
      <c r="AEB78" s="21"/>
      <c r="AEC78" s="21"/>
      <c r="AED78" s="21"/>
      <c r="AEE78" s="21"/>
      <c r="AEF78" s="21"/>
      <c r="AEG78" s="21"/>
      <c r="AEH78" s="21"/>
      <c r="AEI78" s="21"/>
      <c r="AEJ78" s="21"/>
      <c r="AEK78" s="21"/>
      <c r="AEL78" s="21"/>
      <c r="AEM78" s="21"/>
      <c r="AEN78" s="21"/>
      <c r="AEO78" s="21"/>
      <c r="AEP78" s="21"/>
      <c r="AEQ78" s="21"/>
      <c r="AER78" s="21"/>
      <c r="AES78" s="21"/>
      <c r="AET78" s="21"/>
      <c r="AEU78" s="21"/>
      <c r="AEV78" s="21"/>
      <c r="AEW78" s="21"/>
      <c r="AEX78" s="21"/>
      <c r="AEY78" s="21"/>
      <c r="AEZ78" s="21"/>
      <c r="AFA78" s="21"/>
      <c r="AFB78" s="21"/>
      <c r="AFC78" s="21"/>
      <c r="AFD78" s="21"/>
      <c r="AFE78" s="21"/>
      <c r="AFF78" s="21"/>
      <c r="AFG78" s="21"/>
      <c r="AFH78" s="21"/>
      <c r="AFI78" s="21"/>
      <c r="AFJ78" s="21"/>
      <c r="AFK78" s="21"/>
      <c r="AFL78" s="21"/>
      <c r="AFM78" s="21"/>
      <c r="AFN78" s="21"/>
      <c r="AFO78" s="21"/>
      <c r="AFP78" s="21"/>
      <c r="AFQ78" s="21"/>
      <c r="AFR78" s="21"/>
      <c r="AFS78" s="21"/>
      <c r="AFT78" s="21"/>
      <c r="AFU78" s="21"/>
      <c r="AFV78" s="21"/>
      <c r="AFW78" s="21"/>
      <c r="AFX78" s="21"/>
      <c r="AFY78" s="21"/>
      <c r="AFZ78" s="21"/>
      <c r="AGA78" s="21"/>
      <c r="AGB78" s="21"/>
      <c r="AGC78" s="21"/>
      <c r="AGD78" s="21"/>
      <c r="AGE78" s="21"/>
      <c r="AGF78" s="21"/>
      <c r="AGG78" s="21"/>
      <c r="AGH78" s="21"/>
      <c r="AGI78" s="21"/>
      <c r="AGJ78" s="21"/>
      <c r="AGK78" s="21"/>
      <c r="AGL78" s="21"/>
      <c r="AGM78" s="21"/>
      <c r="AGN78" s="21"/>
      <c r="AGO78" s="21"/>
      <c r="AGP78" s="21"/>
      <c r="AGQ78" s="21"/>
      <c r="AGR78" s="21"/>
      <c r="AGS78" s="21"/>
    </row>
    <row r="79" spans="1:877" ht="13">
      <c r="A79" s="12"/>
      <c r="B79" s="70" t="s">
        <v>46</v>
      </c>
      <c r="C79" s="71">
        <v>1000000</v>
      </c>
      <c r="D79" s="72">
        <v>46204</v>
      </c>
      <c r="E79" s="73">
        <v>9</v>
      </c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>
        <v>1000000</v>
      </c>
      <c r="T79" s="27">
        <v>1000000</v>
      </c>
      <c r="U79" s="27">
        <v>1000000</v>
      </c>
      <c r="V79" s="27">
        <v>1000000</v>
      </c>
      <c r="W79" s="27">
        <v>1000000</v>
      </c>
      <c r="X79" s="27">
        <v>1000000</v>
      </c>
      <c r="Y79" s="27">
        <v>1000000</v>
      </c>
      <c r="Z79" s="27">
        <v>1000000</v>
      </c>
      <c r="AA79" s="27">
        <v>1000000</v>
      </c>
      <c r="AB79" s="27">
        <v>1000000</v>
      </c>
      <c r="AC79" s="27">
        <v>1000000</v>
      </c>
      <c r="AD79" s="27">
        <v>1000000</v>
      </c>
      <c r="AE79" s="27">
        <v>1000000</v>
      </c>
      <c r="AF79" s="27">
        <v>1000000</v>
      </c>
      <c r="AG79" s="27">
        <v>1000000</v>
      </c>
      <c r="AH79" s="27">
        <v>1000000</v>
      </c>
      <c r="AI79" s="27">
        <v>1000000</v>
      </c>
      <c r="AJ79" s="27">
        <v>1000000</v>
      </c>
      <c r="AK79" s="27">
        <v>1000000</v>
      </c>
      <c r="AL79" s="27">
        <v>1000000</v>
      </c>
      <c r="AM79" s="27">
        <v>1000000</v>
      </c>
      <c r="AN79" s="27">
        <v>1000000</v>
      </c>
      <c r="AO79" s="27">
        <v>1000000</v>
      </c>
      <c r="AP79" s="27">
        <v>1000000</v>
      </c>
      <c r="AQ79" s="27">
        <v>1000000</v>
      </c>
      <c r="AR79" s="27">
        <v>1000000</v>
      </c>
      <c r="AS79" s="27">
        <v>1000000</v>
      </c>
      <c r="AT79" s="27">
        <v>1000000</v>
      </c>
      <c r="AU79" s="27">
        <v>1000000</v>
      </c>
      <c r="AV79" s="27">
        <v>1000000</v>
      </c>
      <c r="AW79" s="27">
        <v>1000000</v>
      </c>
      <c r="AX79" s="27">
        <v>1000000</v>
      </c>
      <c r="AY79" s="27">
        <v>1000000</v>
      </c>
      <c r="AZ79" s="27">
        <v>1000000</v>
      </c>
      <c r="BA79" s="27">
        <v>1000000</v>
      </c>
      <c r="BB79" s="27">
        <v>1000000</v>
      </c>
      <c r="BC79" s="27">
        <v>1000000</v>
      </c>
      <c r="BD79" s="27">
        <v>1000000</v>
      </c>
      <c r="BE79" s="27">
        <v>1000000</v>
      </c>
      <c r="BF79" s="27">
        <v>1000000</v>
      </c>
      <c r="BG79" s="27">
        <v>1000000</v>
      </c>
      <c r="BH79" s="27">
        <v>1000000</v>
      </c>
      <c r="BI79" s="27">
        <v>1000000</v>
      </c>
      <c r="BJ79" s="27">
        <v>1000000</v>
      </c>
      <c r="BK79" s="27">
        <v>1000000</v>
      </c>
      <c r="BL79" s="27">
        <v>1000000</v>
      </c>
      <c r="BM79" s="27">
        <v>1000000</v>
      </c>
      <c r="BN79" s="27">
        <v>1000000</v>
      </c>
      <c r="BO79" s="27">
        <v>1000000</v>
      </c>
      <c r="BP79" s="27">
        <v>1000000</v>
      </c>
      <c r="BQ79" s="27">
        <v>1000000</v>
      </c>
      <c r="BR79" s="27">
        <v>1000000</v>
      </c>
      <c r="BS79" s="27">
        <v>1000000</v>
      </c>
      <c r="BT79" s="27">
        <v>1000000</v>
      </c>
      <c r="BU79" s="27">
        <v>1000000</v>
      </c>
      <c r="BV79" s="27">
        <v>1000000</v>
      </c>
      <c r="BW79" s="27">
        <v>1000000</v>
      </c>
      <c r="BX79" s="27">
        <v>1000000</v>
      </c>
      <c r="BY79" s="27">
        <v>1000000</v>
      </c>
      <c r="BZ79" s="27">
        <v>1000000</v>
      </c>
      <c r="CA79" s="27">
        <v>1000000</v>
      </c>
      <c r="CB79" s="27">
        <v>1000000</v>
      </c>
      <c r="CC79" s="27">
        <v>1000000</v>
      </c>
      <c r="CD79" s="27">
        <v>1000000</v>
      </c>
      <c r="CE79" s="27">
        <v>1000000</v>
      </c>
      <c r="CF79" s="27">
        <v>1000000</v>
      </c>
      <c r="CG79" s="27">
        <v>1000000</v>
      </c>
      <c r="CH79" s="27">
        <v>1000000</v>
      </c>
      <c r="CI79" s="27">
        <v>1000000</v>
      </c>
      <c r="CJ79" s="27">
        <v>1000000</v>
      </c>
      <c r="CK79" s="27">
        <v>1000000</v>
      </c>
      <c r="CL79" s="27">
        <v>1000000</v>
      </c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1"/>
      <c r="JV79" s="21"/>
      <c r="JW79" s="21"/>
      <c r="JX79" s="21"/>
      <c r="JY79" s="21"/>
      <c r="JZ79" s="21"/>
      <c r="KA79" s="21"/>
      <c r="KB79" s="21"/>
      <c r="KC79" s="21"/>
      <c r="KD79" s="21"/>
      <c r="KE79" s="21"/>
      <c r="KF79" s="21"/>
      <c r="KG79" s="21"/>
      <c r="KH79" s="21"/>
      <c r="KI79" s="21"/>
      <c r="KJ79" s="21"/>
      <c r="KK79" s="21"/>
      <c r="KL79" s="21"/>
      <c r="KM79" s="21"/>
      <c r="KN79" s="21"/>
      <c r="KO79" s="21"/>
      <c r="KP79" s="21"/>
      <c r="KQ79" s="21"/>
      <c r="KR79" s="21"/>
      <c r="KS79" s="21"/>
      <c r="KT79" s="21"/>
      <c r="KU79" s="21"/>
      <c r="KV79" s="21"/>
      <c r="KW79" s="21"/>
      <c r="KX79" s="21"/>
      <c r="KY79" s="21"/>
      <c r="KZ79" s="21"/>
      <c r="LA79" s="21"/>
      <c r="LB79" s="21"/>
      <c r="LC79" s="21"/>
      <c r="LD79" s="21"/>
      <c r="LE79" s="21"/>
      <c r="LF79" s="21"/>
      <c r="LG79" s="21"/>
      <c r="LH79" s="21"/>
      <c r="LI79" s="21"/>
      <c r="LJ79" s="21"/>
      <c r="LK79" s="21"/>
      <c r="LL79" s="21"/>
      <c r="LM79" s="21"/>
      <c r="LN79" s="21"/>
      <c r="LO79" s="21"/>
      <c r="LP79" s="21"/>
      <c r="LQ79" s="21"/>
      <c r="LR79" s="21"/>
      <c r="LS79" s="21"/>
      <c r="LT79" s="21"/>
      <c r="LU79" s="21"/>
      <c r="LV79" s="21"/>
      <c r="LW79" s="21"/>
      <c r="LX79" s="21"/>
      <c r="LY79" s="21"/>
      <c r="LZ79" s="21"/>
      <c r="MA79" s="21"/>
      <c r="MB79" s="21"/>
      <c r="MC79" s="21"/>
      <c r="MD79" s="21"/>
      <c r="ME79" s="21"/>
      <c r="MF79" s="21"/>
      <c r="MG79" s="21"/>
      <c r="MH79" s="21"/>
      <c r="MI79" s="21"/>
      <c r="MJ79" s="21"/>
      <c r="MK79" s="21"/>
      <c r="ML79" s="21"/>
      <c r="MM79" s="21"/>
      <c r="MN79" s="21"/>
      <c r="MO79" s="21"/>
      <c r="MP79" s="21"/>
      <c r="MQ79" s="21"/>
      <c r="MR79" s="21"/>
      <c r="MS79" s="21"/>
      <c r="MT79" s="21"/>
      <c r="MU79" s="21"/>
      <c r="MV79" s="21"/>
      <c r="MW79" s="21"/>
      <c r="MX79" s="21"/>
      <c r="MY79" s="21"/>
      <c r="MZ79" s="21"/>
      <c r="NA79" s="21"/>
      <c r="NB79" s="21"/>
      <c r="NC79" s="21"/>
      <c r="ND79" s="21"/>
      <c r="NE79" s="21"/>
      <c r="NF79" s="21"/>
      <c r="NG79" s="21"/>
      <c r="NH79" s="21"/>
      <c r="NI79" s="21"/>
      <c r="NJ79" s="21"/>
      <c r="NK79" s="21"/>
      <c r="NL79" s="21"/>
      <c r="NM79" s="21"/>
      <c r="NN79" s="21"/>
      <c r="NO79" s="21"/>
      <c r="NP79" s="21"/>
      <c r="NQ79" s="21"/>
      <c r="NR79" s="21"/>
      <c r="NS79" s="21"/>
      <c r="NT79" s="21"/>
      <c r="NU79" s="21"/>
      <c r="NV79" s="21"/>
      <c r="NW79" s="21"/>
      <c r="NX79" s="21"/>
      <c r="NY79" s="21"/>
      <c r="NZ79" s="21"/>
      <c r="OA79" s="21"/>
      <c r="OB79" s="21"/>
      <c r="OC79" s="21"/>
      <c r="OD79" s="21"/>
      <c r="OE79" s="21"/>
      <c r="OF79" s="21"/>
      <c r="OG79" s="21"/>
      <c r="OH79" s="21"/>
      <c r="OI79" s="21"/>
      <c r="OJ79" s="21"/>
      <c r="OK79" s="21"/>
      <c r="OL79" s="21"/>
      <c r="OM79" s="21"/>
      <c r="ON79" s="21"/>
      <c r="OO79" s="21"/>
      <c r="OP79" s="21"/>
      <c r="OQ79" s="21"/>
      <c r="OR79" s="21"/>
      <c r="OS79" s="21"/>
      <c r="OT79" s="21"/>
      <c r="OU79" s="21"/>
      <c r="OV79" s="21"/>
      <c r="OW79" s="21"/>
      <c r="OX79" s="21"/>
      <c r="OY79" s="21"/>
      <c r="OZ79" s="21"/>
      <c r="PA79" s="21"/>
      <c r="PB79" s="21"/>
      <c r="PC79" s="21"/>
      <c r="PD79" s="21"/>
      <c r="PE79" s="21"/>
      <c r="PF79" s="21"/>
      <c r="PG79" s="21"/>
      <c r="PH79" s="21"/>
      <c r="PI79" s="21"/>
      <c r="PJ79" s="21"/>
      <c r="PK79" s="21"/>
      <c r="PL79" s="21"/>
      <c r="PM79" s="21"/>
      <c r="PN79" s="21"/>
      <c r="PO79" s="21"/>
      <c r="PP79" s="21"/>
      <c r="PQ79" s="21"/>
      <c r="PR79" s="21"/>
      <c r="PS79" s="21"/>
      <c r="PT79" s="21"/>
      <c r="PU79" s="21"/>
      <c r="PV79" s="21"/>
      <c r="PW79" s="21"/>
      <c r="PX79" s="21"/>
      <c r="PY79" s="21"/>
      <c r="PZ79" s="21"/>
      <c r="QA79" s="21"/>
      <c r="QB79" s="21"/>
      <c r="QC79" s="21"/>
      <c r="QD79" s="21"/>
      <c r="QE79" s="21"/>
      <c r="QF79" s="21"/>
      <c r="QG79" s="21"/>
      <c r="QH79" s="21"/>
      <c r="QI79" s="21"/>
      <c r="QJ79" s="21"/>
      <c r="QK79" s="21"/>
      <c r="QL79" s="21"/>
      <c r="QM79" s="21"/>
      <c r="QN79" s="21"/>
      <c r="QO79" s="21"/>
      <c r="QP79" s="21"/>
      <c r="QQ79" s="21"/>
      <c r="QR79" s="21"/>
      <c r="QS79" s="21"/>
      <c r="QT79" s="21"/>
      <c r="QU79" s="21"/>
      <c r="QV79" s="21"/>
      <c r="QW79" s="21"/>
      <c r="QX79" s="21"/>
      <c r="QY79" s="21"/>
      <c r="QZ79" s="21"/>
      <c r="RA79" s="21"/>
      <c r="RB79" s="21"/>
      <c r="RC79" s="21"/>
      <c r="RD79" s="21"/>
      <c r="RE79" s="21"/>
      <c r="RF79" s="21"/>
      <c r="RG79" s="21"/>
      <c r="RH79" s="21"/>
      <c r="RI79" s="21"/>
      <c r="RJ79" s="21"/>
      <c r="RK79" s="21"/>
      <c r="RL79" s="21"/>
      <c r="RM79" s="21"/>
      <c r="RN79" s="21"/>
      <c r="RO79" s="21"/>
      <c r="RP79" s="21"/>
      <c r="RQ79" s="21"/>
      <c r="RR79" s="21"/>
      <c r="RS79" s="21"/>
      <c r="RT79" s="21"/>
      <c r="RU79" s="21"/>
      <c r="RV79" s="21"/>
      <c r="RW79" s="21"/>
      <c r="RX79" s="21"/>
      <c r="RY79" s="21"/>
      <c r="RZ79" s="21"/>
      <c r="SA79" s="21"/>
      <c r="SB79" s="21"/>
      <c r="SC79" s="21"/>
      <c r="SD79" s="21"/>
      <c r="SE79" s="21"/>
      <c r="SF79" s="21"/>
      <c r="SG79" s="21"/>
      <c r="SH79" s="21"/>
      <c r="SI79" s="21"/>
      <c r="SJ79" s="21"/>
      <c r="SK79" s="21"/>
      <c r="SL79" s="21"/>
      <c r="SM79" s="21"/>
      <c r="SN79" s="21"/>
      <c r="SO79" s="21"/>
      <c r="SP79" s="21"/>
      <c r="SQ79" s="21"/>
      <c r="SR79" s="21"/>
      <c r="SS79" s="21"/>
      <c r="ST79" s="21"/>
      <c r="SU79" s="21"/>
      <c r="SV79" s="21"/>
      <c r="SW79" s="21"/>
      <c r="SX79" s="21"/>
      <c r="SY79" s="21"/>
      <c r="SZ79" s="21"/>
      <c r="TA79" s="21"/>
      <c r="TB79" s="21"/>
      <c r="TC79" s="21"/>
      <c r="TD79" s="21"/>
      <c r="TE79" s="21"/>
      <c r="TF79" s="21"/>
      <c r="TG79" s="21"/>
      <c r="TH79" s="21"/>
      <c r="TI79" s="21"/>
      <c r="TJ79" s="21"/>
      <c r="TK79" s="21"/>
      <c r="TL79" s="21"/>
      <c r="TM79" s="21"/>
      <c r="TN79" s="21"/>
      <c r="TO79" s="21"/>
      <c r="TP79" s="21"/>
      <c r="TQ79" s="21"/>
      <c r="TR79" s="21"/>
      <c r="TS79" s="21"/>
      <c r="TT79" s="21"/>
      <c r="TU79" s="21"/>
      <c r="TV79" s="21"/>
      <c r="TW79" s="21"/>
      <c r="TX79" s="21"/>
      <c r="TY79" s="21"/>
      <c r="TZ79" s="21"/>
      <c r="UA79" s="21"/>
      <c r="UB79" s="21"/>
      <c r="UC79" s="21"/>
      <c r="UD79" s="21"/>
      <c r="UE79" s="21"/>
      <c r="UF79" s="21"/>
      <c r="UG79" s="21"/>
      <c r="UH79" s="21"/>
      <c r="UI79" s="21"/>
      <c r="UJ79" s="21"/>
      <c r="UK79" s="21"/>
      <c r="UL79" s="21"/>
      <c r="UM79" s="21"/>
      <c r="UN79" s="21"/>
      <c r="UO79" s="21"/>
      <c r="UP79" s="21"/>
      <c r="UQ79" s="21"/>
      <c r="UR79" s="21"/>
      <c r="US79" s="21"/>
      <c r="UT79" s="21"/>
      <c r="UU79" s="21"/>
      <c r="UV79" s="21"/>
      <c r="UW79" s="21"/>
      <c r="UX79" s="21"/>
      <c r="UY79" s="21"/>
      <c r="UZ79" s="21"/>
      <c r="VA79" s="21"/>
      <c r="VB79" s="21"/>
      <c r="VC79" s="21"/>
      <c r="VD79" s="21"/>
      <c r="VE79" s="21"/>
      <c r="VF79" s="21"/>
      <c r="VG79" s="21"/>
      <c r="VH79" s="21"/>
      <c r="VI79" s="21"/>
      <c r="VJ79" s="21"/>
      <c r="VK79" s="21"/>
      <c r="VL79" s="21"/>
      <c r="VM79" s="21"/>
      <c r="VN79" s="21"/>
      <c r="VO79" s="21"/>
      <c r="VP79" s="21"/>
      <c r="VQ79" s="21"/>
      <c r="VR79" s="21"/>
      <c r="VS79" s="21"/>
      <c r="VT79" s="21"/>
      <c r="VU79" s="21"/>
      <c r="VV79" s="21"/>
      <c r="VW79" s="21"/>
      <c r="VX79" s="21"/>
      <c r="VY79" s="21"/>
      <c r="VZ79" s="21"/>
      <c r="WA79" s="21"/>
      <c r="WB79" s="21"/>
      <c r="WC79" s="21"/>
      <c r="WD79" s="21"/>
      <c r="WE79" s="21"/>
      <c r="WF79" s="21"/>
      <c r="WG79" s="21"/>
      <c r="WH79" s="21"/>
      <c r="WI79" s="21"/>
      <c r="WJ79" s="21"/>
      <c r="WK79" s="21"/>
      <c r="WL79" s="21"/>
      <c r="WM79" s="21"/>
      <c r="WN79" s="21"/>
      <c r="WO79" s="21"/>
      <c r="WP79" s="21"/>
      <c r="WQ79" s="21"/>
      <c r="WR79" s="21"/>
      <c r="WS79" s="21"/>
      <c r="WT79" s="21"/>
      <c r="WU79" s="21"/>
      <c r="WV79" s="21"/>
      <c r="WW79" s="21"/>
      <c r="WX79" s="21"/>
      <c r="WY79" s="21"/>
      <c r="WZ79" s="21"/>
      <c r="XA79" s="21"/>
      <c r="XB79" s="21"/>
      <c r="XC79" s="21"/>
      <c r="XD79" s="21"/>
      <c r="XE79" s="21"/>
      <c r="XF79" s="21"/>
      <c r="XG79" s="21"/>
      <c r="XH79" s="21"/>
      <c r="XI79" s="21"/>
      <c r="XJ79" s="21"/>
      <c r="XK79" s="21"/>
      <c r="XL79" s="21"/>
      <c r="XM79" s="21"/>
      <c r="XN79" s="21"/>
      <c r="XO79" s="21"/>
      <c r="XP79" s="21"/>
      <c r="XQ79" s="21"/>
      <c r="XR79" s="21"/>
      <c r="XS79" s="21"/>
      <c r="XT79" s="21"/>
      <c r="XU79" s="21"/>
      <c r="XV79" s="21"/>
      <c r="XW79" s="21"/>
      <c r="XX79" s="21"/>
      <c r="XY79" s="21"/>
      <c r="XZ79" s="21"/>
      <c r="YA79" s="21"/>
      <c r="YB79" s="21"/>
      <c r="YC79" s="21"/>
      <c r="YD79" s="21"/>
      <c r="YE79" s="21"/>
      <c r="YF79" s="21"/>
      <c r="YG79" s="21"/>
      <c r="YH79" s="21"/>
      <c r="YI79" s="21"/>
      <c r="YJ79" s="21"/>
      <c r="YK79" s="21"/>
      <c r="YL79" s="21"/>
      <c r="YM79" s="21"/>
      <c r="YN79" s="21"/>
      <c r="YO79" s="21"/>
      <c r="YP79" s="21"/>
      <c r="YQ79" s="21"/>
      <c r="YR79" s="21"/>
      <c r="YS79" s="21"/>
      <c r="YT79" s="21"/>
      <c r="YU79" s="21"/>
      <c r="YV79" s="21"/>
      <c r="YW79" s="21"/>
      <c r="YX79" s="21"/>
      <c r="YY79" s="21"/>
      <c r="YZ79" s="21"/>
      <c r="ZA79" s="21"/>
      <c r="ZB79" s="21"/>
      <c r="ZC79" s="21"/>
      <c r="ZD79" s="21"/>
      <c r="ZE79" s="21"/>
      <c r="ZF79" s="21"/>
      <c r="ZG79" s="21"/>
      <c r="ZH79" s="21"/>
      <c r="ZI79" s="21"/>
      <c r="ZJ79" s="21"/>
      <c r="ZK79" s="21"/>
      <c r="ZL79" s="21"/>
      <c r="ZM79" s="21"/>
      <c r="ZN79" s="21"/>
      <c r="ZO79" s="21"/>
      <c r="ZP79" s="21"/>
      <c r="ZQ79" s="21"/>
      <c r="ZR79" s="21"/>
      <c r="ZS79" s="21"/>
      <c r="ZT79" s="21"/>
      <c r="ZU79" s="21"/>
      <c r="ZV79" s="21"/>
      <c r="ZW79" s="21"/>
      <c r="ZX79" s="21"/>
      <c r="ZY79" s="21"/>
      <c r="ZZ79" s="21"/>
      <c r="AAA79" s="21"/>
      <c r="AAB79" s="21"/>
      <c r="AAC79" s="21"/>
      <c r="AAD79" s="21"/>
      <c r="AAE79" s="21"/>
      <c r="AAF79" s="21"/>
      <c r="AAG79" s="21"/>
      <c r="AAH79" s="21"/>
      <c r="AAI79" s="21"/>
      <c r="AAJ79" s="21"/>
      <c r="AAK79" s="21"/>
      <c r="AAL79" s="21"/>
      <c r="AAM79" s="21"/>
      <c r="AAN79" s="21"/>
      <c r="AAO79" s="21"/>
      <c r="AAP79" s="21"/>
      <c r="AAQ79" s="21"/>
      <c r="AAR79" s="21"/>
      <c r="AAS79" s="21"/>
      <c r="AAT79" s="21"/>
      <c r="AAU79" s="21"/>
      <c r="AAV79" s="21"/>
      <c r="AAW79" s="21"/>
      <c r="AAX79" s="21"/>
      <c r="AAY79" s="21"/>
      <c r="AAZ79" s="21"/>
      <c r="ABA79" s="21"/>
      <c r="ABB79" s="21"/>
      <c r="ABC79" s="21"/>
      <c r="ABD79" s="21"/>
      <c r="ABE79" s="21"/>
      <c r="ABF79" s="21"/>
      <c r="ABG79" s="21"/>
      <c r="ABH79" s="21"/>
      <c r="ABI79" s="21"/>
      <c r="ABJ79" s="21"/>
      <c r="ABK79" s="21"/>
      <c r="ABL79" s="21"/>
      <c r="ABM79" s="21"/>
      <c r="ABN79" s="21"/>
      <c r="ABO79" s="21"/>
      <c r="ABP79" s="21"/>
      <c r="ABQ79" s="21"/>
      <c r="ABR79" s="21"/>
      <c r="ABS79" s="21"/>
      <c r="ABT79" s="21"/>
      <c r="ABU79" s="21"/>
      <c r="ABV79" s="21"/>
      <c r="ABW79" s="21"/>
      <c r="ABX79" s="21"/>
      <c r="ABY79" s="21"/>
      <c r="ABZ79" s="21"/>
      <c r="ACA79" s="21"/>
      <c r="ACB79" s="21"/>
      <c r="ACC79" s="21"/>
      <c r="ACD79" s="21"/>
      <c r="ACE79" s="21"/>
      <c r="ACF79" s="21"/>
      <c r="ACG79" s="21"/>
      <c r="ACH79" s="21"/>
      <c r="ACI79" s="21"/>
      <c r="ACJ79" s="21"/>
      <c r="ACK79" s="21"/>
      <c r="ACL79" s="21"/>
      <c r="ACM79" s="21"/>
      <c r="ACN79" s="21"/>
      <c r="ACO79" s="21"/>
      <c r="ACP79" s="21"/>
      <c r="ACQ79" s="21"/>
      <c r="ACR79" s="21"/>
      <c r="ACS79" s="21"/>
      <c r="ACT79" s="21"/>
      <c r="ACU79" s="21"/>
      <c r="ACV79" s="21"/>
      <c r="ACW79" s="21"/>
      <c r="ACX79" s="21"/>
      <c r="ACY79" s="21"/>
      <c r="ACZ79" s="21"/>
      <c r="ADA79" s="21"/>
      <c r="ADB79" s="21"/>
      <c r="ADC79" s="21"/>
      <c r="ADD79" s="21"/>
      <c r="ADE79" s="21"/>
      <c r="ADF79" s="21"/>
      <c r="ADG79" s="21"/>
      <c r="ADH79" s="21"/>
      <c r="ADI79" s="21"/>
      <c r="ADJ79" s="21"/>
      <c r="ADK79" s="21"/>
      <c r="ADL79" s="21"/>
      <c r="ADM79" s="21"/>
      <c r="ADN79" s="21"/>
      <c r="ADO79" s="21"/>
      <c r="ADP79" s="21"/>
      <c r="ADQ79" s="21"/>
      <c r="ADR79" s="21"/>
      <c r="ADS79" s="21"/>
      <c r="ADT79" s="21"/>
      <c r="ADU79" s="21"/>
      <c r="ADV79" s="21"/>
      <c r="ADW79" s="21"/>
      <c r="ADX79" s="21"/>
      <c r="ADY79" s="21"/>
      <c r="ADZ79" s="21"/>
      <c r="AEA79" s="21"/>
      <c r="AEB79" s="21"/>
      <c r="AEC79" s="21"/>
      <c r="AED79" s="21"/>
      <c r="AEE79" s="21"/>
      <c r="AEF79" s="21"/>
      <c r="AEG79" s="21"/>
      <c r="AEH79" s="21"/>
      <c r="AEI79" s="21"/>
      <c r="AEJ79" s="21"/>
      <c r="AEK79" s="21"/>
      <c r="AEL79" s="21"/>
      <c r="AEM79" s="21"/>
      <c r="AEN79" s="21"/>
      <c r="AEO79" s="21"/>
      <c r="AEP79" s="21"/>
      <c r="AEQ79" s="21"/>
      <c r="AER79" s="21"/>
      <c r="AES79" s="21"/>
      <c r="AET79" s="21"/>
      <c r="AEU79" s="21"/>
      <c r="AEV79" s="21"/>
      <c r="AEW79" s="21"/>
      <c r="AEX79" s="21"/>
      <c r="AEY79" s="21"/>
      <c r="AEZ79" s="21"/>
      <c r="AFA79" s="21"/>
      <c r="AFB79" s="21"/>
      <c r="AFC79" s="21"/>
      <c r="AFD79" s="21"/>
      <c r="AFE79" s="21"/>
      <c r="AFF79" s="21"/>
      <c r="AFG79" s="21"/>
      <c r="AFH79" s="21"/>
      <c r="AFI79" s="21"/>
      <c r="AFJ79" s="21"/>
      <c r="AFK79" s="21"/>
      <c r="AFL79" s="21"/>
      <c r="AFM79" s="21"/>
      <c r="AFN79" s="21"/>
      <c r="AFO79" s="21"/>
      <c r="AFP79" s="21"/>
      <c r="AFQ79" s="21"/>
      <c r="AFR79" s="21"/>
      <c r="AFS79" s="21"/>
      <c r="AFT79" s="21"/>
      <c r="AFU79" s="21"/>
      <c r="AFV79" s="21"/>
      <c r="AFW79" s="21"/>
      <c r="AFX79" s="21"/>
      <c r="AFY79" s="21"/>
      <c r="AFZ79" s="21"/>
      <c r="AGA79" s="21"/>
      <c r="AGB79" s="21"/>
      <c r="AGC79" s="21"/>
      <c r="AGD79" s="21"/>
      <c r="AGE79" s="21"/>
      <c r="AGF79" s="21"/>
      <c r="AGG79" s="21"/>
      <c r="AGH79" s="21"/>
      <c r="AGI79" s="21"/>
      <c r="AGJ79" s="21"/>
      <c r="AGK79" s="21"/>
      <c r="AGL79" s="21"/>
      <c r="AGM79" s="21"/>
      <c r="AGN79" s="21"/>
      <c r="AGO79" s="21"/>
      <c r="AGP79" s="21"/>
      <c r="AGQ79" s="21"/>
      <c r="AGR79" s="21"/>
      <c r="AGS79" s="21"/>
    </row>
    <row r="80" spans="1:877" ht="13">
      <c r="A80" s="12"/>
      <c r="B80" s="70" t="s">
        <v>47</v>
      </c>
      <c r="C80" s="71">
        <v>1500000</v>
      </c>
      <c r="D80" s="72">
        <v>46569</v>
      </c>
      <c r="E80" s="73">
        <v>9</v>
      </c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>
        <v>1500000</v>
      </c>
      <c r="AF80" s="27">
        <v>1500000</v>
      </c>
      <c r="AG80" s="27">
        <v>1500000</v>
      </c>
      <c r="AH80" s="27">
        <v>1500000</v>
      </c>
      <c r="AI80" s="27">
        <v>1500000</v>
      </c>
      <c r="AJ80" s="27">
        <v>1500000</v>
      </c>
      <c r="AK80" s="27">
        <v>1500000</v>
      </c>
      <c r="AL80" s="27">
        <v>1500000</v>
      </c>
      <c r="AM80" s="27">
        <v>1500000</v>
      </c>
      <c r="AN80" s="27">
        <v>1500000</v>
      </c>
      <c r="AO80" s="27">
        <v>1500000</v>
      </c>
      <c r="AP80" s="27">
        <v>1500000</v>
      </c>
      <c r="AQ80" s="27">
        <v>1500000</v>
      </c>
      <c r="AR80" s="27">
        <v>1500000</v>
      </c>
      <c r="AS80" s="27">
        <v>1500000</v>
      </c>
      <c r="AT80" s="27">
        <v>1500000</v>
      </c>
      <c r="AU80" s="27">
        <v>1500000</v>
      </c>
      <c r="AV80" s="27">
        <v>1500000</v>
      </c>
      <c r="AW80" s="27">
        <v>1500000</v>
      </c>
      <c r="AX80" s="27">
        <v>1500000</v>
      </c>
      <c r="AY80" s="27">
        <v>1500000</v>
      </c>
      <c r="AZ80" s="27">
        <v>1500000</v>
      </c>
      <c r="BA80" s="27">
        <v>1500000</v>
      </c>
      <c r="BB80" s="27">
        <v>1500000</v>
      </c>
      <c r="BC80" s="27">
        <v>1500000</v>
      </c>
      <c r="BD80" s="27">
        <v>1500000</v>
      </c>
      <c r="BE80" s="27">
        <v>1500000</v>
      </c>
      <c r="BF80" s="27">
        <v>1500000</v>
      </c>
      <c r="BG80" s="27">
        <v>1500000</v>
      </c>
      <c r="BH80" s="27">
        <v>1500000</v>
      </c>
      <c r="BI80" s="27">
        <v>1500000</v>
      </c>
      <c r="BJ80" s="27">
        <v>1500000</v>
      </c>
      <c r="BK80" s="27">
        <v>1500000</v>
      </c>
      <c r="BL80" s="27">
        <v>1500000</v>
      </c>
      <c r="BM80" s="27">
        <v>1500000</v>
      </c>
      <c r="BN80" s="27">
        <v>1500000</v>
      </c>
      <c r="BO80" s="27">
        <v>1500000</v>
      </c>
      <c r="BP80" s="27">
        <v>1500000</v>
      </c>
      <c r="BQ80" s="27">
        <v>1500000</v>
      </c>
      <c r="BR80" s="27">
        <v>1500000</v>
      </c>
      <c r="BS80" s="27">
        <v>1500000</v>
      </c>
      <c r="BT80" s="27">
        <v>1500000</v>
      </c>
      <c r="BU80" s="27">
        <v>1500000</v>
      </c>
      <c r="BV80" s="27">
        <v>1500000</v>
      </c>
      <c r="BW80" s="27">
        <v>1500000</v>
      </c>
      <c r="BX80" s="27">
        <v>1500000</v>
      </c>
      <c r="BY80" s="27">
        <v>1500000</v>
      </c>
      <c r="BZ80" s="27">
        <v>1500000</v>
      </c>
      <c r="CA80" s="27">
        <v>1500000</v>
      </c>
      <c r="CB80" s="27">
        <v>1500000</v>
      </c>
      <c r="CC80" s="27">
        <v>1500000</v>
      </c>
      <c r="CD80" s="27">
        <v>1500000</v>
      </c>
      <c r="CE80" s="27">
        <v>1500000</v>
      </c>
      <c r="CF80" s="27">
        <v>1500000</v>
      </c>
      <c r="CG80" s="27">
        <v>1500000</v>
      </c>
      <c r="CH80" s="27">
        <v>1500000</v>
      </c>
      <c r="CI80" s="27">
        <v>1500000</v>
      </c>
      <c r="CJ80" s="27">
        <v>1500000</v>
      </c>
      <c r="CK80" s="27">
        <v>1500000</v>
      </c>
      <c r="CL80" s="27">
        <v>1500000</v>
      </c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1"/>
      <c r="JV80" s="21"/>
      <c r="JW80" s="21"/>
      <c r="JX80" s="21"/>
      <c r="JY80" s="21"/>
      <c r="JZ80" s="21"/>
      <c r="KA80" s="21"/>
      <c r="KB80" s="21"/>
      <c r="KC80" s="21"/>
      <c r="KD80" s="21"/>
      <c r="KE80" s="21"/>
      <c r="KF80" s="21"/>
      <c r="KG80" s="21"/>
      <c r="KH80" s="21"/>
      <c r="KI80" s="21"/>
      <c r="KJ80" s="21"/>
      <c r="KK80" s="21"/>
      <c r="KL80" s="21"/>
      <c r="KM80" s="21"/>
      <c r="KN80" s="21"/>
      <c r="KO80" s="21"/>
      <c r="KP80" s="21"/>
      <c r="KQ80" s="21"/>
      <c r="KR80" s="21"/>
      <c r="KS80" s="21"/>
      <c r="KT80" s="21"/>
      <c r="KU80" s="21"/>
      <c r="KV80" s="21"/>
      <c r="KW80" s="21"/>
      <c r="KX80" s="21"/>
      <c r="KY80" s="21"/>
      <c r="KZ80" s="21"/>
      <c r="LA80" s="21"/>
      <c r="LB80" s="21"/>
      <c r="LC80" s="21"/>
      <c r="LD80" s="21"/>
      <c r="LE80" s="21"/>
      <c r="LF80" s="21"/>
      <c r="LG80" s="21"/>
      <c r="LH80" s="21"/>
      <c r="LI80" s="21"/>
      <c r="LJ80" s="21"/>
      <c r="LK80" s="21"/>
      <c r="LL80" s="21"/>
      <c r="LM80" s="21"/>
      <c r="LN80" s="21"/>
      <c r="LO80" s="21"/>
      <c r="LP80" s="21"/>
      <c r="LQ80" s="21"/>
      <c r="LR80" s="21"/>
      <c r="LS80" s="21"/>
      <c r="LT80" s="21"/>
      <c r="LU80" s="21"/>
      <c r="LV80" s="21"/>
      <c r="LW80" s="21"/>
      <c r="LX80" s="21"/>
      <c r="LY80" s="21"/>
      <c r="LZ80" s="21"/>
      <c r="MA80" s="21"/>
      <c r="MB80" s="21"/>
      <c r="MC80" s="21"/>
      <c r="MD80" s="21"/>
      <c r="ME80" s="21"/>
      <c r="MF80" s="21"/>
      <c r="MG80" s="21"/>
      <c r="MH80" s="21"/>
      <c r="MI80" s="21"/>
      <c r="MJ80" s="21"/>
      <c r="MK80" s="21"/>
      <c r="ML80" s="21"/>
      <c r="MM80" s="21"/>
      <c r="MN80" s="21"/>
      <c r="MO80" s="21"/>
      <c r="MP80" s="21"/>
      <c r="MQ80" s="21"/>
      <c r="MR80" s="21"/>
      <c r="MS80" s="21"/>
      <c r="MT80" s="21"/>
      <c r="MU80" s="21"/>
      <c r="MV80" s="21"/>
      <c r="MW80" s="21"/>
      <c r="MX80" s="21"/>
      <c r="MY80" s="21"/>
      <c r="MZ80" s="21"/>
      <c r="NA80" s="21"/>
      <c r="NB80" s="21"/>
      <c r="NC80" s="21"/>
      <c r="ND80" s="21"/>
      <c r="NE80" s="21"/>
      <c r="NF80" s="21"/>
      <c r="NG80" s="21"/>
      <c r="NH80" s="21"/>
      <c r="NI80" s="21"/>
      <c r="NJ80" s="21"/>
      <c r="NK80" s="21"/>
      <c r="NL80" s="21"/>
      <c r="NM80" s="21"/>
      <c r="NN80" s="21"/>
      <c r="NO80" s="21"/>
      <c r="NP80" s="21"/>
      <c r="NQ80" s="21"/>
      <c r="NR80" s="21"/>
      <c r="NS80" s="21"/>
      <c r="NT80" s="21"/>
      <c r="NU80" s="21"/>
      <c r="NV80" s="21"/>
      <c r="NW80" s="21"/>
      <c r="NX80" s="21"/>
      <c r="NY80" s="21"/>
      <c r="NZ80" s="21"/>
      <c r="OA80" s="21"/>
      <c r="OB80" s="21"/>
      <c r="OC80" s="21"/>
      <c r="OD80" s="21"/>
      <c r="OE80" s="21"/>
      <c r="OF80" s="21"/>
      <c r="OG80" s="21"/>
      <c r="OH80" s="21"/>
      <c r="OI80" s="21"/>
      <c r="OJ80" s="21"/>
      <c r="OK80" s="21"/>
      <c r="OL80" s="21"/>
      <c r="OM80" s="21"/>
      <c r="ON80" s="21"/>
      <c r="OO80" s="21"/>
      <c r="OP80" s="21"/>
      <c r="OQ80" s="21"/>
      <c r="OR80" s="21"/>
      <c r="OS80" s="21"/>
      <c r="OT80" s="21"/>
      <c r="OU80" s="21"/>
      <c r="OV80" s="21"/>
      <c r="OW80" s="21"/>
      <c r="OX80" s="21"/>
      <c r="OY80" s="21"/>
      <c r="OZ80" s="21"/>
      <c r="PA80" s="21"/>
      <c r="PB80" s="21"/>
      <c r="PC80" s="21"/>
      <c r="PD80" s="21"/>
      <c r="PE80" s="21"/>
      <c r="PF80" s="21"/>
      <c r="PG80" s="21"/>
      <c r="PH80" s="21"/>
      <c r="PI80" s="21"/>
      <c r="PJ80" s="21"/>
      <c r="PK80" s="21"/>
      <c r="PL80" s="21"/>
      <c r="PM80" s="21"/>
      <c r="PN80" s="21"/>
      <c r="PO80" s="21"/>
      <c r="PP80" s="21"/>
      <c r="PQ80" s="21"/>
      <c r="PR80" s="21"/>
      <c r="PS80" s="21"/>
      <c r="PT80" s="21"/>
      <c r="PU80" s="21"/>
      <c r="PV80" s="21"/>
      <c r="PW80" s="21"/>
      <c r="PX80" s="21"/>
      <c r="PY80" s="21"/>
      <c r="PZ80" s="21"/>
      <c r="QA80" s="21"/>
      <c r="QB80" s="21"/>
      <c r="QC80" s="21"/>
      <c r="QD80" s="21"/>
      <c r="QE80" s="21"/>
      <c r="QF80" s="21"/>
      <c r="QG80" s="21"/>
      <c r="QH80" s="21"/>
      <c r="QI80" s="21"/>
      <c r="QJ80" s="21"/>
      <c r="QK80" s="21"/>
      <c r="QL80" s="21"/>
      <c r="QM80" s="21"/>
      <c r="QN80" s="21"/>
      <c r="QO80" s="21"/>
      <c r="QP80" s="21"/>
      <c r="QQ80" s="21"/>
      <c r="QR80" s="21"/>
      <c r="QS80" s="21"/>
      <c r="QT80" s="21"/>
      <c r="QU80" s="21"/>
      <c r="QV80" s="21"/>
      <c r="QW80" s="21"/>
      <c r="QX80" s="21"/>
      <c r="QY80" s="21"/>
      <c r="QZ80" s="21"/>
      <c r="RA80" s="21"/>
      <c r="RB80" s="21"/>
      <c r="RC80" s="21"/>
      <c r="RD80" s="21"/>
      <c r="RE80" s="21"/>
      <c r="RF80" s="21"/>
      <c r="RG80" s="21"/>
      <c r="RH80" s="21"/>
      <c r="RI80" s="21"/>
      <c r="RJ80" s="21"/>
      <c r="RK80" s="21"/>
      <c r="RL80" s="21"/>
      <c r="RM80" s="21"/>
      <c r="RN80" s="21"/>
      <c r="RO80" s="21"/>
      <c r="RP80" s="21"/>
      <c r="RQ80" s="21"/>
      <c r="RR80" s="21"/>
      <c r="RS80" s="21"/>
      <c r="RT80" s="21"/>
      <c r="RU80" s="21"/>
      <c r="RV80" s="21"/>
      <c r="RW80" s="21"/>
      <c r="RX80" s="21"/>
      <c r="RY80" s="21"/>
      <c r="RZ80" s="21"/>
      <c r="SA80" s="21"/>
      <c r="SB80" s="21"/>
      <c r="SC80" s="21"/>
      <c r="SD80" s="21"/>
      <c r="SE80" s="21"/>
      <c r="SF80" s="21"/>
      <c r="SG80" s="21"/>
      <c r="SH80" s="21"/>
      <c r="SI80" s="21"/>
      <c r="SJ80" s="21"/>
      <c r="SK80" s="21"/>
      <c r="SL80" s="21"/>
      <c r="SM80" s="21"/>
      <c r="SN80" s="21"/>
      <c r="SO80" s="21"/>
      <c r="SP80" s="21"/>
      <c r="SQ80" s="21"/>
      <c r="SR80" s="21"/>
      <c r="SS80" s="21"/>
      <c r="ST80" s="21"/>
      <c r="SU80" s="21"/>
      <c r="SV80" s="21"/>
      <c r="SW80" s="21"/>
      <c r="SX80" s="21"/>
      <c r="SY80" s="21"/>
      <c r="SZ80" s="21"/>
      <c r="TA80" s="21"/>
      <c r="TB80" s="21"/>
      <c r="TC80" s="21"/>
      <c r="TD80" s="21"/>
      <c r="TE80" s="21"/>
      <c r="TF80" s="21"/>
      <c r="TG80" s="21"/>
      <c r="TH80" s="21"/>
      <c r="TI80" s="21"/>
      <c r="TJ80" s="21"/>
      <c r="TK80" s="21"/>
      <c r="TL80" s="21"/>
      <c r="TM80" s="21"/>
      <c r="TN80" s="21"/>
      <c r="TO80" s="21"/>
      <c r="TP80" s="21"/>
      <c r="TQ80" s="21"/>
      <c r="TR80" s="21"/>
      <c r="TS80" s="21"/>
      <c r="TT80" s="21"/>
      <c r="TU80" s="21"/>
      <c r="TV80" s="21"/>
      <c r="TW80" s="21"/>
      <c r="TX80" s="21"/>
      <c r="TY80" s="21"/>
      <c r="TZ80" s="21"/>
      <c r="UA80" s="21"/>
      <c r="UB80" s="21"/>
      <c r="UC80" s="21"/>
      <c r="UD80" s="21"/>
      <c r="UE80" s="21"/>
      <c r="UF80" s="21"/>
      <c r="UG80" s="21"/>
      <c r="UH80" s="21"/>
      <c r="UI80" s="21"/>
      <c r="UJ80" s="21"/>
      <c r="UK80" s="21"/>
      <c r="UL80" s="21"/>
      <c r="UM80" s="21"/>
      <c r="UN80" s="21"/>
      <c r="UO80" s="21"/>
      <c r="UP80" s="21"/>
      <c r="UQ80" s="21"/>
      <c r="UR80" s="21"/>
      <c r="US80" s="21"/>
      <c r="UT80" s="21"/>
      <c r="UU80" s="21"/>
      <c r="UV80" s="21"/>
      <c r="UW80" s="21"/>
      <c r="UX80" s="21"/>
      <c r="UY80" s="21"/>
      <c r="UZ80" s="21"/>
      <c r="VA80" s="21"/>
      <c r="VB80" s="21"/>
      <c r="VC80" s="21"/>
      <c r="VD80" s="21"/>
      <c r="VE80" s="21"/>
      <c r="VF80" s="21"/>
      <c r="VG80" s="21"/>
      <c r="VH80" s="21"/>
      <c r="VI80" s="21"/>
      <c r="VJ80" s="21"/>
      <c r="VK80" s="21"/>
      <c r="VL80" s="21"/>
      <c r="VM80" s="21"/>
      <c r="VN80" s="21"/>
      <c r="VO80" s="21"/>
      <c r="VP80" s="21"/>
      <c r="VQ80" s="21"/>
      <c r="VR80" s="21"/>
      <c r="VS80" s="21"/>
      <c r="VT80" s="21"/>
      <c r="VU80" s="21"/>
      <c r="VV80" s="21"/>
      <c r="VW80" s="21"/>
      <c r="VX80" s="21"/>
      <c r="VY80" s="21"/>
      <c r="VZ80" s="21"/>
      <c r="WA80" s="21"/>
      <c r="WB80" s="21"/>
      <c r="WC80" s="21"/>
      <c r="WD80" s="21"/>
      <c r="WE80" s="21"/>
      <c r="WF80" s="21"/>
      <c r="WG80" s="21"/>
      <c r="WH80" s="21"/>
      <c r="WI80" s="21"/>
      <c r="WJ80" s="21"/>
      <c r="WK80" s="21"/>
      <c r="WL80" s="21"/>
      <c r="WM80" s="21"/>
      <c r="WN80" s="21"/>
      <c r="WO80" s="21"/>
      <c r="WP80" s="21"/>
      <c r="WQ80" s="21"/>
      <c r="WR80" s="21"/>
      <c r="WS80" s="21"/>
      <c r="WT80" s="21"/>
      <c r="WU80" s="21"/>
      <c r="WV80" s="21"/>
      <c r="WW80" s="21"/>
      <c r="WX80" s="21"/>
      <c r="WY80" s="21"/>
      <c r="WZ80" s="21"/>
      <c r="XA80" s="21"/>
      <c r="XB80" s="21"/>
      <c r="XC80" s="21"/>
      <c r="XD80" s="21"/>
      <c r="XE80" s="21"/>
      <c r="XF80" s="21"/>
      <c r="XG80" s="21"/>
      <c r="XH80" s="21"/>
      <c r="XI80" s="21"/>
      <c r="XJ80" s="21"/>
      <c r="XK80" s="21"/>
      <c r="XL80" s="21"/>
      <c r="XM80" s="21"/>
      <c r="XN80" s="21"/>
      <c r="XO80" s="21"/>
      <c r="XP80" s="21"/>
      <c r="XQ80" s="21"/>
      <c r="XR80" s="21"/>
      <c r="XS80" s="21"/>
      <c r="XT80" s="21"/>
      <c r="XU80" s="21"/>
      <c r="XV80" s="21"/>
      <c r="XW80" s="21"/>
      <c r="XX80" s="21"/>
      <c r="XY80" s="21"/>
      <c r="XZ80" s="21"/>
      <c r="YA80" s="21"/>
      <c r="YB80" s="21"/>
      <c r="YC80" s="21"/>
      <c r="YD80" s="21"/>
      <c r="YE80" s="21"/>
      <c r="YF80" s="21"/>
      <c r="YG80" s="21"/>
      <c r="YH80" s="21"/>
      <c r="YI80" s="21"/>
      <c r="YJ80" s="21"/>
      <c r="YK80" s="21"/>
      <c r="YL80" s="21"/>
      <c r="YM80" s="21"/>
      <c r="YN80" s="21"/>
      <c r="YO80" s="21"/>
      <c r="YP80" s="21"/>
      <c r="YQ80" s="21"/>
      <c r="YR80" s="21"/>
      <c r="YS80" s="21"/>
      <c r="YT80" s="21"/>
      <c r="YU80" s="21"/>
      <c r="YV80" s="21"/>
      <c r="YW80" s="21"/>
      <c r="YX80" s="21"/>
      <c r="YY80" s="21"/>
      <c r="YZ80" s="21"/>
      <c r="ZA80" s="21"/>
      <c r="ZB80" s="21"/>
      <c r="ZC80" s="21"/>
      <c r="ZD80" s="21"/>
      <c r="ZE80" s="21"/>
      <c r="ZF80" s="21"/>
      <c r="ZG80" s="21"/>
      <c r="ZH80" s="21"/>
      <c r="ZI80" s="21"/>
      <c r="ZJ80" s="21"/>
      <c r="ZK80" s="21"/>
      <c r="ZL80" s="21"/>
      <c r="ZM80" s="21"/>
      <c r="ZN80" s="21"/>
      <c r="ZO80" s="21"/>
      <c r="ZP80" s="21"/>
      <c r="ZQ80" s="21"/>
      <c r="ZR80" s="21"/>
      <c r="ZS80" s="21"/>
      <c r="ZT80" s="21"/>
      <c r="ZU80" s="21"/>
      <c r="ZV80" s="21"/>
      <c r="ZW80" s="21"/>
      <c r="ZX80" s="21"/>
      <c r="ZY80" s="21"/>
      <c r="ZZ80" s="21"/>
      <c r="AAA80" s="21"/>
      <c r="AAB80" s="21"/>
      <c r="AAC80" s="21"/>
      <c r="AAD80" s="21"/>
      <c r="AAE80" s="21"/>
      <c r="AAF80" s="21"/>
      <c r="AAG80" s="21"/>
      <c r="AAH80" s="21"/>
      <c r="AAI80" s="21"/>
      <c r="AAJ80" s="21"/>
      <c r="AAK80" s="21"/>
      <c r="AAL80" s="21"/>
      <c r="AAM80" s="21"/>
      <c r="AAN80" s="21"/>
      <c r="AAO80" s="21"/>
      <c r="AAP80" s="21"/>
      <c r="AAQ80" s="21"/>
      <c r="AAR80" s="21"/>
      <c r="AAS80" s="21"/>
      <c r="AAT80" s="21"/>
      <c r="AAU80" s="21"/>
      <c r="AAV80" s="21"/>
      <c r="AAW80" s="21"/>
      <c r="AAX80" s="21"/>
      <c r="AAY80" s="21"/>
      <c r="AAZ80" s="21"/>
      <c r="ABA80" s="21"/>
      <c r="ABB80" s="21"/>
      <c r="ABC80" s="21"/>
      <c r="ABD80" s="21"/>
      <c r="ABE80" s="21"/>
      <c r="ABF80" s="21"/>
      <c r="ABG80" s="21"/>
      <c r="ABH80" s="21"/>
      <c r="ABI80" s="21"/>
      <c r="ABJ80" s="21"/>
      <c r="ABK80" s="21"/>
      <c r="ABL80" s="21"/>
      <c r="ABM80" s="21"/>
      <c r="ABN80" s="21"/>
      <c r="ABO80" s="21"/>
      <c r="ABP80" s="21"/>
      <c r="ABQ80" s="21"/>
      <c r="ABR80" s="21"/>
      <c r="ABS80" s="21"/>
      <c r="ABT80" s="21"/>
      <c r="ABU80" s="21"/>
      <c r="ABV80" s="21"/>
      <c r="ABW80" s="21"/>
      <c r="ABX80" s="21"/>
      <c r="ABY80" s="21"/>
      <c r="ABZ80" s="21"/>
      <c r="ACA80" s="21"/>
      <c r="ACB80" s="21"/>
      <c r="ACC80" s="21"/>
      <c r="ACD80" s="21"/>
      <c r="ACE80" s="21"/>
      <c r="ACF80" s="21"/>
      <c r="ACG80" s="21"/>
      <c r="ACH80" s="21"/>
      <c r="ACI80" s="21"/>
      <c r="ACJ80" s="21"/>
      <c r="ACK80" s="21"/>
      <c r="ACL80" s="21"/>
      <c r="ACM80" s="21"/>
      <c r="ACN80" s="21"/>
      <c r="ACO80" s="21"/>
      <c r="ACP80" s="21"/>
      <c r="ACQ80" s="21"/>
      <c r="ACR80" s="21"/>
      <c r="ACS80" s="21"/>
      <c r="ACT80" s="21"/>
      <c r="ACU80" s="21"/>
      <c r="ACV80" s="21"/>
      <c r="ACW80" s="21"/>
      <c r="ACX80" s="21"/>
      <c r="ACY80" s="21"/>
      <c r="ACZ80" s="21"/>
      <c r="ADA80" s="21"/>
      <c r="ADB80" s="21"/>
      <c r="ADC80" s="21"/>
      <c r="ADD80" s="21"/>
      <c r="ADE80" s="21"/>
      <c r="ADF80" s="21"/>
      <c r="ADG80" s="21"/>
      <c r="ADH80" s="21"/>
      <c r="ADI80" s="21"/>
      <c r="ADJ80" s="21"/>
      <c r="ADK80" s="21"/>
      <c r="ADL80" s="21"/>
      <c r="ADM80" s="21"/>
      <c r="ADN80" s="21"/>
      <c r="ADO80" s="21"/>
      <c r="ADP80" s="21"/>
      <c r="ADQ80" s="21"/>
      <c r="ADR80" s="21"/>
      <c r="ADS80" s="21"/>
      <c r="ADT80" s="21"/>
      <c r="ADU80" s="21"/>
      <c r="ADV80" s="21"/>
      <c r="ADW80" s="21"/>
      <c r="ADX80" s="21"/>
      <c r="ADY80" s="21"/>
      <c r="ADZ80" s="21"/>
      <c r="AEA80" s="21"/>
      <c r="AEB80" s="21"/>
      <c r="AEC80" s="21"/>
      <c r="AED80" s="21"/>
      <c r="AEE80" s="21"/>
      <c r="AEF80" s="21"/>
      <c r="AEG80" s="21"/>
      <c r="AEH80" s="21"/>
      <c r="AEI80" s="21"/>
      <c r="AEJ80" s="21"/>
      <c r="AEK80" s="21"/>
      <c r="AEL80" s="21"/>
      <c r="AEM80" s="21"/>
      <c r="AEN80" s="21"/>
      <c r="AEO80" s="21"/>
      <c r="AEP80" s="21"/>
      <c r="AEQ80" s="21"/>
      <c r="AER80" s="21"/>
      <c r="AES80" s="21"/>
      <c r="AET80" s="21"/>
      <c r="AEU80" s="21"/>
      <c r="AEV80" s="21"/>
      <c r="AEW80" s="21"/>
      <c r="AEX80" s="21"/>
      <c r="AEY80" s="21"/>
      <c r="AEZ80" s="21"/>
      <c r="AFA80" s="21"/>
      <c r="AFB80" s="21"/>
      <c r="AFC80" s="21"/>
      <c r="AFD80" s="21"/>
      <c r="AFE80" s="21"/>
      <c r="AFF80" s="21"/>
      <c r="AFG80" s="21"/>
      <c r="AFH80" s="21"/>
      <c r="AFI80" s="21"/>
      <c r="AFJ80" s="21"/>
      <c r="AFK80" s="21"/>
      <c r="AFL80" s="21"/>
      <c r="AFM80" s="21"/>
      <c r="AFN80" s="21"/>
      <c r="AFO80" s="21"/>
      <c r="AFP80" s="21"/>
      <c r="AFQ80" s="21"/>
      <c r="AFR80" s="21"/>
      <c r="AFS80" s="21"/>
      <c r="AFT80" s="21"/>
      <c r="AFU80" s="21"/>
      <c r="AFV80" s="21"/>
      <c r="AFW80" s="21"/>
      <c r="AFX80" s="21"/>
      <c r="AFY80" s="21"/>
      <c r="AFZ80" s="21"/>
      <c r="AGA80" s="21"/>
      <c r="AGB80" s="21"/>
      <c r="AGC80" s="21"/>
      <c r="AGD80" s="21"/>
      <c r="AGE80" s="21"/>
      <c r="AGF80" s="21"/>
      <c r="AGG80" s="21"/>
      <c r="AGH80" s="21"/>
      <c r="AGI80" s="21"/>
      <c r="AGJ80" s="21"/>
      <c r="AGK80" s="21"/>
      <c r="AGL80" s="21"/>
      <c r="AGM80" s="21"/>
      <c r="AGN80" s="21"/>
      <c r="AGO80" s="21"/>
      <c r="AGP80" s="21"/>
      <c r="AGQ80" s="21"/>
      <c r="AGR80" s="21"/>
      <c r="AGS80" s="21"/>
    </row>
    <row r="81" spans="1:877" ht="13">
      <c r="A81" s="12"/>
      <c r="B81" s="70" t="s">
        <v>48</v>
      </c>
      <c r="C81" s="71">
        <v>3240000</v>
      </c>
      <c r="D81" s="72">
        <v>46204</v>
      </c>
      <c r="E81" s="73">
        <v>9</v>
      </c>
      <c r="F81" s="27"/>
      <c r="G81" s="27">
        <f t="shared" ref="G81:R81" si="29">IF(G$4&gt;=$D81,$C81,0)</f>
        <v>0</v>
      </c>
      <c r="H81" s="27">
        <f t="shared" si="29"/>
        <v>0</v>
      </c>
      <c r="I81" s="27">
        <f t="shared" si="29"/>
        <v>0</v>
      </c>
      <c r="J81" s="27">
        <f t="shared" si="29"/>
        <v>0</v>
      </c>
      <c r="K81" s="27">
        <f t="shared" si="29"/>
        <v>0</v>
      </c>
      <c r="L81" s="27">
        <f t="shared" si="29"/>
        <v>0</v>
      </c>
      <c r="M81" s="27">
        <f t="shared" si="29"/>
        <v>0</v>
      </c>
      <c r="N81" s="27">
        <f t="shared" si="29"/>
        <v>0</v>
      </c>
      <c r="O81" s="27">
        <f t="shared" si="29"/>
        <v>0</v>
      </c>
      <c r="P81" s="27">
        <f t="shared" si="29"/>
        <v>0</v>
      </c>
      <c r="Q81" s="27">
        <f t="shared" si="29"/>
        <v>0</v>
      </c>
      <c r="R81" s="27">
        <f t="shared" si="29"/>
        <v>0</v>
      </c>
      <c r="S81" s="27">
        <v>3240000</v>
      </c>
      <c r="T81" s="27">
        <v>3240000</v>
      </c>
      <c r="U81" s="27">
        <v>3240000</v>
      </c>
      <c r="V81" s="27">
        <v>3240000</v>
      </c>
      <c r="W81" s="27">
        <v>3240000</v>
      </c>
      <c r="X81" s="27">
        <v>3240000</v>
      </c>
      <c r="Y81" s="27">
        <v>3240000</v>
      </c>
      <c r="Z81" s="27">
        <v>3240000</v>
      </c>
      <c r="AA81" s="27">
        <v>3240000</v>
      </c>
      <c r="AB81" s="27">
        <v>3240000</v>
      </c>
      <c r="AC81" s="27">
        <v>3240000</v>
      </c>
      <c r="AD81" s="27">
        <v>3240000</v>
      </c>
      <c r="AE81" s="27">
        <v>3240000</v>
      </c>
      <c r="AF81" s="27">
        <v>3240000</v>
      </c>
      <c r="AG81" s="27">
        <v>3240000</v>
      </c>
      <c r="AH81" s="27">
        <v>3240000</v>
      </c>
      <c r="AI81" s="27">
        <v>3240000</v>
      </c>
      <c r="AJ81" s="27">
        <v>3240000</v>
      </c>
      <c r="AK81" s="27">
        <v>3240000</v>
      </c>
      <c r="AL81" s="27">
        <v>3240000</v>
      </c>
      <c r="AM81" s="27">
        <v>3240000</v>
      </c>
      <c r="AN81" s="27">
        <v>3240000</v>
      </c>
      <c r="AO81" s="27">
        <v>3240000</v>
      </c>
      <c r="AP81" s="27">
        <v>3240000</v>
      </c>
      <c r="AQ81" s="27">
        <v>3240000</v>
      </c>
      <c r="AR81" s="27">
        <v>3240000</v>
      </c>
      <c r="AS81" s="27">
        <v>3240000</v>
      </c>
      <c r="AT81" s="27">
        <v>3240000</v>
      </c>
      <c r="AU81" s="27">
        <v>3240000</v>
      </c>
      <c r="AV81" s="27">
        <v>3240000</v>
      </c>
      <c r="AW81" s="27">
        <v>3240000</v>
      </c>
      <c r="AX81" s="27">
        <v>3240000</v>
      </c>
      <c r="AY81" s="27">
        <v>3240000</v>
      </c>
      <c r="AZ81" s="27">
        <v>3240000</v>
      </c>
      <c r="BA81" s="27">
        <v>3240000</v>
      </c>
      <c r="BB81" s="27">
        <v>3240000</v>
      </c>
      <c r="BC81" s="27">
        <v>3240000</v>
      </c>
      <c r="BD81" s="27">
        <v>3240000</v>
      </c>
      <c r="BE81" s="27">
        <v>3240000</v>
      </c>
      <c r="BF81" s="27">
        <v>3240000</v>
      </c>
      <c r="BG81" s="27">
        <v>3240000</v>
      </c>
      <c r="BH81" s="27">
        <v>3240000</v>
      </c>
      <c r="BI81" s="27">
        <v>3240000</v>
      </c>
      <c r="BJ81" s="27">
        <v>3240000</v>
      </c>
      <c r="BK81" s="27">
        <v>3240000</v>
      </c>
      <c r="BL81" s="27">
        <v>3240000</v>
      </c>
      <c r="BM81" s="27">
        <v>3240000</v>
      </c>
      <c r="BN81" s="27">
        <v>3240000</v>
      </c>
      <c r="BO81" s="27">
        <v>3240000</v>
      </c>
      <c r="BP81" s="27">
        <v>3240000</v>
      </c>
      <c r="BQ81" s="27">
        <v>3240000</v>
      </c>
      <c r="BR81" s="27">
        <v>3240000</v>
      </c>
      <c r="BS81" s="27">
        <v>3240000</v>
      </c>
      <c r="BT81" s="27">
        <v>3240000</v>
      </c>
      <c r="BU81" s="27">
        <v>3240000</v>
      </c>
      <c r="BV81" s="27">
        <v>3240000</v>
      </c>
      <c r="BW81" s="27">
        <v>3240000</v>
      </c>
      <c r="BX81" s="27">
        <v>3240000</v>
      </c>
      <c r="BY81" s="27">
        <v>3240000</v>
      </c>
      <c r="BZ81" s="27">
        <v>3240000</v>
      </c>
      <c r="CA81" s="27">
        <v>3240000</v>
      </c>
      <c r="CB81" s="27">
        <v>3240000</v>
      </c>
      <c r="CC81" s="27">
        <v>3240000</v>
      </c>
      <c r="CD81" s="27">
        <v>3240000</v>
      </c>
      <c r="CE81" s="27">
        <v>3240000</v>
      </c>
      <c r="CF81" s="27">
        <v>3240000</v>
      </c>
      <c r="CG81" s="27">
        <v>3240000</v>
      </c>
      <c r="CH81" s="27">
        <v>3240000</v>
      </c>
      <c r="CI81" s="27">
        <v>3240000</v>
      </c>
      <c r="CJ81" s="27">
        <v>3240000</v>
      </c>
      <c r="CK81" s="27">
        <v>3240000</v>
      </c>
      <c r="CL81" s="27">
        <v>3240000</v>
      </c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1"/>
      <c r="JV81" s="21"/>
      <c r="JW81" s="21"/>
      <c r="JX81" s="21"/>
      <c r="JY81" s="21"/>
      <c r="JZ81" s="21"/>
      <c r="KA81" s="21"/>
      <c r="KB81" s="21"/>
      <c r="KC81" s="21"/>
      <c r="KD81" s="21"/>
      <c r="KE81" s="21"/>
      <c r="KF81" s="21"/>
      <c r="KG81" s="21"/>
      <c r="KH81" s="21"/>
      <c r="KI81" s="21"/>
      <c r="KJ81" s="21"/>
      <c r="KK81" s="21"/>
      <c r="KL81" s="21"/>
      <c r="KM81" s="21"/>
      <c r="KN81" s="21"/>
      <c r="KO81" s="21"/>
      <c r="KP81" s="21"/>
      <c r="KQ81" s="21"/>
      <c r="KR81" s="21"/>
      <c r="KS81" s="21"/>
      <c r="KT81" s="21"/>
      <c r="KU81" s="21"/>
      <c r="KV81" s="21"/>
      <c r="KW81" s="21"/>
      <c r="KX81" s="21"/>
      <c r="KY81" s="21"/>
      <c r="KZ81" s="21"/>
      <c r="LA81" s="21"/>
      <c r="LB81" s="21"/>
      <c r="LC81" s="21"/>
      <c r="LD81" s="21"/>
      <c r="LE81" s="21"/>
      <c r="LF81" s="21"/>
      <c r="LG81" s="21"/>
      <c r="LH81" s="21"/>
      <c r="LI81" s="21"/>
      <c r="LJ81" s="21"/>
      <c r="LK81" s="21"/>
      <c r="LL81" s="21"/>
      <c r="LM81" s="21"/>
      <c r="LN81" s="21"/>
      <c r="LO81" s="21"/>
      <c r="LP81" s="21"/>
      <c r="LQ81" s="21"/>
      <c r="LR81" s="21"/>
      <c r="LS81" s="21"/>
      <c r="LT81" s="21"/>
      <c r="LU81" s="21"/>
      <c r="LV81" s="21"/>
      <c r="LW81" s="21"/>
      <c r="LX81" s="21"/>
      <c r="LY81" s="21"/>
      <c r="LZ81" s="21"/>
      <c r="MA81" s="21"/>
      <c r="MB81" s="21"/>
      <c r="MC81" s="21"/>
      <c r="MD81" s="21"/>
      <c r="ME81" s="21"/>
      <c r="MF81" s="21"/>
      <c r="MG81" s="21"/>
      <c r="MH81" s="21"/>
      <c r="MI81" s="21"/>
      <c r="MJ81" s="21"/>
      <c r="MK81" s="21"/>
      <c r="ML81" s="21"/>
      <c r="MM81" s="21"/>
      <c r="MN81" s="21"/>
      <c r="MO81" s="21"/>
      <c r="MP81" s="21"/>
      <c r="MQ81" s="21"/>
      <c r="MR81" s="21"/>
      <c r="MS81" s="21"/>
      <c r="MT81" s="21"/>
      <c r="MU81" s="21"/>
      <c r="MV81" s="21"/>
      <c r="MW81" s="21"/>
      <c r="MX81" s="21"/>
      <c r="MY81" s="21"/>
      <c r="MZ81" s="21"/>
      <c r="NA81" s="21"/>
      <c r="NB81" s="21"/>
      <c r="NC81" s="21"/>
      <c r="ND81" s="21"/>
      <c r="NE81" s="21"/>
      <c r="NF81" s="21"/>
      <c r="NG81" s="21"/>
      <c r="NH81" s="21"/>
      <c r="NI81" s="21"/>
      <c r="NJ81" s="21"/>
      <c r="NK81" s="21"/>
      <c r="NL81" s="21"/>
      <c r="NM81" s="21"/>
      <c r="NN81" s="21"/>
      <c r="NO81" s="21"/>
      <c r="NP81" s="21"/>
      <c r="NQ81" s="21"/>
      <c r="NR81" s="21"/>
      <c r="NS81" s="21"/>
      <c r="NT81" s="21"/>
      <c r="NU81" s="21"/>
      <c r="NV81" s="21"/>
      <c r="NW81" s="21"/>
      <c r="NX81" s="21"/>
      <c r="NY81" s="21"/>
      <c r="NZ81" s="21"/>
      <c r="OA81" s="21"/>
      <c r="OB81" s="21"/>
      <c r="OC81" s="21"/>
      <c r="OD81" s="21"/>
      <c r="OE81" s="21"/>
      <c r="OF81" s="21"/>
      <c r="OG81" s="21"/>
      <c r="OH81" s="21"/>
      <c r="OI81" s="21"/>
      <c r="OJ81" s="21"/>
      <c r="OK81" s="21"/>
      <c r="OL81" s="21"/>
      <c r="OM81" s="21"/>
      <c r="ON81" s="21"/>
      <c r="OO81" s="21"/>
      <c r="OP81" s="21"/>
      <c r="OQ81" s="21"/>
      <c r="OR81" s="21"/>
      <c r="OS81" s="21"/>
      <c r="OT81" s="21"/>
      <c r="OU81" s="21"/>
      <c r="OV81" s="21"/>
      <c r="OW81" s="21"/>
      <c r="OX81" s="21"/>
      <c r="OY81" s="21"/>
      <c r="OZ81" s="21"/>
      <c r="PA81" s="21"/>
      <c r="PB81" s="21"/>
      <c r="PC81" s="21"/>
      <c r="PD81" s="21"/>
      <c r="PE81" s="21"/>
      <c r="PF81" s="21"/>
      <c r="PG81" s="21"/>
      <c r="PH81" s="21"/>
      <c r="PI81" s="21"/>
      <c r="PJ81" s="21"/>
      <c r="PK81" s="21"/>
      <c r="PL81" s="21"/>
      <c r="PM81" s="21"/>
      <c r="PN81" s="21"/>
      <c r="PO81" s="21"/>
      <c r="PP81" s="21"/>
      <c r="PQ81" s="21"/>
      <c r="PR81" s="21"/>
      <c r="PS81" s="21"/>
      <c r="PT81" s="21"/>
      <c r="PU81" s="21"/>
      <c r="PV81" s="21"/>
      <c r="PW81" s="21"/>
      <c r="PX81" s="21"/>
      <c r="PY81" s="21"/>
      <c r="PZ81" s="21"/>
      <c r="QA81" s="21"/>
      <c r="QB81" s="21"/>
      <c r="QC81" s="21"/>
      <c r="QD81" s="21"/>
      <c r="QE81" s="21"/>
      <c r="QF81" s="21"/>
      <c r="QG81" s="21"/>
      <c r="QH81" s="21"/>
      <c r="QI81" s="21"/>
      <c r="QJ81" s="21"/>
      <c r="QK81" s="21"/>
      <c r="QL81" s="21"/>
      <c r="QM81" s="21"/>
      <c r="QN81" s="21"/>
      <c r="QO81" s="21"/>
      <c r="QP81" s="21"/>
      <c r="QQ81" s="21"/>
      <c r="QR81" s="21"/>
      <c r="QS81" s="21"/>
      <c r="QT81" s="21"/>
      <c r="QU81" s="21"/>
      <c r="QV81" s="21"/>
      <c r="QW81" s="21"/>
      <c r="QX81" s="21"/>
      <c r="QY81" s="21"/>
      <c r="QZ81" s="21"/>
      <c r="RA81" s="21"/>
      <c r="RB81" s="21"/>
      <c r="RC81" s="21"/>
      <c r="RD81" s="21"/>
      <c r="RE81" s="21"/>
      <c r="RF81" s="21"/>
      <c r="RG81" s="21"/>
      <c r="RH81" s="21"/>
      <c r="RI81" s="21"/>
      <c r="RJ81" s="21"/>
      <c r="RK81" s="21"/>
      <c r="RL81" s="21"/>
      <c r="RM81" s="21"/>
      <c r="RN81" s="21"/>
      <c r="RO81" s="21"/>
      <c r="RP81" s="21"/>
      <c r="RQ81" s="21"/>
      <c r="RR81" s="21"/>
      <c r="RS81" s="21"/>
      <c r="RT81" s="21"/>
      <c r="RU81" s="21"/>
      <c r="RV81" s="21"/>
      <c r="RW81" s="21"/>
      <c r="RX81" s="21"/>
      <c r="RY81" s="21"/>
      <c r="RZ81" s="21"/>
      <c r="SA81" s="21"/>
      <c r="SB81" s="21"/>
      <c r="SC81" s="21"/>
      <c r="SD81" s="21"/>
      <c r="SE81" s="21"/>
      <c r="SF81" s="21"/>
      <c r="SG81" s="21"/>
      <c r="SH81" s="21"/>
      <c r="SI81" s="21"/>
      <c r="SJ81" s="21"/>
      <c r="SK81" s="21"/>
      <c r="SL81" s="21"/>
      <c r="SM81" s="21"/>
      <c r="SN81" s="21"/>
      <c r="SO81" s="21"/>
      <c r="SP81" s="21"/>
      <c r="SQ81" s="21"/>
      <c r="SR81" s="21"/>
      <c r="SS81" s="21"/>
      <c r="ST81" s="21"/>
      <c r="SU81" s="21"/>
      <c r="SV81" s="21"/>
      <c r="SW81" s="21"/>
      <c r="SX81" s="21"/>
      <c r="SY81" s="21"/>
      <c r="SZ81" s="21"/>
      <c r="TA81" s="21"/>
      <c r="TB81" s="21"/>
      <c r="TC81" s="21"/>
      <c r="TD81" s="21"/>
      <c r="TE81" s="21"/>
      <c r="TF81" s="21"/>
      <c r="TG81" s="21"/>
      <c r="TH81" s="21"/>
      <c r="TI81" s="21"/>
      <c r="TJ81" s="21"/>
      <c r="TK81" s="21"/>
      <c r="TL81" s="21"/>
      <c r="TM81" s="21"/>
      <c r="TN81" s="21"/>
      <c r="TO81" s="21"/>
      <c r="TP81" s="21"/>
      <c r="TQ81" s="21"/>
      <c r="TR81" s="21"/>
      <c r="TS81" s="21"/>
      <c r="TT81" s="21"/>
      <c r="TU81" s="21"/>
      <c r="TV81" s="21"/>
      <c r="TW81" s="21"/>
      <c r="TX81" s="21"/>
      <c r="TY81" s="21"/>
      <c r="TZ81" s="21"/>
      <c r="UA81" s="21"/>
      <c r="UB81" s="21"/>
      <c r="UC81" s="21"/>
      <c r="UD81" s="21"/>
      <c r="UE81" s="21"/>
      <c r="UF81" s="21"/>
      <c r="UG81" s="21"/>
      <c r="UH81" s="21"/>
      <c r="UI81" s="21"/>
      <c r="UJ81" s="21"/>
      <c r="UK81" s="21"/>
      <c r="UL81" s="21"/>
      <c r="UM81" s="21"/>
      <c r="UN81" s="21"/>
      <c r="UO81" s="21"/>
      <c r="UP81" s="21"/>
      <c r="UQ81" s="21"/>
      <c r="UR81" s="21"/>
      <c r="US81" s="21"/>
      <c r="UT81" s="21"/>
      <c r="UU81" s="21"/>
      <c r="UV81" s="21"/>
      <c r="UW81" s="21"/>
      <c r="UX81" s="21"/>
      <c r="UY81" s="21"/>
      <c r="UZ81" s="21"/>
      <c r="VA81" s="21"/>
      <c r="VB81" s="21"/>
      <c r="VC81" s="21"/>
      <c r="VD81" s="21"/>
      <c r="VE81" s="21"/>
      <c r="VF81" s="21"/>
      <c r="VG81" s="21"/>
      <c r="VH81" s="21"/>
      <c r="VI81" s="21"/>
      <c r="VJ81" s="21"/>
      <c r="VK81" s="21"/>
      <c r="VL81" s="21"/>
      <c r="VM81" s="21"/>
      <c r="VN81" s="21"/>
      <c r="VO81" s="21"/>
      <c r="VP81" s="21"/>
      <c r="VQ81" s="21"/>
      <c r="VR81" s="21"/>
      <c r="VS81" s="21"/>
      <c r="VT81" s="21"/>
      <c r="VU81" s="21"/>
      <c r="VV81" s="21"/>
      <c r="VW81" s="21"/>
      <c r="VX81" s="21"/>
      <c r="VY81" s="21"/>
      <c r="VZ81" s="21"/>
      <c r="WA81" s="21"/>
      <c r="WB81" s="21"/>
      <c r="WC81" s="21"/>
      <c r="WD81" s="21"/>
      <c r="WE81" s="21"/>
      <c r="WF81" s="21"/>
      <c r="WG81" s="21"/>
      <c r="WH81" s="21"/>
      <c r="WI81" s="21"/>
      <c r="WJ81" s="21"/>
      <c r="WK81" s="21"/>
      <c r="WL81" s="21"/>
      <c r="WM81" s="21"/>
      <c r="WN81" s="21"/>
      <c r="WO81" s="21"/>
      <c r="WP81" s="21"/>
      <c r="WQ81" s="21"/>
      <c r="WR81" s="21"/>
      <c r="WS81" s="21"/>
      <c r="WT81" s="21"/>
      <c r="WU81" s="21"/>
      <c r="WV81" s="21"/>
      <c r="WW81" s="21"/>
      <c r="WX81" s="21"/>
      <c r="WY81" s="21"/>
      <c r="WZ81" s="21"/>
      <c r="XA81" s="21"/>
      <c r="XB81" s="21"/>
      <c r="XC81" s="21"/>
      <c r="XD81" s="21"/>
      <c r="XE81" s="21"/>
      <c r="XF81" s="21"/>
      <c r="XG81" s="21"/>
      <c r="XH81" s="21"/>
      <c r="XI81" s="21"/>
      <c r="XJ81" s="21"/>
      <c r="XK81" s="21"/>
      <c r="XL81" s="21"/>
      <c r="XM81" s="21"/>
      <c r="XN81" s="21"/>
      <c r="XO81" s="21"/>
      <c r="XP81" s="21"/>
      <c r="XQ81" s="21"/>
      <c r="XR81" s="21"/>
      <c r="XS81" s="21"/>
      <c r="XT81" s="21"/>
      <c r="XU81" s="21"/>
      <c r="XV81" s="21"/>
      <c r="XW81" s="21"/>
      <c r="XX81" s="21"/>
      <c r="XY81" s="21"/>
      <c r="XZ81" s="21"/>
      <c r="YA81" s="21"/>
      <c r="YB81" s="21"/>
      <c r="YC81" s="21"/>
      <c r="YD81" s="21"/>
      <c r="YE81" s="21"/>
      <c r="YF81" s="21"/>
      <c r="YG81" s="21"/>
      <c r="YH81" s="21"/>
      <c r="YI81" s="21"/>
      <c r="YJ81" s="21"/>
      <c r="YK81" s="21"/>
      <c r="YL81" s="21"/>
      <c r="YM81" s="21"/>
      <c r="YN81" s="21"/>
      <c r="YO81" s="21"/>
      <c r="YP81" s="21"/>
      <c r="YQ81" s="21"/>
      <c r="YR81" s="21"/>
      <c r="YS81" s="21"/>
      <c r="YT81" s="21"/>
      <c r="YU81" s="21"/>
      <c r="YV81" s="21"/>
      <c r="YW81" s="21"/>
      <c r="YX81" s="21"/>
      <c r="YY81" s="21"/>
      <c r="YZ81" s="21"/>
      <c r="ZA81" s="21"/>
      <c r="ZB81" s="21"/>
      <c r="ZC81" s="21"/>
      <c r="ZD81" s="21"/>
      <c r="ZE81" s="21"/>
      <c r="ZF81" s="21"/>
      <c r="ZG81" s="21"/>
      <c r="ZH81" s="21"/>
      <c r="ZI81" s="21"/>
      <c r="ZJ81" s="21"/>
      <c r="ZK81" s="21"/>
      <c r="ZL81" s="21"/>
      <c r="ZM81" s="21"/>
      <c r="ZN81" s="21"/>
      <c r="ZO81" s="21"/>
      <c r="ZP81" s="21"/>
      <c r="ZQ81" s="21"/>
      <c r="ZR81" s="21"/>
      <c r="ZS81" s="21"/>
      <c r="ZT81" s="21"/>
      <c r="ZU81" s="21"/>
      <c r="ZV81" s="21"/>
      <c r="ZW81" s="21"/>
      <c r="ZX81" s="21"/>
      <c r="ZY81" s="21"/>
      <c r="ZZ81" s="21"/>
      <c r="AAA81" s="21"/>
      <c r="AAB81" s="21"/>
      <c r="AAC81" s="21"/>
      <c r="AAD81" s="21"/>
      <c r="AAE81" s="21"/>
      <c r="AAF81" s="21"/>
      <c r="AAG81" s="21"/>
      <c r="AAH81" s="21"/>
      <c r="AAI81" s="21"/>
      <c r="AAJ81" s="21"/>
      <c r="AAK81" s="21"/>
      <c r="AAL81" s="21"/>
      <c r="AAM81" s="21"/>
      <c r="AAN81" s="21"/>
      <c r="AAO81" s="21"/>
      <c r="AAP81" s="21"/>
      <c r="AAQ81" s="21"/>
      <c r="AAR81" s="21"/>
      <c r="AAS81" s="21"/>
      <c r="AAT81" s="21"/>
      <c r="AAU81" s="21"/>
      <c r="AAV81" s="21"/>
      <c r="AAW81" s="21"/>
      <c r="AAX81" s="21"/>
      <c r="AAY81" s="21"/>
      <c r="AAZ81" s="21"/>
      <c r="ABA81" s="21"/>
      <c r="ABB81" s="21"/>
      <c r="ABC81" s="21"/>
      <c r="ABD81" s="21"/>
      <c r="ABE81" s="21"/>
      <c r="ABF81" s="21"/>
      <c r="ABG81" s="21"/>
      <c r="ABH81" s="21"/>
      <c r="ABI81" s="21"/>
      <c r="ABJ81" s="21"/>
      <c r="ABK81" s="21"/>
      <c r="ABL81" s="21"/>
      <c r="ABM81" s="21"/>
      <c r="ABN81" s="21"/>
      <c r="ABO81" s="21"/>
      <c r="ABP81" s="21"/>
      <c r="ABQ81" s="21"/>
      <c r="ABR81" s="21"/>
      <c r="ABS81" s="21"/>
      <c r="ABT81" s="21"/>
      <c r="ABU81" s="21"/>
      <c r="ABV81" s="21"/>
      <c r="ABW81" s="21"/>
      <c r="ABX81" s="21"/>
      <c r="ABY81" s="21"/>
      <c r="ABZ81" s="21"/>
      <c r="ACA81" s="21"/>
      <c r="ACB81" s="21"/>
      <c r="ACC81" s="21"/>
      <c r="ACD81" s="21"/>
      <c r="ACE81" s="21"/>
      <c r="ACF81" s="21"/>
      <c r="ACG81" s="21"/>
      <c r="ACH81" s="21"/>
      <c r="ACI81" s="21"/>
      <c r="ACJ81" s="21"/>
      <c r="ACK81" s="21"/>
      <c r="ACL81" s="21"/>
      <c r="ACM81" s="21"/>
      <c r="ACN81" s="21"/>
      <c r="ACO81" s="21"/>
      <c r="ACP81" s="21"/>
      <c r="ACQ81" s="21"/>
      <c r="ACR81" s="21"/>
      <c r="ACS81" s="21"/>
      <c r="ACT81" s="21"/>
      <c r="ACU81" s="21"/>
      <c r="ACV81" s="21"/>
      <c r="ACW81" s="21"/>
      <c r="ACX81" s="21"/>
      <c r="ACY81" s="21"/>
      <c r="ACZ81" s="21"/>
      <c r="ADA81" s="21"/>
      <c r="ADB81" s="21"/>
      <c r="ADC81" s="21"/>
      <c r="ADD81" s="21"/>
      <c r="ADE81" s="21"/>
      <c r="ADF81" s="21"/>
      <c r="ADG81" s="21"/>
      <c r="ADH81" s="21"/>
      <c r="ADI81" s="21"/>
      <c r="ADJ81" s="21"/>
      <c r="ADK81" s="21"/>
      <c r="ADL81" s="21"/>
      <c r="ADM81" s="21"/>
      <c r="ADN81" s="21"/>
      <c r="ADO81" s="21"/>
      <c r="ADP81" s="21"/>
      <c r="ADQ81" s="21"/>
      <c r="ADR81" s="21"/>
      <c r="ADS81" s="21"/>
      <c r="ADT81" s="21"/>
      <c r="ADU81" s="21"/>
      <c r="ADV81" s="21"/>
      <c r="ADW81" s="21"/>
      <c r="ADX81" s="21"/>
      <c r="ADY81" s="21"/>
      <c r="ADZ81" s="21"/>
      <c r="AEA81" s="21"/>
      <c r="AEB81" s="21"/>
      <c r="AEC81" s="21"/>
      <c r="AED81" s="21"/>
      <c r="AEE81" s="21"/>
      <c r="AEF81" s="21"/>
      <c r="AEG81" s="21"/>
      <c r="AEH81" s="21"/>
      <c r="AEI81" s="21"/>
      <c r="AEJ81" s="21"/>
      <c r="AEK81" s="21"/>
      <c r="AEL81" s="21"/>
      <c r="AEM81" s="21"/>
      <c r="AEN81" s="21"/>
      <c r="AEO81" s="21"/>
      <c r="AEP81" s="21"/>
      <c r="AEQ81" s="21"/>
      <c r="AER81" s="21"/>
      <c r="AES81" s="21"/>
      <c r="AET81" s="21"/>
      <c r="AEU81" s="21"/>
      <c r="AEV81" s="21"/>
      <c r="AEW81" s="21"/>
      <c r="AEX81" s="21"/>
      <c r="AEY81" s="21"/>
      <c r="AEZ81" s="21"/>
      <c r="AFA81" s="21"/>
      <c r="AFB81" s="21"/>
      <c r="AFC81" s="21"/>
      <c r="AFD81" s="21"/>
      <c r="AFE81" s="21"/>
      <c r="AFF81" s="21"/>
      <c r="AFG81" s="21"/>
      <c r="AFH81" s="21"/>
      <c r="AFI81" s="21"/>
      <c r="AFJ81" s="21"/>
      <c r="AFK81" s="21"/>
      <c r="AFL81" s="21"/>
      <c r="AFM81" s="21"/>
      <c r="AFN81" s="21"/>
      <c r="AFO81" s="21"/>
      <c r="AFP81" s="21"/>
      <c r="AFQ81" s="21"/>
      <c r="AFR81" s="21"/>
      <c r="AFS81" s="21"/>
      <c r="AFT81" s="21"/>
      <c r="AFU81" s="21"/>
      <c r="AFV81" s="21"/>
      <c r="AFW81" s="21"/>
      <c r="AFX81" s="21"/>
      <c r="AFY81" s="21"/>
      <c r="AFZ81" s="21"/>
      <c r="AGA81" s="21"/>
      <c r="AGB81" s="21"/>
      <c r="AGC81" s="21"/>
      <c r="AGD81" s="21"/>
      <c r="AGE81" s="21"/>
      <c r="AGF81" s="21"/>
      <c r="AGG81" s="21"/>
      <c r="AGH81" s="21"/>
      <c r="AGI81" s="21"/>
      <c r="AGJ81" s="21"/>
      <c r="AGK81" s="21"/>
      <c r="AGL81" s="21"/>
      <c r="AGM81" s="21"/>
      <c r="AGN81" s="21"/>
      <c r="AGO81" s="21"/>
      <c r="AGP81" s="21"/>
      <c r="AGQ81" s="21"/>
      <c r="AGR81" s="21"/>
      <c r="AGS81" s="21"/>
    </row>
    <row r="82" spans="1:877" ht="13">
      <c r="A82" s="12"/>
      <c r="B82" s="70" t="s">
        <v>49</v>
      </c>
      <c r="C82" s="71">
        <v>1500000</v>
      </c>
      <c r="D82" s="72">
        <v>46569</v>
      </c>
      <c r="E82" s="73">
        <v>9</v>
      </c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>
        <v>1500000</v>
      </c>
      <c r="AF82" s="27">
        <v>1500000</v>
      </c>
      <c r="AG82" s="27">
        <v>1500000</v>
      </c>
      <c r="AH82" s="27">
        <v>1500000</v>
      </c>
      <c r="AI82" s="27">
        <v>1500000</v>
      </c>
      <c r="AJ82" s="27">
        <v>1500000</v>
      </c>
      <c r="AK82" s="27">
        <v>1500000</v>
      </c>
      <c r="AL82" s="27">
        <v>1500000</v>
      </c>
      <c r="AM82" s="27">
        <v>1500000</v>
      </c>
      <c r="AN82" s="27">
        <v>1500000</v>
      </c>
      <c r="AO82" s="27">
        <v>1500000</v>
      </c>
      <c r="AP82" s="27">
        <v>1500000</v>
      </c>
      <c r="AQ82" s="27">
        <v>1500000</v>
      </c>
      <c r="AR82" s="27">
        <v>1500000</v>
      </c>
      <c r="AS82" s="27">
        <v>1500000</v>
      </c>
      <c r="AT82" s="27">
        <v>1500000</v>
      </c>
      <c r="AU82" s="27">
        <v>1500000</v>
      </c>
      <c r="AV82" s="27">
        <v>1500000</v>
      </c>
      <c r="AW82" s="27">
        <v>1500000</v>
      </c>
      <c r="AX82" s="27">
        <v>1500000</v>
      </c>
      <c r="AY82" s="27">
        <v>1500000</v>
      </c>
      <c r="AZ82" s="27">
        <v>1500000</v>
      </c>
      <c r="BA82" s="27">
        <v>1500000</v>
      </c>
      <c r="BB82" s="27">
        <v>1500000</v>
      </c>
      <c r="BC82" s="27">
        <v>1500000</v>
      </c>
      <c r="BD82" s="27">
        <v>1500000</v>
      </c>
      <c r="BE82" s="27">
        <v>1500000</v>
      </c>
      <c r="BF82" s="27">
        <v>1500000</v>
      </c>
      <c r="BG82" s="27">
        <v>1500000</v>
      </c>
      <c r="BH82" s="27">
        <v>1500000</v>
      </c>
      <c r="BI82" s="27">
        <v>1500000</v>
      </c>
      <c r="BJ82" s="27">
        <v>1500000</v>
      </c>
      <c r="BK82" s="27">
        <v>1500000</v>
      </c>
      <c r="BL82" s="27">
        <v>1500000</v>
      </c>
      <c r="BM82" s="27">
        <v>1500000</v>
      </c>
      <c r="BN82" s="27">
        <v>1500000</v>
      </c>
      <c r="BO82" s="27">
        <v>1500000</v>
      </c>
      <c r="BP82" s="27">
        <v>1500000</v>
      </c>
      <c r="BQ82" s="27">
        <v>1500000</v>
      </c>
      <c r="BR82" s="27">
        <v>1500000</v>
      </c>
      <c r="BS82" s="27">
        <v>1500000</v>
      </c>
      <c r="BT82" s="27">
        <v>1500000</v>
      </c>
      <c r="BU82" s="27">
        <v>1500000</v>
      </c>
      <c r="BV82" s="27">
        <v>1500000</v>
      </c>
      <c r="BW82" s="27">
        <v>1500000</v>
      </c>
      <c r="BX82" s="27">
        <v>1500000</v>
      </c>
      <c r="BY82" s="27">
        <v>1500000</v>
      </c>
      <c r="BZ82" s="27">
        <v>1500000</v>
      </c>
      <c r="CA82" s="27">
        <v>1500000</v>
      </c>
      <c r="CB82" s="27">
        <v>1500000</v>
      </c>
      <c r="CC82" s="27">
        <v>1500000</v>
      </c>
      <c r="CD82" s="27">
        <v>1500000</v>
      </c>
      <c r="CE82" s="27">
        <v>1500000</v>
      </c>
      <c r="CF82" s="27">
        <v>1500000</v>
      </c>
      <c r="CG82" s="27">
        <v>1500000</v>
      </c>
      <c r="CH82" s="27">
        <v>1500000</v>
      </c>
      <c r="CI82" s="27">
        <v>1500000</v>
      </c>
      <c r="CJ82" s="27">
        <v>1500000</v>
      </c>
      <c r="CK82" s="27">
        <v>1500000</v>
      </c>
      <c r="CL82" s="27">
        <v>1500000</v>
      </c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1"/>
      <c r="JV82" s="21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  <c r="KJ82" s="21"/>
      <c r="KK82" s="21"/>
      <c r="KL82" s="21"/>
      <c r="KM82" s="21"/>
      <c r="KN82" s="21"/>
      <c r="KO82" s="21"/>
      <c r="KP82" s="21"/>
      <c r="KQ82" s="21"/>
      <c r="KR82" s="21"/>
      <c r="KS82" s="21"/>
      <c r="KT82" s="21"/>
      <c r="KU82" s="21"/>
      <c r="KV82" s="21"/>
      <c r="KW82" s="21"/>
      <c r="KX82" s="21"/>
      <c r="KY82" s="21"/>
      <c r="KZ82" s="21"/>
      <c r="LA82" s="21"/>
      <c r="LB82" s="21"/>
      <c r="LC82" s="21"/>
      <c r="LD82" s="21"/>
      <c r="LE82" s="21"/>
      <c r="LF82" s="21"/>
      <c r="LG82" s="21"/>
      <c r="LH82" s="21"/>
      <c r="LI82" s="21"/>
      <c r="LJ82" s="21"/>
      <c r="LK82" s="21"/>
      <c r="LL82" s="21"/>
      <c r="LM82" s="21"/>
      <c r="LN82" s="21"/>
      <c r="LO82" s="21"/>
      <c r="LP82" s="21"/>
      <c r="LQ82" s="21"/>
      <c r="LR82" s="21"/>
      <c r="LS82" s="21"/>
      <c r="LT82" s="21"/>
      <c r="LU82" s="21"/>
      <c r="LV82" s="21"/>
      <c r="LW82" s="21"/>
      <c r="LX82" s="21"/>
      <c r="LY82" s="21"/>
      <c r="LZ82" s="21"/>
      <c r="MA82" s="21"/>
      <c r="MB82" s="21"/>
      <c r="MC82" s="21"/>
      <c r="MD82" s="21"/>
      <c r="ME82" s="21"/>
      <c r="MF82" s="21"/>
      <c r="MG82" s="21"/>
      <c r="MH82" s="21"/>
      <c r="MI82" s="21"/>
      <c r="MJ82" s="21"/>
      <c r="MK82" s="21"/>
      <c r="ML82" s="21"/>
      <c r="MM82" s="21"/>
      <c r="MN82" s="21"/>
      <c r="MO82" s="21"/>
      <c r="MP82" s="21"/>
      <c r="MQ82" s="21"/>
      <c r="MR82" s="21"/>
      <c r="MS82" s="21"/>
      <c r="MT82" s="21"/>
      <c r="MU82" s="21"/>
      <c r="MV82" s="21"/>
      <c r="MW82" s="21"/>
      <c r="MX82" s="21"/>
      <c r="MY82" s="21"/>
      <c r="MZ82" s="21"/>
      <c r="NA82" s="21"/>
      <c r="NB82" s="21"/>
      <c r="NC82" s="21"/>
      <c r="ND82" s="21"/>
      <c r="NE82" s="21"/>
      <c r="NF82" s="21"/>
      <c r="NG82" s="21"/>
      <c r="NH82" s="21"/>
      <c r="NI82" s="21"/>
      <c r="NJ82" s="21"/>
      <c r="NK82" s="21"/>
      <c r="NL82" s="21"/>
      <c r="NM82" s="21"/>
      <c r="NN82" s="21"/>
      <c r="NO82" s="21"/>
      <c r="NP82" s="21"/>
      <c r="NQ82" s="21"/>
      <c r="NR82" s="21"/>
      <c r="NS82" s="21"/>
      <c r="NT82" s="21"/>
      <c r="NU82" s="21"/>
      <c r="NV82" s="21"/>
      <c r="NW82" s="21"/>
      <c r="NX82" s="21"/>
      <c r="NY82" s="21"/>
      <c r="NZ82" s="21"/>
      <c r="OA82" s="21"/>
      <c r="OB82" s="21"/>
      <c r="OC82" s="21"/>
      <c r="OD82" s="21"/>
      <c r="OE82" s="21"/>
      <c r="OF82" s="21"/>
      <c r="OG82" s="21"/>
      <c r="OH82" s="21"/>
      <c r="OI82" s="21"/>
      <c r="OJ82" s="21"/>
      <c r="OK82" s="21"/>
      <c r="OL82" s="21"/>
      <c r="OM82" s="21"/>
      <c r="ON82" s="21"/>
      <c r="OO82" s="21"/>
      <c r="OP82" s="21"/>
      <c r="OQ82" s="21"/>
      <c r="OR82" s="21"/>
      <c r="OS82" s="21"/>
      <c r="OT82" s="21"/>
      <c r="OU82" s="21"/>
      <c r="OV82" s="21"/>
      <c r="OW82" s="21"/>
      <c r="OX82" s="21"/>
      <c r="OY82" s="21"/>
      <c r="OZ82" s="21"/>
      <c r="PA82" s="21"/>
      <c r="PB82" s="21"/>
      <c r="PC82" s="21"/>
      <c r="PD82" s="21"/>
      <c r="PE82" s="21"/>
      <c r="PF82" s="21"/>
      <c r="PG82" s="21"/>
      <c r="PH82" s="21"/>
      <c r="PI82" s="21"/>
      <c r="PJ82" s="21"/>
      <c r="PK82" s="21"/>
      <c r="PL82" s="21"/>
      <c r="PM82" s="21"/>
      <c r="PN82" s="21"/>
      <c r="PO82" s="21"/>
      <c r="PP82" s="21"/>
      <c r="PQ82" s="21"/>
      <c r="PR82" s="21"/>
      <c r="PS82" s="21"/>
      <c r="PT82" s="21"/>
      <c r="PU82" s="21"/>
      <c r="PV82" s="21"/>
      <c r="PW82" s="21"/>
      <c r="PX82" s="21"/>
      <c r="PY82" s="21"/>
      <c r="PZ82" s="21"/>
      <c r="QA82" s="21"/>
      <c r="QB82" s="21"/>
      <c r="QC82" s="21"/>
      <c r="QD82" s="21"/>
      <c r="QE82" s="21"/>
      <c r="QF82" s="21"/>
      <c r="QG82" s="21"/>
      <c r="QH82" s="21"/>
      <c r="QI82" s="21"/>
      <c r="QJ82" s="21"/>
      <c r="QK82" s="21"/>
      <c r="QL82" s="21"/>
      <c r="QM82" s="21"/>
      <c r="QN82" s="21"/>
      <c r="QO82" s="21"/>
      <c r="QP82" s="21"/>
      <c r="QQ82" s="21"/>
      <c r="QR82" s="21"/>
      <c r="QS82" s="21"/>
      <c r="QT82" s="21"/>
      <c r="QU82" s="21"/>
      <c r="QV82" s="21"/>
      <c r="QW82" s="21"/>
      <c r="QX82" s="21"/>
      <c r="QY82" s="21"/>
      <c r="QZ82" s="21"/>
      <c r="RA82" s="21"/>
      <c r="RB82" s="21"/>
      <c r="RC82" s="21"/>
      <c r="RD82" s="21"/>
      <c r="RE82" s="21"/>
      <c r="RF82" s="21"/>
      <c r="RG82" s="21"/>
      <c r="RH82" s="21"/>
      <c r="RI82" s="21"/>
      <c r="RJ82" s="21"/>
      <c r="RK82" s="21"/>
      <c r="RL82" s="21"/>
      <c r="RM82" s="21"/>
      <c r="RN82" s="21"/>
      <c r="RO82" s="21"/>
      <c r="RP82" s="21"/>
      <c r="RQ82" s="21"/>
      <c r="RR82" s="21"/>
      <c r="RS82" s="21"/>
      <c r="RT82" s="21"/>
      <c r="RU82" s="21"/>
      <c r="RV82" s="21"/>
      <c r="RW82" s="21"/>
      <c r="RX82" s="21"/>
      <c r="RY82" s="21"/>
      <c r="RZ82" s="21"/>
      <c r="SA82" s="21"/>
      <c r="SB82" s="21"/>
      <c r="SC82" s="21"/>
      <c r="SD82" s="21"/>
      <c r="SE82" s="21"/>
      <c r="SF82" s="21"/>
      <c r="SG82" s="21"/>
      <c r="SH82" s="21"/>
      <c r="SI82" s="21"/>
      <c r="SJ82" s="21"/>
      <c r="SK82" s="21"/>
      <c r="SL82" s="21"/>
      <c r="SM82" s="21"/>
      <c r="SN82" s="21"/>
      <c r="SO82" s="21"/>
      <c r="SP82" s="21"/>
      <c r="SQ82" s="21"/>
      <c r="SR82" s="21"/>
      <c r="SS82" s="21"/>
      <c r="ST82" s="21"/>
      <c r="SU82" s="21"/>
      <c r="SV82" s="21"/>
      <c r="SW82" s="21"/>
      <c r="SX82" s="21"/>
      <c r="SY82" s="21"/>
      <c r="SZ82" s="21"/>
      <c r="TA82" s="21"/>
      <c r="TB82" s="21"/>
      <c r="TC82" s="21"/>
      <c r="TD82" s="21"/>
      <c r="TE82" s="21"/>
      <c r="TF82" s="21"/>
      <c r="TG82" s="21"/>
      <c r="TH82" s="21"/>
      <c r="TI82" s="21"/>
      <c r="TJ82" s="21"/>
      <c r="TK82" s="21"/>
      <c r="TL82" s="21"/>
      <c r="TM82" s="21"/>
      <c r="TN82" s="21"/>
      <c r="TO82" s="21"/>
      <c r="TP82" s="21"/>
      <c r="TQ82" s="21"/>
      <c r="TR82" s="21"/>
      <c r="TS82" s="21"/>
      <c r="TT82" s="21"/>
      <c r="TU82" s="21"/>
      <c r="TV82" s="21"/>
      <c r="TW82" s="21"/>
      <c r="TX82" s="21"/>
      <c r="TY82" s="21"/>
      <c r="TZ82" s="21"/>
      <c r="UA82" s="21"/>
      <c r="UB82" s="21"/>
      <c r="UC82" s="21"/>
      <c r="UD82" s="21"/>
      <c r="UE82" s="21"/>
      <c r="UF82" s="21"/>
      <c r="UG82" s="21"/>
      <c r="UH82" s="21"/>
      <c r="UI82" s="21"/>
      <c r="UJ82" s="21"/>
      <c r="UK82" s="21"/>
      <c r="UL82" s="21"/>
      <c r="UM82" s="21"/>
      <c r="UN82" s="21"/>
      <c r="UO82" s="21"/>
      <c r="UP82" s="21"/>
      <c r="UQ82" s="21"/>
      <c r="UR82" s="21"/>
      <c r="US82" s="21"/>
      <c r="UT82" s="21"/>
      <c r="UU82" s="21"/>
      <c r="UV82" s="21"/>
      <c r="UW82" s="21"/>
      <c r="UX82" s="21"/>
      <c r="UY82" s="21"/>
      <c r="UZ82" s="21"/>
      <c r="VA82" s="21"/>
      <c r="VB82" s="21"/>
      <c r="VC82" s="21"/>
      <c r="VD82" s="21"/>
      <c r="VE82" s="21"/>
      <c r="VF82" s="21"/>
      <c r="VG82" s="21"/>
      <c r="VH82" s="21"/>
      <c r="VI82" s="21"/>
      <c r="VJ82" s="21"/>
      <c r="VK82" s="21"/>
      <c r="VL82" s="21"/>
      <c r="VM82" s="21"/>
      <c r="VN82" s="21"/>
      <c r="VO82" s="21"/>
      <c r="VP82" s="21"/>
      <c r="VQ82" s="21"/>
      <c r="VR82" s="21"/>
      <c r="VS82" s="21"/>
      <c r="VT82" s="21"/>
      <c r="VU82" s="21"/>
      <c r="VV82" s="21"/>
      <c r="VW82" s="21"/>
      <c r="VX82" s="21"/>
      <c r="VY82" s="21"/>
      <c r="VZ82" s="21"/>
      <c r="WA82" s="21"/>
      <c r="WB82" s="21"/>
      <c r="WC82" s="21"/>
      <c r="WD82" s="21"/>
      <c r="WE82" s="21"/>
      <c r="WF82" s="21"/>
      <c r="WG82" s="21"/>
      <c r="WH82" s="21"/>
      <c r="WI82" s="21"/>
      <c r="WJ82" s="21"/>
      <c r="WK82" s="21"/>
      <c r="WL82" s="21"/>
      <c r="WM82" s="21"/>
      <c r="WN82" s="21"/>
      <c r="WO82" s="21"/>
      <c r="WP82" s="21"/>
      <c r="WQ82" s="21"/>
      <c r="WR82" s="21"/>
      <c r="WS82" s="21"/>
      <c r="WT82" s="21"/>
      <c r="WU82" s="21"/>
      <c r="WV82" s="21"/>
      <c r="WW82" s="21"/>
      <c r="WX82" s="21"/>
      <c r="WY82" s="21"/>
      <c r="WZ82" s="21"/>
      <c r="XA82" s="21"/>
      <c r="XB82" s="21"/>
      <c r="XC82" s="21"/>
      <c r="XD82" s="21"/>
      <c r="XE82" s="21"/>
      <c r="XF82" s="21"/>
      <c r="XG82" s="21"/>
      <c r="XH82" s="21"/>
      <c r="XI82" s="21"/>
      <c r="XJ82" s="21"/>
      <c r="XK82" s="21"/>
      <c r="XL82" s="21"/>
      <c r="XM82" s="21"/>
      <c r="XN82" s="21"/>
      <c r="XO82" s="21"/>
      <c r="XP82" s="21"/>
      <c r="XQ82" s="21"/>
      <c r="XR82" s="21"/>
      <c r="XS82" s="21"/>
      <c r="XT82" s="21"/>
      <c r="XU82" s="21"/>
      <c r="XV82" s="21"/>
      <c r="XW82" s="21"/>
      <c r="XX82" s="21"/>
      <c r="XY82" s="21"/>
      <c r="XZ82" s="21"/>
      <c r="YA82" s="21"/>
      <c r="YB82" s="21"/>
      <c r="YC82" s="21"/>
      <c r="YD82" s="21"/>
      <c r="YE82" s="21"/>
      <c r="YF82" s="21"/>
      <c r="YG82" s="21"/>
      <c r="YH82" s="21"/>
      <c r="YI82" s="21"/>
      <c r="YJ82" s="21"/>
      <c r="YK82" s="21"/>
      <c r="YL82" s="21"/>
      <c r="YM82" s="21"/>
      <c r="YN82" s="21"/>
      <c r="YO82" s="21"/>
      <c r="YP82" s="21"/>
      <c r="YQ82" s="21"/>
      <c r="YR82" s="21"/>
      <c r="YS82" s="21"/>
      <c r="YT82" s="21"/>
      <c r="YU82" s="21"/>
      <c r="YV82" s="21"/>
      <c r="YW82" s="21"/>
      <c r="YX82" s="21"/>
      <c r="YY82" s="21"/>
      <c r="YZ82" s="21"/>
      <c r="ZA82" s="21"/>
      <c r="ZB82" s="21"/>
      <c r="ZC82" s="21"/>
      <c r="ZD82" s="21"/>
      <c r="ZE82" s="21"/>
      <c r="ZF82" s="21"/>
      <c r="ZG82" s="21"/>
      <c r="ZH82" s="21"/>
      <c r="ZI82" s="21"/>
      <c r="ZJ82" s="21"/>
      <c r="ZK82" s="21"/>
      <c r="ZL82" s="21"/>
      <c r="ZM82" s="21"/>
      <c r="ZN82" s="21"/>
      <c r="ZO82" s="21"/>
      <c r="ZP82" s="21"/>
      <c r="ZQ82" s="21"/>
      <c r="ZR82" s="21"/>
      <c r="ZS82" s="21"/>
      <c r="ZT82" s="21"/>
      <c r="ZU82" s="21"/>
      <c r="ZV82" s="21"/>
      <c r="ZW82" s="21"/>
      <c r="ZX82" s="21"/>
      <c r="ZY82" s="21"/>
      <c r="ZZ82" s="21"/>
      <c r="AAA82" s="21"/>
      <c r="AAB82" s="21"/>
      <c r="AAC82" s="21"/>
      <c r="AAD82" s="21"/>
      <c r="AAE82" s="21"/>
      <c r="AAF82" s="21"/>
      <c r="AAG82" s="21"/>
      <c r="AAH82" s="21"/>
      <c r="AAI82" s="21"/>
      <c r="AAJ82" s="21"/>
      <c r="AAK82" s="21"/>
      <c r="AAL82" s="21"/>
      <c r="AAM82" s="21"/>
      <c r="AAN82" s="21"/>
      <c r="AAO82" s="21"/>
      <c r="AAP82" s="21"/>
      <c r="AAQ82" s="21"/>
      <c r="AAR82" s="21"/>
      <c r="AAS82" s="21"/>
      <c r="AAT82" s="21"/>
      <c r="AAU82" s="21"/>
      <c r="AAV82" s="21"/>
      <c r="AAW82" s="21"/>
      <c r="AAX82" s="21"/>
      <c r="AAY82" s="21"/>
      <c r="AAZ82" s="21"/>
      <c r="ABA82" s="21"/>
      <c r="ABB82" s="21"/>
      <c r="ABC82" s="21"/>
      <c r="ABD82" s="21"/>
      <c r="ABE82" s="21"/>
      <c r="ABF82" s="21"/>
      <c r="ABG82" s="21"/>
      <c r="ABH82" s="21"/>
      <c r="ABI82" s="21"/>
      <c r="ABJ82" s="21"/>
      <c r="ABK82" s="21"/>
      <c r="ABL82" s="21"/>
      <c r="ABM82" s="21"/>
      <c r="ABN82" s="21"/>
      <c r="ABO82" s="21"/>
      <c r="ABP82" s="21"/>
      <c r="ABQ82" s="21"/>
      <c r="ABR82" s="21"/>
      <c r="ABS82" s="21"/>
      <c r="ABT82" s="21"/>
      <c r="ABU82" s="21"/>
      <c r="ABV82" s="21"/>
      <c r="ABW82" s="21"/>
      <c r="ABX82" s="21"/>
      <c r="ABY82" s="21"/>
      <c r="ABZ82" s="21"/>
      <c r="ACA82" s="21"/>
      <c r="ACB82" s="21"/>
      <c r="ACC82" s="21"/>
      <c r="ACD82" s="21"/>
      <c r="ACE82" s="21"/>
      <c r="ACF82" s="21"/>
      <c r="ACG82" s="21"/>
      <c r="ACH82" s="21"/>
      <c r="ACI82" s="21"/>
      <c r="ACJ82" s="21"/>
      <c r="ACK82" s="21"/>
      <c r="ACL82" s="21"/>
      <c r="ACM82" s="21"/>
      <c r="ACN82" s="21"/>
      <c r="ACO82" s="21"/>
      <c r="ACP82" s="21"/>
      <c r="ACQ82" s="21"/>
      <c r="ACR82" s="21"/>
      <c r="ACS82" s="21"/>
      <c r="ACT82" s="21"/>
      <c r="ACU82" s="21"/>
      <c r="ACV82" s="21"/>
      <c r="ACW82" s="21"/>
      <c r="ACX82" s="21"/>
      <c r="ACY82" s="21"/>
      <c r="ACZ82" s="21"/>
      <c r="ADA82" s="21"/>
      <c r="ADB82" s="21"/>
      <c r="ADC82" s="21"/>
      <c r="ADD82" s="21"/>
      <c r="ADE82" s="21"/>
      <c r="ADF82" s="21"/>
      <c r="ADG82" s="21"/>
      <c r="ADH82" s="21"/>
      <c r="ADI82" s="21"/>
      <c r="ADJ82" s="21"/>
      <c r="ADK82" s="21"/>
      <c r="ADL82" s="21"/>
      <c r="ADM82" s="21"/>
      <c r="ADN82" s="21"/>
      <c r="ADO82" s="21"/>
      <c r="ADP82" s="21"/>
      <c r="ADQ82" s="21"/>
      <c r="ADR82" s="21"/>
      <c r="ADS82" s="21"/>
      <c r="ADT82" s="21"/>
      <c r="ADU82" s="21"/>
      <c r="ADV82" s="21"/>
      <c r="ADW82" s="21"/>
      <c r="ADX82" s="21"/>
      <c r="ADY82" s="21"/>
      <c r="ADZ82" s="21"/>
      <c r="AEA82" s="21"/>
      <c r="AEB82" s="21"/>
      <c r="AEC82" s="21"/>
      <c r="AED82" s="21"/>
      <c r="AEE82" s="21"/>
      <c r="AEF82" s="21"/>
      <c r="AEG82" s="21"/>
      <c r="AEH82" s="21"/>
      <c r="AEI82" s="21"/>
      <c r="AEJ82" s="21"/>
      <c r="AEK82" s="21"/>
      <c r="AEL82" s="21"/>
      <c r="AEM82" s="21"/>
      <c r="AEN82" s="21"/>
      <c r="AEO82" s="21"/>
      <c r="AEP82" s="21"/>
      <c r="AEQ82" s="21"/>
      <c r="AER82" s="21"/>
      <c r="AES82" s="21"/>
      <c r="AET82" s="21"/>
      <c r="AEU82" s="21"/>
      <c r="AEV82" s="21"/>
      <c r="AEW82" s="21"/>
      <c r="AEX82" s="21"/>
      <c r="AEY82" s="21"/>
      <c r="AEZ82" s="21"/>
      <c r="AFA82" s="21"/>
      <c r="AFB82" s="21"/>
      <c r="AFC82" s="21"/>
      <c r="AFD82" s="21"/>
      <c r="AFE82" s="21"/>
      <c r="AFF82" s="21"/>
      <c r="AFG82" s="21"/>
      <c r="AFH82" s="21"/>
      <c r="AFI82" s="21"/>
      <c r="AFJ82" s="21"/>
      <c r="AFK82" s="21"/>
      <c r="AFL82" s="21"/>
      <c r="AFM82" s="21"/>
      <c r="AFN82" s="21"/>
      <c r="AFO82" s="21"/>
      <c r="AFP82" s="21"/>
      <c r="AFQ82" s="21"/>
      <c r="AFR82" s="21"/>
      <c r="AFS82" s="21"/>
      <c r="AFT82" s="21"/>
      <c r="AFU82" s="21"/>
      <c r="AFV82" s="21"/>
      <c r="AFW82" s="21"/>
      <c r="AFX82" s="21"/>
      <c r="AFY82" s="21"/>
      <c r="AFZ82" s="21"/>
      <c r="AGA82" s="21"/>
      <c r="AGB82" s="21"/>
      <c r="AGC82" s="21"/>
      <c r="AGD82" s="21"/>
      <c r="AGE82" s="21"/>
      <c r="AGF82" s="21"/>
      <c r="AGG82" s="21"/>
      <c r="AGH82" s="21"/>
      <c r="AGI82" s="21"/>
      <c r="AGJ82" s="21"/>
      <c r="AGK82" s="21"/>
      <c r="AGL82" s="21"/>
      <c r="AGM82" s="21"/>
      <c r="AGN82" s="21"/>
      <c r="AGO82" s="21"/>
      <c r="AGP82" s="21"/>
      <c r="AGQ82" s="21"/>
      <c r="AGR82" s="21"/>
      <c r="AGS82" s="21"/>
    </row>
    <row r="83" spans="1:877" ht="13">
      <c r="A83" s="12"/>
      <c r="B83" s="70" t="s">
        <v>50</v>
      </c>
      <c r="C83" s="71">
        <v>3240000</v>
      </c>
      <c r="D83" s="72">
        <v>46569</v>
      </c>
      <c r="E83" s="73">
        <v>9</v>
      </c>
      <c r="F83" s="27"/>
      <c r="G83" s="27">
        <f t="shared" ref="G83:AD83" si="30">IF(G$4&gt;=$D83,$C83,0)</f>
        <v>0</v>
      </c>
      <c r="H83" s="27">
        <f t="shared" si="30"/>
        <v>0</v>
      </c>
      <c r="I83" s="27">
        <f t="shared" si="30"/>
        <v>0</v>
      </c>
      <c r="J83" s="27">
        <f t="shared" si="30"/>
        <v>0</v>
      </c>
      <c r="K83" s="27">
        <f t="shared" si="30"/>
        <v>0</v>
      </c>
      <c r="L83" s="27">
        <f t="shared" si="30"/>
        <v>0</v>
      </c>
      <c r="M83" s="27">
        <f t="shared" si="30"/>
        <v>0</v>
      </c>
      <c r="N83" s="27">
        <f t="shared" si="30"/>
        <v>0</v>
      </c>
      <c r="O83" s="27">
        <f t="shared" si="30"/>
        <v>0</v>
      </c>
      <c r="P83" s="27">
        <f t="shared" si="30"/>
        <v>0</v>
      </c>
      <c r="Q83" s="27">
        <f t="shared" si="30"/>
        <v>0</v>
      </c>
      <c r="R83" s="27">
        <f t="shared" si="30"/>
        <v>0</v>
      </c>
      <c r="S83" s="27">
        <f t="shared" si="30"/>
        <v>0</v>
      </c>
      <c r="T83" s="27">
        <f t="shared" si="30"/>
        <v>0</v>
      </c>
      <c r="U83" s="27">
        <f t="shared" si="30"/>
        <v>0</v>
      </c>
      <c r="V83" s="27">
        <f t="shared" si="30"/>
        <v>0</v>
      </c>
      <c r="W83" s="27">
        <f t="shared" si="30"/>
        <v>0</v>
      </c>
      <c r="X83" s="27">
        <f t="shared" si="30"/>
        <v>0</v>
      </c>
      <c r="Y83" s="27">
        <f t="shared" si="30"/>
        <v>0</v>
      </c>
      <c r="Z83" s="27">
        <f t="shared" si="30"/>
        <v>0</v>
      </c>
      <c r="AA83" s="27">
        <f t="shared" si="30"/>
        <v>0</v>
      </c>
      <c r="AB83" s="27">
        <f t="shared" si="30"/>
        <v>0</v>
      </c>
      <c r="AC83" s="27">
        <f t="shared" si="30"/>
        <v>0</v>
      </c>
      <c r="AD83" s="27">
        <f t="shared" si="30"/>
        <v>0</v>
      </c>
      <c r="AE83" s="27">
        <v>3240000</v>
      </c>
      <c r="AF83" s="27">
        <v>3240000</v>
      </c>
      <c r="AG83" s="27">
        <v>3240000</v>
      </c>
      <c r="AH83" s="27">
        <v>3240000</v>
      </c>
      <c r="AI83" s="27">
        <v>3240000</v>
      </c>
      <c r="AJ83" s="27">
        <v>3240000</v>
      </c>
      <c r="AK83" s="27">
        <v>3240000</v>
      </c>
      <c r="AL83" s="27">
        <v>3240000</v>
      </c>
      <c r="AM83" s="27">
        <v>3240000</v>
      </c>
      <c r="AN83" s="27">
        <v>3240000</v>
      </c>
      <c r="AO83" s="27">
        <v>3240000</v>
      </c>
      <c r="AP83" s="27">
        <v>3240000</v>
      </c>
      <c r="AQ83" s="27">
        <v>3240000</v>
      </c>
      <c r="AR83" s="27">
        <v>3240000</v>
      </c>
      <c r="AS83" s="27">
        <v>3240000</v>
      </c>
      <c r="AT83" s="27">
        <v>3240000</v>
      </c>
      <c r="AU83" s="27">
        <v>3240000</v>
      </c>
      <c r="AV83" s="27">
        <v>3240000</v>
      </c>
      <c r="AW83" s="27">
        <v>3240000</v>
      </c>
      <c r="AX83" s="27">
        <v>3240000</v>
      </c>
      <c r="AY83" s="27">
        <v>3240000</v>
      </c>
      <c r="AZ83" s="27">
        <v>3240000</v>
      </c>
      <c r="BA83" s="27">
        <v>3240000</v>
      </c>
      <c r="BB83" s="27">
        <v>3240000</v>
      </c>
      <c r="BC83" s="27">
        <v>3240000</v>
      </c>
      <c r="BD83" s="27">
        <v>3240000</v>
      </c>
      <c r="BE83" s="27">
        <v>3240000</v>
      </c>
      <c r="BF83" s="27">
        <v>3240000</v>
      </c>
      <c r="BG83" s="27">
        <v>3240000</v>
      </c>
      <c r="BH83" s="27">
        <v>3240000</v>
      </c>
      <c r="BI83" s="27">
        <v>3240000</v>
      </c>
      <c r="BJ83" s="27">
        <v>3240000</v>
      </c>
      <c r="BK83" s="27">
        <v>3240000</v>
      </c>
      <c r="BL83" s="27">
        <v>3240000</v>
      </c>
      <c r="BM83" s="27">
        <v>3240000</v>
      </c>
      <c r="BN83" s="27">
        <v>3240000</v>
      </c>
      <c r="BO83" s="27">
        <v>3240000</v>
      </c>
      <c r="BP83" s="27">
        <v>3240000</v>
      </c>
      <c r="BQ83" s="27">
        <v>3240000</v>
      </c>
      <c r="BR83" s="27">
        <v>3240000</v>
      </c>
      <c r="BS83" s="27">
        <v>3240000</v>
      </c>
      <c r="BT83" s="27">
        <v>3240000</v>
      </c>
      <c r="BU83" s="27">
        <v>3240000</v>
      </c>
      <c r="BV83" s="27">
        <v>3240000</v>
      </c>
      <c r="BW83" s="27">
        <v>3240000</v>
      </c>
      <c r="BX83" s="27">
        <v>3240000</v>
      </c>
      <c r="BY83" s="27">
        <v>3240000</v>
      </c>
      <c r="BZ83" s="27">
        <v>3240000</v>
      </c>
      <c r="CA83" s="27">
        <v>3240000</v>
      </c>
      <c r="CB83" s="27">
        <v>3240000</v>
      </c>
      <c r="CC83" s="27">
        <v>3240000</v>
      </c>
      <c r="CD83" s="27">
        <v>3240000</v>
      </c>
      <c r="CE83" s="27">
        <v>3240000</v>
      </c>
      <c r="CF83" s="27">
        <v>3240000</v>
      </c>
      <c r="CG83" s="27">
        <v>3240000</v>
      </c>
      <c r="CH83" s="27">
        <v>3240000</v>
      </c>
      <c r="CI83" s="27">
        <v>3240000</v>
      </c>
      <c r="CJ83" s="27">
        <v>3240000</v>
      </c>
      <c r="CK83" s="27">
        <v>3240000</v>
      </c>
      <c r="CL83" s="27">
        <v>3240000</v>
      </c>
      <c r="CM83" s="74"/>
      <c r="CN83" s="74"/>
      <c r="CO83" s="74"/>
      <c r="CP83" s="74"/>
      <c r="CQ83" s="74"/>
      <c r="CR83" s="74"/>
      <c r="CS83" s="74"/>
      <c r="CT83" s="74"/>
      <c r="CU83" s="74"/>
      <c r="CV83" s="74"/>
      <c r="CW83" s="74"/>
      <c r="CX83" s="74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1"/>
      <c r="JV83" s="21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  <c r="KJ83" s="21"/>
      <c r="KK83" s="21"/>
      <c r="KL83" s="21"/>
      <c r="KM83" s="21"/>
      <c r="KN83" s="21"/>
      <c r="KO83" s="21"/>
      <c r="KP83" s="21"/>
      <c r="KQ83" s="21"/>
      <c r="KR83" s="21"/>
      <c r="KS83" s="21"/>
      <c r="KT83" s="21"/>
      <c r="KU83" s="21"/>
      <c r="KV83" s="21"/>
      <c r="KW83" s="21"/>
      <c r="KX83" s="21"/>
      <c r="KY83" s="21"/>
      <c r="KZ83" s="21"/>
      <c r="LA83" s="21"/>
      <c r="LB83" s="21"/>
      <c r="LC83" s="21"/>
      <c r="LD83" s="21"/>
      <c r="LE83" s="21"/>
      <c r="LF83" s="21"/>
      <c r="LG83" s="21"/>
      <c r="LH83" s="21"/>
      <c r="LI83" s="21"/>
      <c r="LJ83" s="21"/>
      <c r="LK83" s="21"/>
      <c r="LL83" s="21"/>
      <c r="LM83" s="21"/>
      <c r="LN83" s="21"/>
      <c r="LO83" s="21"/>
      <c r="LP83" s="21"/>
      <c r="LQ83" s="21"/>
      <c r="LR83" s="21"/>
      <c r="LS83" s="21"/>
      <c r="LT83" s="21"/>
      <c r="LU83" s="21"/>
      <c r="LV83" s="21"/>
      <c r="LW83" s="21"/>
      <c r="LX83" s="21"/>
      <c r="LY83" s="21"/>
      <c r="LZ83" s="21"/>
      <c r="MA83" s="21"/>
      <c r="MB83" s="21"/>
      <c r="MC83" s="21"/>
      <c r="MD83" s="21"/>
      <c r="ME83" s="21"/>
      <c r="MF83" s="21"/>
      <c r="MG83" s="21"/>
      <c r="MH83" s="21"/>
      <c r="MI83" s="21"/>
      <c r="MJ83" s="21"/>
      <c r="MK83" s="21"/>
      <c r="ML83" s="21"/>
      <c r="MM83" s="21"/>
      <c r="MN83" s="21"/>
      <c r="MO83" s="21"/>
      <c r="MP83" s="21"/>
      <c r="MQ83" s="21"/>
      <c r="MR83" s="21"/>
      <c r="MS83" s="21"/>
      <c r="MT83" s="21"/>
      <c r="MU83" s="21"/>
      <c r="MV83" s="21"/>
      <c r="MW83" s="21"/>
      <c r="MX83" s="21"/>
      <c r="MY83" s="21"/>
      <c r="MZ83" s="21"/>
      <c r="NA83" s="21"/>
      <c r="NB83" s="21"/>
      <c r="NC83" s="21"/>
      <c r="ND83" s="21"/>
      <c r="NE83" s="21"/>
      <c r="NF83" s="21"/>
      <c r="NG83" s="21"/>
      <c r="NH83" s="21"/>
      <c r="NI83" s="21"/>
      <c r="NJ83" s="21"/>
      <c r="NK83" s="21"/>
      <c r="NL83" s="21"/>
      <c r="NM83" s="21"/>
      <c r="NN83" s="21"/>
      <c r="NO83" s="21"/>
      <c r="NP83" s="21"/>
      <c r="NQ83" s="21"/>
      <c r="NR83" s="21"/>
      <c r="NS83" s="21"/>
      <c r="NT83" s="21"/>
      <c r="NU83" s="21"/>
      <c r="NV83" s="21"/>
      <c r="NW83" s="21"/>
      <c r="NX83" s="21"/>
      <c r="NY83" s="21"/>
      <c r="NZ83" s="21"/>
      <c r="OA83" s="21"/>
      <c r="OB83" s="21"/>
      <c r="OC83" s="21"/>
      <c r="OD83" s="21"/>
      <c r="OE83" s="21"/>
      <c r="OF83" s="21"/>
      <c r="OG83" s="21"/>
      <c r="OH83" s="21"/>
      <c r="OI83" s="21"/>
      <c r="OJ83" s="21"/>
      <c r="OK83" s="21"/>
      <c r="OL83" s="21"/>
      <c r="OM83" s="21"/>
      <c r="ON83" s="21"/>
      <c r="OO83" s="21"/>
      <c r="OP83" s="21"/>
      <c r="OQ83" s="21"/>
      <c r="OR83" s="21"/>
      <c r="OS83" s="21"/>
      <c r="OT83" s="21"/>
      <c r="OU83" s="21"/>
      <c r="OV83" s="21"/>
      <c r="OW83" s="21"/>
      <c r="OX83" s="21"/>
      <c r="OY83" s="21"/>
      <c r="OZ83" s="21"/>
      <c r="PA83" s="21"/>
      <c r="PB83" s="21"/>
      <c r="PC83" s="21"/>
      <c r="PD83" s="21"/>
      <c r="PE83" s="21"/>
      <c r="PF83" s="21"/>
      <c r="PG83" s="21"/>
      <c r="PH83" s="21"/>
      <c r="PI83" s="21"/>
      <c r="PJ83" s="21"/>
      <c r="PK83" s="21"/>
      <c r="PL83" s="21"/>
      <c r="PM83" s="21"/>
      <c r="PN83" s="21"/>
      <c r="PO83" s="21"/>
      <c r="PP83" s="21"/>
      <c r="PQ83" s="21"/>
      <c r="PR83" s="21"/>
      <c r="PS83" s="21"/>
      <c r="PT83" s="21"/>
      <c r="PU83" s="21"/>
      <c r="PV83" s="21"/>
      <c r="PW83" s="21"/>
      <c r="PX83" s="21"/>
      <c r="PY83" s="21"/>
      <c r="PZ83" s="21"/>
      <c r="QA83" s="21"/>
      <c r="QB83" s="21"/>
      <c r="QC83" s="21"/>
      <c r="QD83" s="21"/>
      <c r="QE83" s="21"/>
      <c r="QF83" s="21"/>
      <c r="QG83" s="21"/>
      <c r="QH83" s="21"/>
      <c r="QI83" s="21"/>
      <c r="QJ83" s="21"/>
      <c r="QK83" s="21"/>
      <c r="QL83" s="21"/>
      <c r="QM83" s="21"/>
      <c r="QN83" s="21"/>
      <c r="QO83" s="21"/>
      <c r="QP83" s="21"/>
      <c r="QQ83" s="21"/>
      <c r="QR83" s="21"/>
      <c r="QS83" s="21"/>
      <c r="QT83" s="21"/>
      <c r="QU83" s="21"/>
      <c r="QV83" s="21"/>
      <c r="QW83" s="21"/>
      <c r="QX83" s="21"/>
      <c r="QY83" s="21"/>
      <c r="QZ83" s="21"/>
      <c r="RA83" s="21"/>
      <c r="RB83" s="21"/>
      <c r="RC83" s="21"/>
      <c r="RD83" s="21"/>
      <c r="RE83" s="21"/>
      <c r="RF83" s="21"/>
      <c r="RG83" s="21"/>
      <c r="RH83" s="21"/>
      <c r="RI83" s="21"/>
      <c r="RJ83" s="21"/>
      <c r="RK83" s="21"/>
      <c r="RL83" s="21"/>
      <c r="RM83" s="21"/>
      <c r="RN83" s="21"/>
      <c r="RO83" s="21"/>
      <c r="RP83" s="21"/>
      <c r="RQ83" s="21"/>
      <c r="RR83" s="21"/>
      <c r="RS83" s="21"/>
      <c r="RT83" s="21"/>
      <c r="RU83" s="21"/>
      <c r="RV83" s="21"/>
      <c r="RW83" s="21"/>
      <c r="RX83" s="21"/>
      <c r="RY83" s="21"/>
      <c r="RZ83" s="21"/>
      <c r="SA83" s="21"/>
      <c r="SB83" s="21"/>
      <c r="SC83" s="21"/>
      <c r="SD83" s="21"/>
      <c r="SE83" s="21"/>
      <c r="SF83" s="21"/>
      <c r="SG83" s="21"/>
      <c r="SH83" s="21"/>
      <c r="SI83" s="21"/>
      <c r="SJ83" s="21"/>
      <c r="SK83" s="21"/>
      <c r="SL83" s="21"/>
      <c r="SM83" s="21"/>
      <c r="SN83" s="21"/>
      <c r="SO83" s="21"/>
      <c r="SP83" s="21"/>
      <c r="SQ83" s="21"/>
      <c r="SR83" s="21"/>
      <c r="SS83" s="21"/>
      <c r="ST83" s="21"/>
      <c r="SU83" s="21"/>
      <c r="SV83" s="21"/>
      <c r="SW83" s="21"/>
      <c r="SX83" s="21"/>
      <c r="SY83" s="21"/>
      <c r="SZ83" s="21"/>
      <c r="TA83" s="21"/>
      <c r="TB83" s="21"/>
      <c r="TC83" s="21"/>
      <c r="TD83" s="21"/>
      <c r="TE83" s="21"/>
      <c r="TF83" s="21"/>
      <c r="TG83" s="21"/>
      <c r="TH83" s="21"/>
      <c r="TI83" s="21"/>
      <c r="TJ83" s="21"/>
      <c r="TK83" s="21"/>
      <c r="TL83" s="21"/>
      <c r="TM83" s="21"/>
      <c r="TN83" s="21"/>
      <c r="TO83" s="21"/>
      <c r="TP83" s="21"/>
      <c r="TQ83" s="21"/>
      <c r="TR83" s="21"/>
      <c r="TS83" s="21"/>
      <c r="TT83" s="21"/>
      <c r="TU83" s="21"/>
      <c r="TV83" s="21"/>
      <c r="TW83" s="21"/>
      <c r="TX83" s="21"/>
      <c r="TY83" s="21"/>
      <c r="TZ83" s="21"/>
      <c r="UA83" s="21"/>
      <c r="UB83" s="21"/>
      <c r="UC83" s="21"/>
      <c r="UD83" s="21"/>
      <c r="UE83" s="21"/>
      <c r="UF83" s="21"/>
      <c r="UG83" s="21"/>
      <c r="UH83" s="21"/>
      <c r="UI83" s="21"/>
      <c r="UJ83" s="21"/>
      <c r="UK83" s="21"/>
      <c r="UL83" s="21"/>
      <c r="UM83" s="21"/>
      <c r="UN83" s="21"/>
      <c r="UO83" s="21"/>
      <c r="UP83" s="21"/>
      <c r="UQ83" s="21"/>
      <c r="UR83" s="21"/>
      <c r="US83" s="21"/>
      <c r="UT83" s="21"/>
      <c r="UU83" s="21"/>
      <c r="UV83" s="21"/>
      <c r="UW83" s="21"/>
      <c r="UX83" s="21"/>
      <c r="UY83" s="21"/>
      <c r="UZ83" s="21"/>
      <c r="VA83" s="21"/>
      <c r="VB83" s="21"/>
      <c r="VC83" s="21"/>
      <c r="VD83" s="21"/>
      <c r="VE83" s="21"/>
      <c r="VF83" s="21"/>
      <c r="VG83" s="21"/>
      <c r="VH83" s="21"/>
      <c r="VI83" s="21"/>
      <c r="VJ83" s="21"/>
      <c r="VK83" s="21"/>
      <c r="VL83" s="21"/>
      <c r="VM83" s="21"/>
      <c r="VN83" s="21"/>
      <c r="VO83" s="21"/>
      <c r="VP83" s="21"/>
      <c r="VQ83" s="21"/>
      <c r="VR83" s="21"/>
      <c r="VS83" s="21"/>
      <c r="VT83" s="21"/>
      <c r="VU83" s="21"/>
      <c r="VV83" s="21"/>
      <c r="VW83" s="21"/>
      <c r="VX83" s="21"/>
      <c r="VY83" s="21"/>
      <c r="VZ83" s="21"/>
      <c r="WA83" s="21"/>
      <c r="WB83" s="21"/>
      <c r="WC83" s="21"/>
      <c r="WD83" s="21"/>
      <c r="WE83" s="21"/>
      <c r="WF83" s="21"/>
      <c r="WG83" s="21"/>
      <c r="WH83" s="21"/>
      <c r="WI83" s="21"/>
      <c r="WJ83" s="21"/>
      <c r="WK83" s="21"/>
      <c r="WL83" s="21"/>
      <c r="WM83" s="21"/>
      <c r="WN83" s="21"/>
      <c r="WO83" s="21"/>
      <c r="WP83" s="21"/>
      <c r="WQ83" s="21"/>
      <c r="WR83" s="21"/>
      <c r="WS83" s="21"/>
      <c r="WT83" s="21"/>
      <c r="WU83" s="21"/>
      <c r="WV83" s="21"/>
      <c r="WW83" s="21"/>
      <c r="WX83" s="21"/>
      <c r="WY83" s="21"/>
      <c r="WZ83" s="21"/>
      <c r="XA83" s="21"/>
      <c r="XB83" s="21"/>
      <c r="XC83" s="21"/>
      <c r="XD83" s="21"/>
      <c r="XE83" s="21"/>
      <c r="XF83" s="21"/>
      <c r="XG83" s="21"/>
      <c r="XH83" s="21"/>
      <c r="XI83" s="21"/>
      <c r="XJ83" s="21"/>
      <c r="XK83" s="21"/>
      <c r="XL83" s="21"/>
      <c r="XM83" s="21"/>
      <c r="XN83" s="21"/>
      <c r="XO83" s="21"/>
      <c r="XP83" s="21"/>
      <c r="XQ83" s="21"/>
      <c r="XR83" s="21"/>
      <c r="XS83" s="21"/>
      <c r="XT83" s="21"/>
      <c r="XU83" s="21"/>
      <c r="XV83" s="21"/>
      <c r="XW83" s="21"/>
      <c r="XX83" s="21"/>
      <c r="XY83" s="21"/>
      <c r="XZ83" s="21"/>
      <c r="YA83" s="21"/>
      <c r="YB83" s="21"/>
      <c r="YC83" s="21"/>
      <c r="YD83" s="21"/>
      <c r="YE83" s="21"/>
      <c r="YF83" s="21"/>
      <c r="YG83" s="21"/>
      <c r="YH83" s="21"/>
      <c r="YI83" s="21"/>
      <c r="YJ83" s="21"/>
      <c r="YK83" s="21"/>
      <c r="YL83" s="21"/>
      <c r="YM83" s="21"/>
      <c r="YN83" s="21"/>
      <c r="YO83" s="21"/>
      <c r="YP83" s="21"/>
      <c r="YQ83" s="21"/>
      <c r="YR83" s="21"/>
      <c r="YS83" s="21"/>
      <c r="YT83" s="21"/>
      <c r="YU83" s="21"/>
      <c r="YV83" s="21"/>
      <c r="YW83" s="21"/>
      <c r="YX83" s="21"/>
      <c r="YY83" s="21"/>
      <c r="YZ83" s="21"/>
      <c r="ZA83" s="21"/>
      <c r="ZB83" s="21"/>
      <c r="ZC83" s="21"/>
      <c r="ZD83" s="21"/>
      <c r="ZE83" s="21"/>
      <c r="ZF83" s="21"/>
      <c r="ZG83" s="21"/>
      <c r="ZH83" s="21"/>
      <c r="ZI83" s="21"/>
      <c r="ZJ83" s="21"/>
      <c r="ZK83" s="21"/>
      <c r="ZL83" s="21"/>
      <c r="ZM83" s="21"/>
      <c r="ZN83" s="21"/>
      <c r="ZO83" s="21"/>
      <c r="ZP83" s="21"/>
      <c r="ZQ83" s="21"/>
      <c r="ZR83" s="21"/>
      <c r="ZS83" s="21"/>
      <c r="ZT83" s="21"/>
      <c r="ZU83" s="21"/>
      <c r="ZV83" s="21"/>
      <c r="ZW83" s="21"/>
      <c r="ZX83" s="21"/>
      <c r="ZY83" s="21"/>
      <c r="ZZ83" s="21"/>
      <c r="AAA83" s="21"/>
      <c r="AAB83" s="21"/>
      <c r="AAC83" s="21"/>
      <c r="AAD83" s="21"/>
      <c r="AAE83" s="21"/>
      <c r="AAF83" s="21"/>
      <c r="AAG83" s="21"/>
      <c r="AAH83" s="21"/>
      <c r="AAI83" s="21"/>
      <c r="AAJ83" s="21"/>
      <c r="AAK83" s="21"/>
      <c r="AAL83" s="21"/>
      <c r="AAM83" s="21"/>
      <c r="AAN83" s="21"/>
      <c r="AAO83" s="21"/>
      <c r="AAP83" s="21"/>
      <c r="AAQ83" s="21"/>
      <c r="AAR83" s="21"/>
      <c r="AAS83" s="21"/>
      <c r="AAT83" s="21"/>
      <c r="AAU83" s="21"/>
      <c r="AAV83" s="21"/>
      <c r="AAW83" s="21"/>
      <c r="AAX83" s="21"/>
      <c r="AAY83" s="21"/>
      <c r="AAZ83" s="21"/>
      <c r="ABA83" s="21"/>
      <c r="ABB83" s="21"/>
      <c r="ABC83" s="21"/>
      <c r="ABD83" s="21"/>
      <c r="ABE83" s="21"/>
      <c r="ABF83" s="21"/>
      <c r="ABG83" s="21"/>
      <c r="ABH83" s="21"/>
      <c r="ABI83" s="21"/>
      <c r="ABJ83" s="21"/>
      <c r="ABK83" s="21"/>
      <c r="ABL83" s="21"/>
      <c r="ABM83" s="21"/>
      <c r="ABN83" s="21"/>
      <c r="ABO83" s="21"/>
      <c r="ABP83" s="21"/>
      <c r="ABQ83" s="21"/>
      <c r="ABR83" s="21"/>
      <c r="ABS83" s="21"/>
      <c r="ABT83" s="21"/>
      <c r="ABU83" s="21"/>
      <c r="ABV83" s="21"/>
      <c r="ABW83" s="21"/>
      <c r="ABX83" s="21"/>
      <c r="ABY83" s="21"/>
      <c r="ABZ83" s="21"/>
      <c r="ACA83" s="21"/>
      <c r="ACB83" s="21"/>
      <c r="ACC83" s="21"/>
      <c r="ACD83" s="21"/>
      <c r="ACE83" s="21"/>
      <c r="ACF83" s="21"/>
      <c r="ACG83" s="21"/>
      <c r="ACH83" s="21"/>
      <c r="ACI83" s="21"/>
      <c r="ACJ83" s="21"/>
      <c r="ACK83" s="21"/>
      <c r="ACL83" s="21"/>
      <c r="ACM83" s="21"/>
      <c r="ACN83" s="21"/>
      <c r="ACO83" s="21"/>
      <c r="ACP83" s="21"/>
      <c r="ACQ83" s="21"/>
      <c r="ACR83" s="21"/>
      <c r="ACS83" s="21"/>
      <c r="ACT83" s="21"/>
      <c r="ACU83" s="21"/>
      <c r="ACV83" s="21"/>
      <c r="ACW83" s="21"/>
      <c r="ACX83" s="21"/>
      <c r="ACY83" s="21"/>
      <c r="ACZ83" s="21"/>
      <c r="ADA83" s="21"/>
      <c r="ADB83" s="21"/>
      <c r="ADC83" s="21"/>
      <c r="ADD83" s="21"/>
      <c r="ADE83" s="21"/>
      <c r="ADF83" s="21"/>
      <c r="ADG83" s="21"/>
      <c r="ADH83" s="21"/>
      <c r="ADI83" s="21"/>
      <c r="ADJ83" s="21"/>
      <c r="ADK83" s="21"/>
      <c r="ADL83" s="21"/>
      <c r="ADM83" s="21"/>
      <c r="ADN83" s="21"/>
      <c r="ADO83" s="21"/>
      <c r="ADP83" s="21"/>
      <c r="ADQ83" s="21"/>
      <c r="ADR83" s="21"/>
      <c r="ADS83" s="21"/>
      <c r="ADT83" s="21"/>
      <c r="ADU83" s="21"/>
      <c r="ADV83" s="21"/>
      <c r="ADW83" s="21"/>
      <c r="ADX83" s="21"/>
      <c r="ADY83" s="21"/>
      <c r="ADZ83" s="21"/>
      <c r="AEA83" s="21"/>
      <c r="AEB83" s="21"/>
      <c r="AEC83" s="21"/>
      <c r="AED83" s="21"/>
      <c r="AEE83" s="21"/>
      <c r="AEF83" s="21"/>
      <c r="AEG83" s="21"/>
      <c r="AEH83" s="21"/>
      <c r="AEI83" s="21"/>
      <c r="AEJ83" s="21"/>
      <c r="AEK83" s="21"/>
      <c r="AEL83" s="21"/>
      <c r="AEM83" s="21"/>
      <c r="AEN83" s="21"/>
      <c r="AEO83" s="21"/>
      <c r="AEP83" s="21"/>
      <c r="AEQ83" s="21"/>
      <c r="AER83" s="21"/>
      <c r="AES83" s="21"/>
      <c r="AET83" s="21"/>
      <c r="AEU83" s="21"/>
      <c r="AEV83" s="21"/>
      <c r="AEW83" s="21"/>
      <c r="AEX83" s="21"/>
      <c r="AEY83" s="21"/>
      <c r="AEZ83" s="21"/>
      <c r="AFA83" s="21"/>
      <c r="AFB83" s="21"/>
      <c r="AFC83" s="21"/>
      <c r="AFD83" s="21"/>
      <c r="AFE83" s="21"/>
      <c r="AFF83" s="21"/>
      <c r="AFG83" s="21"/>
      <c r="AFH83" s="21"/>
      <c r="AFI83" s="21"/>
      <c r="AFJ83" s="21"/>
      <c r="AFK83" s="21"/>
      <c r="AFL83" s="21"/>
      <c r="AFM83" s="21"/>
      <c r="AFN83" s="21"/>
      <c r="AFO83" s="21"/>
      <c r="AFP83" s="21"/>
      <c r="AFQ83" s="21"/>
      <c r="AFR83" s="21"/>
      <c r="AFS83" s="21"/>
      <c r="AFT83" s="21"/>
      <c r="AFU83" s="21"/>
      <c r="AFV83" s="21"/>
      <c r="AFW83" s="21"/>
      <c r="AFX83" s="21"/>
      <c r="AFY83" s="21"/>
      <c r="AFZ83" s="21"/>
      <c r="AGA83" s="21"/>
      <c r="AGB83" s="21"/>
      <c r="AGC83" s="21"/>
      <c r="AGD83" s="21"/>
      <c r="AGE83" s="21"/>
      <c r="AGF83" s="21"/>
      <c r="AGG83" s="21"/>
      <c r="AGH83" s="21"/>
      <c r="AGI83" s="21"/>
      <c r="AGJ83" s="21"/>
      <c r="AGK83" s="21"/>
      <c r="AGL83" s="21"/>
      <c r="AGM83" s="21"/>
      <c r="AGN83" s="21"/>
      <c r="AGO83" s="21"/>
      <c r="AGP83" s="21"/>
      <c r="AGQ83" s="21"/>
      <c r="AGR83" s="21"/>
      <c r="AGS83" s="21"/>
    </row>
    <row r="84" spans="1:877" ht="13">
      <c r="A84" s="12"/>
      <c r="B84" s="70" t="s">
        <v>51</v>
      </c>
      <c r="C84" s="71">
        <v>1500000</v>
      </c>
      <c r="D84" s="72">
        <v>46935</v>
      </c>
      <c r="E84" s="73">
        <v>9</v>
      </c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>
        <v>1500000</v>
      </c>
      <c r="AR84" s="27">
        <v>1500000</v>
      </c>
      <c r="AS84" s="27">
        <v>1500000</v>
      </c>
      <c r="AT84" s="27">
        <v>1500000</v>
      </c>
      <c r="AU84" s="27">
        <v>1500000</v>
      </c>
      <c r="AV84" s="27">
        <v>1500000</v>
      </c>
      <c r="AW84" s="27">
        <v>1500000</v>
      </c>
      <c r="AX84" s="27">
        <v>1500000</v>
      </c>
      <c r="AY84" s="27">
        <v>1500000</v>
      </c>
      <c r="AZ84" s="27">
        <v>1500000</v>
      </c>
      <c r="BA84" s="27">
        <v>1500000</v>
      </c>
      <c r="BB84" s="27">
        <v>1500000</v>
      </c>
      <c r="BC84" s="27">
        <v>1500000</v>
      </c>
      <c r="BD84" s="27">
        <v>1500000</v>
      </c>
      <c r="BE84" s="27">
        <v>1500000</v>
      </c>
      <c r="BF84" s="27">
        <v>1500000</v>
      </c>
      <c r="BG84" s="27">
        <v>1500000</v>
      </c>
      <c r="BH84" s="27">
        <v>1500000</v>
      </c>
      <c r="BI84" s="27">
        <v>1500000</v>
      </c>
      <c r="BJ84" s="27">
        <v>1500000</v>
      </c>
      <c r="BK84" s="27">
        <v>1500000</v>
      </c>
      <c r="BL84" s="27">
        <v>1500000</v>
      </c>
      <c r="BM84" s="27">
        <v>1500000</v>
      </c>
      <c r="BN84" s="27">
        <v>1500000</v>
      </c>
      <c r="BO84" s="27">
        <v>1500000</v>
      </c>
      <c r="BP84" s="27">
        <v>1500000</v>
      </c>
      <c r="BQ84" s="27">
        <v>1500000</v>
      </c>
      <c r="BR84" s="27">
        <v>1500000</v>
      </c>
      <c r="BS84" s="27">
        <v>1500000</v>
      </c>
      <c r="BT84" s="27">
        <v>1500000</v>
      </c>
      <c r="BU84" s="27">
        <v>1500000</v>
      </c>
      <c r="BV84" s="27">
        <v>1500000</v>
      </c>
      <c r="BW84" s="27">
        <v>1500000</v>
      </c>
      <c r="BX84" s="27">
        <v>1500000</v>
      </c>
      <c r="BY84" s="27">
        <v>1500000</v>
      </c>
      <c r="BZ84" s="27">
        <v>1500000</v>
      </c>
      <c r="CA84" s="27">
        <v>1500000</v>
      </c>
      <c r="CB84" s="27">
        <v>1500000</v>
      </c>
      <c r="CC84" s="27">
        <v>1500000</v>
      </c>
      <c r="CD84" s="27">
        <v>1500000</v>
      </c>
      <c r="CE84" s="27">
        <v>1500000</v>
      </c>
      <c r="CF84" s="27">
        <v>1500000</v>
      </c>
      <c r="CG84" s="27">
        <v>1500000</v>
      </c>
      <c r="CH84" s="27">
        <v>1500000</v>
      </c>
      <c r="CI84" s="27">
        <v>1500000</v>
      </c>
      <c r="CJ84" s="27">
        <v>1500000</v>
      </c>
      <c r="CK84" s="27">
        <v>1500000</v>
      </c>
      <c r="CL84" s="27">
        <v>1500000</v>
      </c>
      <c r="CM84" s="74"/>
      <c r="CN84" s="74"/>
      <c r="CO84" s="74"/>
      <c r="CP84" s="74"/>
      <c r="CQ84" s="74"/>
      <c r="CR84" s="74"/>
      <c r="CS84" s="74"/>
      <c r="CT84" s="74"/>
      <c r="CU84" s="74"/>
      <c r="CV84" s="74"/>
      <c r="CW84" s="74"/>
      <c r="CX84" s="74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1"/>
      <c r="JV84" s="21"/>
      <c r="JW84" s="21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  <c r="KJ84" s="21"/>
      <c r="KK84" s="21"/>
      <c r="KL84" s="21"/>
      <c r="KM84" s="21"/>
      <c r="KN84" s="21"/>
      <c r="KO84" s="21"/>
      <c r="KP84" s="21"/>
      <c r="KQ84" s="21"/>
      <c r="KR84" s="21"/>
      <c r="KS84" s="21"/>
      <c r="KT84" s="21"/>
      <c r="KU84" s="21"/>
      <c r="KV84" s="21"/>
      <c r="KW84" s="21"/>
      <c r="KX84" s="21"/>
      <c r="KY84" s="21"/>
      <c r="KZ84" s="21"/>
      <c r="LA84" s="21"/>
      <c r="LB84" s="21"/>
      <c r="LC84" s="21"/>
      <c r="LD84" s="21"/>
      <c r="LE84" s="21"/>
      <c r="LF84" s="21"/>
      <c r="LG84" s="21"/>
      <c r="LH84" s="21"/>
      <c r="LI84" s="21"/>
      <c r="LJ84" s="21"/>
      <c r="LK84" s="21"/>
      <c r="LL84" s="21"/>
      <c r="LM84" s="21"/>
      <c r="LN84" s="21"/>
      <c r="LO84" s="21"/>
      <c r="LP84" s="21"/>
      <c r="LQ84" s="21"/>
      <c r="LR84" s="21"/>
      <c r="LS84" s="21"/>
      <c r="LT84" s="21"/>
      <c r="LU84" s="21"/>
      <c r="LV84" s="21"/>
      <c r="LW84" s="21"/>
      <c r="LX84" s="21"/>
      <c r="LY84" s="21"/>
      <c r="LZ84" s="21"/>
      <c r="MA84" s="21"/>
      <c r="MB84" s="21"/>
      <c r="MC84" s="21"/>
      <c r="MD84" s="21"/>
      <c r="ME84" s="21"/>
      <c r="MF84" s="21"/>
      <c r="MG84" s="21"/>
      <c r="MH84" s="21"/>
      <c r="MI84" s="21"/>
      <c r="MJ84" s="21"/>
      <c r="MK84" s="21"/>
      <c r="ML84" s="21"/>
      <c r="MM84" s="21"/>
      <c r="MN84" s="21"/>
      <c r="MO84" s="21"/>
      <c r="MP84" s="21"/>
      <c r="MQ84" s="21"/>
      <c r="MR84" s="21"/>
      <c r="MS84" s="21"/>
      <c r="MT84" s="21"/>
      <c r="MU84" s="21"/>
      <c r="MV84" s="21"/>
      <c r="MW84" s="21"/>
      <c r="MX84" s="21"/>
      <c r="MY84" s="21"/>
      <c r="MZ84" s="21"/>
      <c r="NA84" s="21"/>
      <c r="NB84" s="21"/>
      <c r="NC84" s="21"/>
      <c r="ND84" s="21"/>
      <c r="NE84" s="21"/>
      <c r="NF84" s="21"/>
      <c r="NG84" s="21"/>
      <c r="NH84" s="21"/>
      <c r="NI84" s="21"/>
      <c r="NJ84" s="21"/>
      <c r="NK84" s="21"/>
      <c r="NL84" s="21"/>
      <c r="NM84" s="21"/>
      <c r="NN84" s="21"/>
      <c r="NO84" s="21"/>
      <c r="NP84" s="21"/>
      <c r="NQ84" s="21"/>
      <c r="NR84" s="21"/>
      <c r="NS84" s="21"/>
      <c r="NT84" s="21"/>
      <c r="NU84" s="21"/>
      <c r="NV84" s="21"/>
      <c r="NW84" s="21"/>
      <c r="NX84" s="21"/>
      <c r="NY84" s="21"/>
      <c r="NZ84" s="21"/>
      <c r="OA84" s="21"/>
      <c r="OB84" s="21"/>
      <c r="OC84" s="21"/>
      <c r="OD84" s="21"/>
      <c r="OE84" s="21"/>
      <c r="OF84" s="21"/>
      <c r="OG84" s="21"/>
      <c r="OH84" s="21"/>
      <c r="OI84" s="21"/>
      <c r="OJ84" s="21"/>
      <c r="OK84" s="21"/>
      <c r="OL84" s="21"/>
      <c r="OM84" s="21"/>
      <c r="ON84" s="21"/>
      <c r="OO84" s="21"/>
      <c r="OP84" s="21"/>
      <c r="OQ84" s="21"/>
      <c r="OR84" s="21"/>
      <c r="OS84" s="21"/>
      <c r="OT84" s="21"/>
      <c r="OU84" s="21"/>
      <c r="OV84" s="21"/>
      <c r="OW84" s="21"/>
      <c r="OX84" s="21"/>
      <c r="OY84" s="21"/>
      <c r="OZ84" s="21"/>
      <c r="PA84" s="21"/>
      <c r="PB84" s="21"/>
      <c r="PC84" s="21"/>
      <c r="PD84" s="21"/>
      <c r="PE84" s="21"/>
      <c r="PF84" s="21"/>
      <c r="PG84" s="21"/>
      <c r="PH84" s="21"/>
      <c r="PI84" s="21"/>
      <c r="PJ84" s="21"/>
      <c r="PK84" s="21"/>
      <c r="PL84" s="21"/>
      <c r="PM84" s="21"/>
      <c r="PN84" s="21"/>
      <c r="PO84" s="21"/>
      <c r="PP84" s="21"/>
      <c r="PQ84" s="21"/>
      <c r="PR84" s="21"/>
      <c r="PS84" s="21"/>
      <c r="PT84" s="21"/>
      <c r="PU84" s="21"/>
      <c r="PV84" s="21"/>
      <c r="PW84" s="21"/>
      <c r="PX84" s="21"/>
      <c r="PY84" s="21"/>
      <c r="PZ84" s="21"/>
      <c r="QA84" s="21"/>
      <c r="QB84" s="21"/>
      <c r="QC84" s="21"/>
      <c r="QD84" s="21"/>
      <c r="QE84" s="21"/>
      <c r="QF84" s="21"/>
      <c r="QG84" s="21"/>
      <c r="QH84" s="21"/>
      <c r="QI84" s="21"/>
      <c r="QJ84" s="21"/>
      <c r="QK84" s="21"/>
      <c r="QL84" s="21"/>
      <c r="QM84" s="21"/>
      <c r="QN84" s="21"/>
      <c r="QO84" s="21"/>
      <c r="QP84" s="21"/>
      <c r="QQ84" s="21"/>
      <c r="QR84" s="21"/>
      <c r="QS84" s="21"/>
      <c r="QT84" s="21"/>
      <c r="QU84" s="21"/>
      <c r="QV84" s="21"/>
      <c r="QW84" s="21"/>
      <c r="QX84" s="21"/>
      <c r="QY84" s="21"/>
      <c r="QZ84" s="21"/>
      <c r="RA84" s="21"/>
      <c r="RB84" s="21"/>
      <c r="RC84" s="21"/>
      <c r="RD84" s="21"/>
      <c r="RE84" s="21"/>
      <c r="RF84" s="21"/>
      <c r="RG84" s="21"/>
      <c r="RH84" s="21"/>
      <c r="RI84" s="21"/>
      <c r="RJ84" s="21"/>
      <c r="RK84" s="21"/>
      <c r="RL84" s="21"/>
      <c r="RM84" s="21"/>
      <c r="RN84" s="21"/>
      <c r="RO84" s="21"/>
      <c r="RP84" s="21"/>
      <c r="RQ84" s="21"/>
      <c r="RR84" s="21"/>
      <c r="RS84" s="21"/>
      <c r="RT84" s="21"/>
      <c r="RU84" s="21"/>
      <c r="RV84" s="21"/>
      <c r="RW84" s="21"/>
      <c r="RX84" s="21"/>
      <c r="RY84" s="21"/>
      <c r="RZ84" s="21"/>
      <c r="SA84" s="21"/>
      <c r="SB84" s="21"/>
      <c r="SC84" s="21"/>
      <c r="SD84" s="21"/>
      <c r="SE84" s="21"/>
      <c r="SF84" s="21"/>
      <c r="SG84" s="21"/>
      <c r="SH84" s="21"/>
      <c r="SI84" s="21"/>
      <c r="SJ84" s="21"/>
      <c r="SK84" s="21"/>
      <c r="SL84" s="21"/>
      <c r="SM84" s="21"/>
      <c r="SN84" s="21"/>
      <c r="SO84" s="21"/>
      <c r="SP84" s="21"/>
      <c r="SQ84" s="21"/>
      <c r="SR84" s="21"/>
      <c r="SS84" s="21"/>
      <c r="ST84" s="21"/>
      <c r="SU84" s="21"/>
      <c r="SV84" s="21"/>
      <c r="SW84" s="21"/>
      <c r="SX84" s="21"/>
      <c r="SY84" s="21"/>
      <c r="SZ84" s="21"/>
      <c r="TA84" s="21"/>
      <c r="TB84" s="21"/>
      <c r="TC84" s="21"/>
      <c r="TD84" s="21"/>
      <c r="TE84" s="21"/>
      <c r="TF84" s="21"/>
      <c r="TG84" s="21"/>
      <c r="TH84" s="21"/>
      <c r="TI84" s="21"/>
      <c r="TJ84" s="21"/>
      <c r="TK84" s="21"/>
      <c r="TL84" s="21"/>
      <c r="TM84" s="21"/>
      <c r="TN84" s="21"/>
      <c r="TO84" s="21"/>
      <c r="TP84" s="21"/>
      <c r="TQ84" s="21"/>
      <c r="TR84" s="21"/>
      <c r="TS84" s="21"/>
      <c r="TT84" s="21"/>
      <c r="TU84" s="21"/>
      <c r="TV84" s="21"/>
      <c r="TW84" s="21"/>
      <c r="TX84" s="21"/>
      <c r="TY84" s="21"/>
      <c r="TZ84" s="21"/>
      <c r="UA84" s="21"/>
      <c r="UB84" s="21"/>
      <c r="UC84" s="21"/>
      <c r="UD84" s="21"/>
      <c r="UE84" s="21"/>
      <c r="UF84" s="21"/>
      <c r="UG84" s="21"/>
      <c r="UH84" s="21"/>
      <c r="UI84" s="21"/>
      <c r="UJ84" s="21"/>
      <c r="UK84" s="21"/>
      <c r="UL84" s="21"/>
      <c r="UM84" s="21"/>
      <c r="UN84" s="21"/>
      <c r="UO84" s="21"/>
      <c r="UP84" s="21"/>
      <c r="UQ84" s="21"/>
      <c r="UR84" s="21"/>
      <c r="US84" s="21"/>
      <c r="UT84" s="21"/>
      <c r="UU84" s="21"/>
      <c r="UV84" s="21"/>
      <c r="UW84" s="21"/>
      <c r="UX84" s="21"/>
      <c r="UY84" s="21"/>
      <c r="UZ84" s="21"/>
      <c r="VA84" s="21"/>
      <c r="VB84" s="21"/>
      <c r="VC84" s="21"/>
      <c r="VD84" s="21"/>
      <c r="VE84" s="21"/>
      <c r="VF84" s="21"/>
      <c r="VG84" s="21"/>
      <c r="VH84" s="21"/>
      <c r="VI84" s="21"/>
      <c r="VJ84" s="21"/>
      <c r="VK84" s="21"/>
      <c r="VL84" s="21"/>
      <c r="VM84" s="21"/>
      <c r="VN84" s="21"/>
      <c r="VO84" s="21"/>
      <c r="VP84" s="21"/>
      <c r="VQ84" s="21"/>
      <c r="VR84" s="21"/>
      <c r="VS84" s="21"/>
      <c r="VT84" s="21"/>
      <c r="VU84" s="21"/>
      <c r="VV84" s="21"/>
      <c r="VW84" s="21"/>
      <c r="VX84" s="21"/>
      <c r="VY84" s="21"/>
      <c r="VZ84" s="21"/>
      <c r="WA84" s="21"/>
      <c r="WB84" s="21"/>
      <c r="WC84" s="21"/>
      <c r="WD84" s="21"/>
      <c r="WE84" s="21"/>
      <c r="WF84" s="21"/>
      <c r="WG84" s="21"/>
      <c r="WH84" s="21"/>
      <c r="WI84" s="21"/>
      <c r="WJ84" s="21"/>
      <c r="WK84" s="21"/>
      <c r="WL84" s="21"/>
      <c r="WM84" s="21"/>
      <c r="WN84" s="21"/>
      <c r="WO84" s="21"/>
      <c r="WP84" s="21"/>
      <c r="WQ84" s="21"/>
      <c r="WR84" s="21"/>
      <c r="WS84" s="21"/>
      <c r="WT84" s="21"/>
      <c r="WU84" s="21"/>
      <c r="WV84" s="21"/>
      <c r="WW84" s="21"/>
      <c r="WX84" s="21"/>
      <c r="WY84" s="21"/>
      <c r="WZ84" s="21"/>
      <c r="XA84" s="21"/>
      <c r="XB84" s="21"/>
      <c r="XC84" s="21"/>
      <c r="XD84" s="21"/>
      <c r="XE84" s="21"/>
      <c r="XF84" s="21"/>
      <c r="XG84" s="21"/>
      <c r="XH84" s="21"/>
      <c r="XI84" s="21"/>
      <c r="XJ84" s="21"/>
      <c r="XK84" s="21"/>
      <c r="XL84" s="21"/>
      <c r="XM84" s="21"/>
      <c r="XN84" s="21"/>
      <c r="XO84" s="21"/>
      <c r="XP84" s="21"/>
      <c r="XQ84" s="21"/>
      <c r="XR84" s="21"/>
      <c r="XS84" s="21"/>
      <c r="XT84" s="21"/>
      <c r="XU84" s="21"/>
      <c r="XV84" s="21"/>
      <c r="XW84" s="21"/>
      <c r="XX84" s="21"/>
      <c r="XY84" s="21"/>
      <c r="XZ84" s="21"/>
      <c r="YA84" s="21"/>
      <c r="YB84" s="21"/>
      <c r="YC84" s="21"/>
      <c r="YD84" s="21"/>
      <c r="YE84" s="21"/>
      <c r="YF84" s="21"/>
      <c r="YG84" s="21"/>
      <c r="YH84" s="21"/>
      <c r="YI84" s="21"/>
      <c r="YJ84" s="21"/>
      <c r="YK84" s="21"/>
      <c r="YL84" s="21"/>
      <c r="YM84" s="21"/>
      <c r="YN84" s="21"/>
      <c r="YO84" s="21"/>
      <c r="YP84" s="21"/>
      <c r="YQ84" s="21"/>
      <c r="YR84" s="21"/>
      <c r="YS84" s="21"/>
      <c r="YT84" s="21"/>
      <c r="YU84" s="21"/>
      <c r="YV84" s="21"/>
      <c r="YW84" s="21"/>
      <c r="YX84" s="21"/>
      <c r="YY84" s="21"/>
      <c r="YZ84" s="21"/>
      <c r="ZA84" s="21"/>
      <c r="ZB84" s="21"/>
      <c r="ZC84" s="21"/>
      <c r="ZD84" s="21"/>
      <c r="ZE84" s="21"/>
      <c r="ZF84" s="21"/>
      <c r="ZG84" s="21"/>
      <c r="ZH84" s="21"/>
      <c r="ZI84" s="21"/>
      <c r="ZJ84" s="21"/>
      <c r="ZK84" s="21"/>
      <c r="ZL84" s="21"/>
      <c r="ZM84" s="21"/>
      <c r="ZN84" s="21"/>
      <c r="ZO84" s="21"/>
      <c r="ZP84" s="21"/>
      <c r="ZQ84" s="21"/>
      <c r="ZR84" s="21"/>
      <c r="ZS84" s="21"/>
      <c r="ZT84" s="21"/>
      <c r="ZU84" s="21"/>
      <c r="ZV84" s="21"/>
      <c r="ZW84" s="21"/>
      <c r="ZX84" s="21"/>
      <c r="ZY84" s="21"/>
      <c r="ZZ84" s="21"/>
      <c r="AAA84" s="21"/>
      <c r="AAB84" s="21"/>
      <c r="AAC84" s="21"/>
      <c r="AAD84" s="21"/>
      <c r="AAE84" s="21"/>
      <c r="AAF84" s="21"/>
      <c r="AAG84" s="21"/>
      <c r="AAH84" s="21"/>
      <c r="AAI84" s="21"/>
      <c r="AAJ84" s="21"/>
      <c r="AAK84" s="21"/>
      <c r="AAL84" s="21"/>
      <c r="AAM84" s="21"/>
      <c r="AAN84" s="21"/>
      <c r="AAO84" s="21"/>
      <c r="AAP84" s="21"/>
      <c r="AAQ84" s="21"/>
      <c r="AAR84" s="21"/>
      <c r="AAS84" s="21"/>
      <c r="AAT84" s="21"/>
      <c r="AAU84" s="21"/>
      <c r="AAV84" s="21"/>
      <c r="AAW84" s="21"/>
      <c r="AAX84" s="21"/>
      <c r="AAY84" s="21"/>
      <c r="AAZ84" s="21"/>
      <c r="ABA84" s="21"/>
      <c r="ABB84" s="21"/>
      <c r="ABC84" s="21"/>
      <c r="ABD84" s="21"/>
      <c r="ABE84" s="21"/>
      <c r="ABF84" s="21"/>
      <c r="ABG84" s="21"/>
      <c r="ABH84" s="21"/>
      <c r="ABI84" s="21"/>
      <c r="ABJ84" s="21"/>
      <c r="ABK84" s="21"/>
      <c r="ABL84" s="21"/>
      <c r="ABM84" s="21"/>
      <c r="ABN84" s="21"/>
      <c r="ABO84" s="21"/>
      <c r="ABP84" s="21"/>
      <c r="ABQ84" s="21"/>
      <c r="ABR84" s="21"/>
      <c r="ABS84" s="21"/>
      <c r="ABT84" s="21"/>
      <c r="ABU84" s="21"/>
      <c r="ABV84" s="21"/>
      <c r="ABW84" s="21"/>
      <c r="ABX84" s="21"/>
      <c r="ABY84" s="21"/>
      <c r="ABZ84" s="21"/>
      <c r="ACA84" s="21"/>
      <c r="ACB84" s="21"/>
      <c r="ACC84" s="21"/>
      <c r="ACD84" s="21"/>
      <c r="ACE84" s="21"/>
      <c r="ACF84" s="21"/>
      <c r="ACG84" s="21"/>
      <c r="ACH84" s="21"/>
      <c r="ACI84" s="21"/>
      <c r="ACJ84" s="21"/>
      <c r="ACK84" s="21"/>
      <c r="ACL84" s="21"/>
      <c r="ACM84" s="21"/>
      <c r="ACN84" s="21"/>
      <c r="ACO84" s="21"/>
      <c r="ACP84" s="21"/>
      <c r="ACQ84" s="21"/>
      <c r="ACR84" s="21"/>
      <c r="ACS84" s="21"/>
      <c r="ACT84" s="21"/>
      <c r="ACU84" s="21"/>
      <c r="ACV84" s="21"/>
      <c r="ACW84" s="21"/>
      <c r="ACX84" s="21"/>
      <c r="ACY84" s="21"/>
      <c r="ACZ84" s="21"/>
      <c r="ADA84" s="21"/>
      <c r="ADB84" s="21"/>
      <c r="ADC84" s="21"/>
      <c r="ADD84" s="21"/>
      <c r="ADE84" s="21"/>
      <c r="ADF84" s="21"/>
      <c r="ADG84" s="21"/>
      <c r="ADH84" s="21"/>
      <c r="ADI84" s="21"/>
      <c r="ADJ84" s="21"/>
      <c r="ADK84" s="21"/>
      <c r="ADL84" s="21"/>
      <c r="ADM84" s="21"/>
      <c r="ADN84" s="21"/>
      <c r="ADO84" s="21"/>
      <c r="ADP84" s="21"/>
      <c r="ADQ84" s="21"/>
      <c r="ADR84" s="21"/>
      <c r="ADS84" s="21"/>
      <c r="ADT84" s="21"/>
      <c r="ADU84" s="21"/>
      <c r="ADV84" s="21"/>
      <c r="ADW84" s="21"/>
      <c r="ADX84" s="21"/>
      <c r="ADY84" s="21"/>
      <c r="ADZ84" s="21"/>
      <c r="AEA84" s="21"/>
      <c r="AEB84" s="21"/>
      <c r="AEC84" s="21"/>
      <c r="AED84" s="21"/>
      <c r="AEE84" s="21"/>
      <c r="AEF84" s="21"/>
      <c r="AEG84" s="21"/>
      <c r="AEH84" s="21"/>
      <c r="AEI84" s="21"/>
      <c r="AEJ84" s="21"/>
      <c r="AEK84" s="21"/>
      <c r="AEL84" s="21"/>
      <c r="AEM84" s="21"/>
      <c r="AEN84" s="21"/>
      <c r="AEO84" s="21"/>
      <c r="AEP84" s="21"/>
      <c r="AEQ84" s="21"/>
      <c r="AER84" s="21"/>
      <c r="AES84" s="21"/>
      <c r="AET84" s="21"/>
      <c r="AEU84" s="21"/>
      <c r="AEV84" s="21"/>
      <c r="AEW84" s="21"/>
      <c r="AEX84" s="21"/>
      <c r="AEY84" s="21"/>
      <c r="AEZ84" s="21"/>
      <c r="AFA84" s="21"/>
      <c r="AFB84" s="21"/>
      <c r="AFC84" s="21"/>
      <c r="AFD84" s="21"/>
      <c r="AFE84" s="21"/>
      <c r="AFF84" s="21"/>
      <c r="AFG84" s="21"/>
      <c r="AFH84" s="21"/>
      <c r="AFI84" s="21"/>
      <c r="AFJ84" s="21"/>
      <c r="AFK84" s="21"/>
      <c r="AFL84" s="21"/>
      <c r="AFM84" s="21"/>
      <c r="AFN84" s="21"/>
      <c r="AFO84" s="21"/>
      <c r="AFP84" s="21"/>
      <c r="AFQ84" s="21"/>
      <c r="AFR84" s="21"/>
      <c r="AFS84" s="21"/>
      <c r="AFT84" s="21"/>
      <c r="AFU84" s="21"/>
      <c r="AFV84" s="21"/>
      <c r="AFW84" s="21"/>
      <c r="AFX84" s="21"/>
      <c r="AFY84" s="21"/>
      <c r="AFZ84" s="21"/>
      <c r="AGA84" s="21"/>
      <c r="AGB84" s="21"/>
      <c r="AGC84" s="21"/>
      <c r="AGD84" s="21"/>
      <c r="AGE84" s="21"/>
      <c r="AGF84" s="21"/>
      <c r="AGG84" s="21"/>
      <c r="AGH84" s="21"/>
      <c r="AGI84" s="21"/>
      <c r="AGJ84" s="21"/>
      <c r="AGK84" s="21"/>
      <c r="AGL84" s="21"/>
      <c r="AGM84" s="21"/>
      <c r="AGN84" s="21"/>
      <c r="AGO84" s="21"/>
      <c r="AGP84" s="21"/>
      <c r="AGQ84" s="21"/>
      <c r="AGR84" s="21"/>
      <c r="AGS84" s="21"/>
    </row>
    <row r="85" spans="1:877" ht="13">
      <c r="A85" s="12"/>
      <c r="B85" s="70" t="s">
        <v>52</v>
      </c>
      <c r="C85" s="71">
        <v>3240000</v>
      </c>
      <c r="D85" s="72">
        <v>46569</v>
      </c>
      <c r="E85" s="73">
        <v>9</v>
      </c>
      <c r="F85" s="27"/>
      <c r="G85" s="27">
        <f t="shared" ref="G85:AD85" si="31">IF(G$4&gt;=$D85,$C85,0)</f>
        <v>0</v>
      </c>
      <c r="H85" s="27">
        <f t="shared" si="31"/>
        <v>0</v>
      </c>
      <c r="I85" s="27">
        <f t="shared" si="31"/>
        <v>0</v>
      </c>
      <c r="J85" s="27">
        <f t="shared" si="31"/>
        <v>0</v>
      </c>
      <c r="K85" s="27">
        <f t="shared" si="31"/>
        <v>0</v>
      </c>
      <c r="L85" s="27">
        <f t="shared" si="31"/>
        <v>0</v>
      </c>
      <c r="M85" s="27">
        <f t="shared" si="31"/>
        <v>0</v>
      </c>
      <c r="N85" s="27">
        <f t="shared" si="31"/>
        <v>0</v>
      </c>
      <c r="O85" s="27">
        <f t="shared" si="31"/>
        <v>0</v>
      </c>
      <c r="P85" s="27">
        <f t="shared" si="31"/>
        <v>0</v>
      </c>
      <c r="Q85" s="27">
        <f t="shared" si="31"/>
        <v>0</v>
      </c>
      <c r="R85" s="27">
        <f t="shared" si="31"/>
        <v>0</v>
      </c>
      <c r="S85" s="27">
        <f t="shared" si="31"/>
        <v>0</v>
      </c>
      <c r="T85" s="27">
        <f t="shared" si="31"/>
        <v>0</v>
      </c>
      <c r="U85" s="27">
        <f t="shared" si="31"/>
        <v>0</v>
      </c>
      <c r="V85" s="27">
        <f t="shared" si="31"/>
        <v>0</v>
      </c>
      <c r="W85" s="27">
        <f t="shared" si="31"/>
        <v>0</v>
      </c>
      <c r="X85" s="27">
        <f t="shared" si="31"/>
        <v>0</v>
      </c>
      <c r="Y85" s="27">
        <f t="shared" si="31"/>
        <v>0</v>
      </c>
      <c r="Z85" s="27">
        <f t="shared" si="31"/>
        <v>0</v>
      </c>
      <c r="AA85" s="27">
        <f t="shared" si="31"/>
        <v>0</v>
      </c>
      <c r="AB85" s="27">
        <f t="shared" si="31"/>
        <v>0</v>
      </c>
      <c r="AC85" s="27">
        <f t="shared" si="31"/>
        <v>0</v>
      </c>
      <c r="AD85" s="27">
        <f t="shared" si="31"/>
        <v>0</v>
      </c>
      <c r="AE85" s="27">
        <v>3240000</v>
      </c>
      <c r="AF85" s="27">
        <v>3240000</v>
      </c>
      <c r="AG85" s="27">
        <v>3240000</v>
      </c>
      <c r="AH85" s="27">
        <v>3240000</v>
      </c>
      <c r="AI85" s="27">
        <v>3240000</v>
      </c>
      <c r="AJ85" s="27">
        <v>3240000</v>
      </c>
      <c r="AK85" s="27">
        <v>3240000</v>
      </c>
      <c r="AL85" s="27">
        <v>3240000</v>
      </c>
      <c r="AM85" s="27">
        <v>3240000</v>
      </c>
      <c r="AN85" s="27">
        <v>3240000</v>
      </c>
      <c r="AO85" s="27">
        <v>3240000</v>
      </c>
      <c r="AP85" s="27">
        <v>3240000</v>
      </c>
      <c r="AQ85" s="27">
        <v>3240000</v>
      </c>
      <c r="AR85" s="27">
        <v>3240000</v>
      </c>
      <c r="AS85" s="27">
        <v>3240000</v>
      </c>
      <c r="AT85" s="27">
        <v>3240000</v>
      </c>
      <c r="AU85" s="27">
        <v>3240000</v>
      </c>
      <c r="AV85" s="27">
        <v>3240000</v>
      </c>
      <c r="AW85" s="27">
        <v>3240000</v>
      </c>
      <c r="AX85" s="27">
        <v>3240000</v>
      </c>
      <c r="AY85" s="27">
        <v>3240000</v>
      </c>
      <c r="AZ85" s="27">
        <v>3240000</v>
      </c>
      <c r="BA85" s="27">
        <v>3240000</v>
      </c>
      <c r="BB85" s="27">
        <v>3240000</v>
      </c>
      <c r="BC85" s="27">
        <v>3240000</v>
      </c>
      <c r="BD85" s="27">
        <v>3240000</v>
      </c>
      <c r="BE85" s="27">
        <v>3240000</v>
      </c>
      <c r="BF85" s="27">
        <v>3240000</v>
      </c>
      <c r="BG85" s="27">
        <v>3240000</v>
      </c>
      <c r="BH85" s="27">
        <v>3240000</v>
      </c>
      <c r="BI85" s="27">
        <v>3240000</v>
      </c>
      <c r="BJ85" s="27">
        <v>3240000</v>
      </c>
      <c r="BK85" s="27">
        <v>3240000</v>
      </c>
      <c r="BL85" s="27">
        <v>3240000</v>
      </c>
      <c r="BM85" s="27">
        <v>3240000</v>
      </c>
      <c r="BN85" s="27">
        <v>3240000</v>
      </c>
      <c r="BO85" s="27">
        <v>3240000</v>
      </c>
      <c r="BP85" s="27">
        <v>3240000</v>
      </c>
      <c r="BQ85" s="27">
        <v>3240000</v>
      </c>
      <c r="BR85" s="27">
        <v>3240000</v>
      </c>
      <c r="BS85" s="27">
        <v>3240000</v>
      </c>
      <c r="BT85" s="27">
        <v>3240000</v>
      </c>
      <c r="BU85" s="27">
        <v>3240000</v>
      </c>
      <c r="BV85" s="27">
        <v>3240000</v>
      </c>
      <c r="BW85" s="27">
        <v>3240000</v>
      </c>
      <c r="BX85" s="27">
        <v>3240000</v>
      </c>
      <c r="BY85" s="27">
        <v>3240000</v>
      </c>
      <c r="BZ85" s="27">
        <v>3240000</v>
      </c>
      <c r="CA85" s="27">
        <v>3240000</v>
      </c>
      <c r="CB85" s="27">
        <v>3240000</v>
      </c>
      <c r="CC85" s="27">
        <v>3240000</v>
      </c>
      <c r="CD85" s="27">
        <v>3240000</v>
      </c>
      <c r="CE85" s="27">
        <v>3240000</v>
      </c>
      <c r="CF85" s="27">
        <v>3240000</v>
      </c>
      <c r="CG85" s="27">
        <v>3240000</v>
      </c>
      <c r="CH85" s="27">
        <v>3240000</v>
      </c>
      <c r="CI85" s="27">
        <v>3240000</v>
      </c>
      <c r="CJ85" s="27">
        <v>3240000</v>
      </c>
      <c r="CK85" s="27">
        <v>3240000</v>
      </c>
      <c r="CL85" s="27">
        <v>3240000</v>
      </c>
      <c r="CM85" s="74"/>
      <c r="CN85" s="74"/>
      <c r="CO85" s="74"/>
      <c r="CP85" s="74"/>
      <c r="CQ85" s="74"/>
      <c r="CR85" s="74"/>
      <c r="CS85" s="74"/>
      <c r="CT85" s="74"/>
      <c r="CU85" s="74"/>
      <c r="CV85" s="74"/>
      <c r="CW85" s="74"/>
      <c r="CX85" s="74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  <c r="KJ85" s="21"/>
      <c r="KK85" s="21"/>
      <c r="KL85" s="21"/>
      <c r="KM85" s="21"/>
      <c r="KN85" s="21"/>
      <c r="KO85" s="21"/>
      <c r="KP85" s="21"/>
      <c r="KQ85" s="21"/>
      <c r="KR85" s="21"/>
      <c r="KS85" s="21"/>
      <c r="KT85" s="21"/>
      <c r="KU85" s="21"/>
      <c r="KV85" s="21"/>
      <c r="KW85" s="21"/>
      <c r="KX85" s="21"/>
      <c r="KY85" s="21"/>
      <c r="KZ85" s="21"/>
      <c r="LA85" s="21"/>
      <c r="LB85" s="21"/>
      <c r="LC85" s="21"/>
      <c r="LD85" s="21"/>
      <c r="LE85" s="21"/>
      <c r="LF85" s="21"/>
      <c r="LG85" s="21"/>
      <c r="LH85" s="21"/>
      <c r="LI85" s="21"/>
      <c r="LJ85" s="21"/>
      <c r="LK85" s="21"/>
      <c r="LL85" s="21"/>
      <c r="LM85" s="21"/>
      <c r="LN85" s="21"/>
      <c r="LO85" s="21"/>
      <c r="LP85" s="21"/>
      <c r="LQ85" s="21"/>
      <c r="LR85" s="21"/>
      <c r="LS85" s="21"/>
      <c r="LT85" s="21"/>
      <c r="LU85" s="21"/>
      <c r="LV85" s="21"/>
      <c r="LW85" s="21"/>
      <c r="LX85" s="21"/>
      <c r="LY85" s="21"/>
      <c r="LZ85" s="21"/>
      <c r="MA85" s="21"/>
      <c r="MB85" s="21"/>
      <c r="MC85" s="21"/>
      <c r="MD85" s="21"/>
      <c r="ME85" s="21"/>
      <c r="MF85" s="21"/>
      <c r="MG85" s="21"/>
      <c r="MH85" s="21"/>
      <c r="MI85" s="21"/>
      <c r="MJ85" s="21"/>
      <c r="MK85" s="21"/>
      <c r="ML85" s="21"/>
      <c r="MM85" s="21"/>
      <c r="MN85" s="21"/>
      <c r="MO85" s="21"/>
      <c r="MP85" s="21"/>
      <c r="MQ85" s="21"/>
      <c r="MR85" s="21"/>
      <c r="MS85" s="21"/>
      <c r="MT85" s="21"/>
      <c r="MU85" s="21"/>
      <c r="MV85" s="21"/>
      <c r="MW85" s="21"/>
      <c r="MX85" s="21"/>
      <c r="MY85" s="21"/>
      <c r="MZ85" s="21"/>
      <c r="NA85" s="21"/>
      <c r="NB85" s="21"/>
      <c r="NC85" s="21"/>
      <c r="ND85" s="21"/>
      <c r="NE85" s="21"/>
      <c r="NF85" s="21"/>
      <c r="NG85" s="21"/>
      <c r="NH85" s="21"/>
      <c r="NI85" s="21"/>
      <c r="NJ85" s="21"/>
      <c r="NK85" s="21"/>
      <c r="NL85" s="21"/>
      <c r="NM85" s="21"/>
      <c r="NN85" s="21"/>
      <c r="NO85" s="21"/>
      <c r="NP85" s="21"/>
      <c r="NQ85" s="21"/>
      <c r="NR85" s="21"/>
      <c r="NS85" s="21"/>
      <c r="NT85" s="21"/>
      <c r="NU85" s="21"/>
      <c r="NV85" s="21"/>
      <c r="NW85" s="21"/>
      <c r="NX85" s="21"/>
      <c r="NY85" s="21"/>
      <c r="NZ85" s="21"/>
      <c r="OA85" s="21"/>
      <c r="OB85" s="21"/>
      <c r="OC85" s="21"/>
      <c r="OD85" s="21"/>
      <c r="OE85" s="21"/>
      <c r="OF85" s="21"/>
      <c r="OG85" s="21"/>
      <c r="OH85" s="21"/>
      <c r="OI85" s="21"/>
      <c r="OJ85" s="21"/>
      <c r="OK85" s="21"/>
      <c r="OL85" s="21"/>
      <c r="OM85" s="21"/>
      <c r="ON85" s="21"/>
      <c r="OO85" s="21"/>
      <c r="OP85" s="21"/>
      <c r="OQ85" s="21"/>
      <c r="OR85" s="21"/>
      <c r="OS85" s="21"/>
      <c r="OT85" s="21"/>
      <c r="OU85" s="21"/>
      <c r="OV85" s="21"/>
      <c r="OW85" s="21"/>
      <c r="OX85" s="21"/>
      <c r="OY85" s="21"/>
      <c r="OZ85" s="21"/>
      <c r="PA85" s="21"/>
      <c r="PB85" s="21"/>
      <c r="PC85" s="21"/>
      <c r="PD85" s="21"/>
      <c r="PE85" s="21"/>
      <c r="PF85" s="21"/>
      <c r="PG85" s="21"/>
      <c r="PH85" s="21"/>
      <c r="PI85" s="21"/>
      <c r="PJ85" s="21"/>
      <c r="PK85" s="21"/>
      <c r="PL85" s="21"/>
      <c r="PM85" s="21"/>
      <c r="PN85" s="21"/>
      <c r="PO85" s="21"/>
      <c r="PP85" s="21"/>
      <c r="PQ85" s="21"/>
      <c r="PR85" s="21"/>
      <c r="PS85" s="21"/>
      <c r="PT85" s="21"/>
      <c r="PU85" s="21"/>
      <c r="PV85" s="21"/>
      <c r="PW85" s="21"/>
      <c r="PX85" s="21"/>
      <c r="PY85" s="21"/>
      <c r="PZ85" s="21"/>
      <c r="QA85" s="21"/>
      <c r="QB85" s="21"/>
      <c r="QC85" s="21"/>
      <c r="QD85" s="21"/>
      <c r="QE85" s="21"/>
      <c r="QF85" s="21"/>
      <c r="QG85" s="21"/>
      <c r="QH85" s="21"/>
      <c r="QI85" s="21"/>
      <c r="QJ85" s="21"/>
      <c r="QK85" s="21"/>
      <c r="QL85" s="21"/>
      <c r="QM85" s="21"/>
      <c r="QN85" s="21"/>
      <c r="QO85" s="21"/>
      <c r="QP85" s="21"/>
      <c r="QQ85" s="21"/>
      <c r="QR85" s="21"/>
      <c r="QS85" s="21"/>
      <c r="QT85" s="21"/>
      <c r="QU85" s="21"/>
      <c r="QV85" s="21"/>
      <c r="QW85" s="21"/>
      <c r="QX85" s="21"/>
      <c r="QY85" s="21"/>
      <c r="QZ85" s="21"/>
      <c r="RA85" s="21"/>
      <c r="RB85" s="21"/>
      <c r="RC85" s="21"/>
      <c r="RD85" s="21"/>
      <c r="RE85" s="21"/>
      <c r="RF85" s="21"/>
      <c r="RG85" s="21"/>
      <c r="RH85" s="21"/>
      <c r="RI85" s="21"/>
      <c r="RJ85" s="21"/>
      <c r="RK85" s="21"/>
      <c r="RL85" s="21"/>
      <c r="RM85" s="21"/>
      <c r="RN85" s="21"/>
      <c r="RO85" s="21"/>
      <c r="RP85" s="21"/>
      <c r="RQ85" s="21"/>
      <c r="RR85" s="21"/>
      <c r="RS85" s="21"/>
      <c r="RT85" s="21"/>
      <c r="RU85" s="21"/>
      <c r="RV85" s="21"/>
      <c r="RW85" s="21"/>
      <c r="RX85" s="21"/>
      <c r="RY85" s="21"/>
      <c r="RZ85" s="21"/>
      <c r="SA85" s="21"/>
      <c r="SB85" s="21"/>
      <c r="SC85" s="21"/>
      <c r="SD85" s="21"/>
      <c r="SE85" s="21"/>
      <c r="SF85" s="21"/>
      <c r="SG85" s="21"/>
      <c r="SH85" s="21"/>
      <c r="SI85" s="21"/>
      <c r="SJ85" s="21"/>
      <c r="SK85" s="21"/>
      <c r="SL85" s="21"/>
      <c r="SM85" s="21"/>
      <c r="SN85" s="21"/>
      <c r="SO85" s="21"/>
      <c r="SP85" s="21"/>
      <c r="SQ85" s="21"/>
      <c r="SR85" s="21"/>
      <c r="SS85" s="21"/>
      <c r="ST85" s="21"/>
      <c r="SU85" s="21"/>
      <c r="SV85" s="21"/>
      <c r="SW85" s="21"/>
      <c r="SX85" s="21"/>
      <c r="SY85" s="21"/>
      <c r="SZ85" s="21"/>
      <c r="TA85" s="21"/>
      <c r="TB85" s="21"/>
      <c r="TC85" s="21"/>
      <c r="TD85" s="21"/>
      <c r="TE85" s="21"/>
      <c r="TF85" s="21"/>
      <c r="TG85" s="21"/>
      <c r="TH85" s="21"/>
      <c r="TI85" s="21"/>
      <c r="TJ85" s="21"/>
      <c r="TK85" s="21"/>
      <c r="TL85" s="21"/>
      <c r="TM85" s="21"/>
      <c r="TN85" s="21"/>
      <c r="TO85" s="21"/>
      <c r="TP85" s="21"/>
      <c r="TQ85" s="21"/>
      <c r="TR85" s="21"/>
      <c r="TS85" s="21"/>
      <c r="TT85" s="21"/>
      <c r="TU85" s="21"/>
      <c r="TV85" s="21"/>
      <c r="TW85" s="21"/>
      <c r="TX85" s="21"/>
      <c r="TY85" s="21"/>
      <c r="TZ85" s="21"/>
      <c r="UA85" s="21"/>
      <c r="UB85" s="21"/>
      <c r="UC85" s="21"/>
      <c r="UD85" s="21"/>
      <c r="UE85" s="21"/>
      <c r="UF85" s="21"/>
      <c r="UG85" s="21"/>
      <c r="UH85" s="21"/>
      <c r="UI85" s="21"/>
      <c r="UJ85" s="21"/>
      <c r="UK85" s="21"/>
      <c r="UL85" s="21"/>
      <c r="UM85" s="21"/>
      <c r="UN85" s="21"/>
      <c r="UO85" s="21"/>
      <c r="UP85" s="21"/>
      <c r="UQ85" s="21"/>
      <c r="UR85" s="21"/>
      <c r="US85" s="21"/>
      <c r="UT85" s="21"/>
      <c r="UU85" s="21"/>
      <c r="UV85" s="21"/>
      <c r="UW85" s="21"/>
      <c r="UX85" s="21"/>
      <c r="UY85" s="21"/>
      <c r="UZ85" s="21"/>
      <c r="VA85" s="21"/>
      <c r="VB85" s="21"/>
      <c r="VC85" s="21"/>
      <c r="VD85" s="21"/>
      <c r="VE85" s="21"/>
      <c r="VF85" s="21"/>
      <c r="VG85" s="21"/>
      <c r="VH85" s="21"/>
      <c r="VI85" s="21"/>
      <c r="VJ85" s="21"/>
      <c r="VK85" s="21"/>
      <c r="VL85" s="21"/>
      <c r="VM85" s="21"/>
      <c r="VN85" s="21"/>
      <c r="VO85" s="21"/>
      <c r="VP85" s="21"/>
      <c r="VQ85" s="21"/>
      <c r="VR85" s="21"/>
      <c r="VS85" s="21"/>
      <c r="VT85" s="21"/>
      <c r="VU85" s="21"/>
      <c r="VV85" s="21"/>
      <c r="VW85" s="21"/>
      <c r="VX85" s="21"/>
      <c r="VY85" s="21"/>
      <c r="VZ85" s="21"/>
      <c r="WA85" s="21"/>
      <c r="WB85" s="21"/>
      <c r="WC85" s="21"/>
      <c r="WD85" s="21"/>
      <c r="WE85" s="21"/>
      <c r="WF85" s="21"/>
      <c r="WG85" s="21"/>
      <c r="WH85" s="21"/>
      <c r="WI85" s="21"/>
      <c r="WJ85" s="21"/>
      <c r="WK85" s="21"/>
      <c r="WL85" s="21"/>
      <c r="WM85" s="21"/>
      <c r="WN85" s="21"/>
      <c r="WO85" s="21"/>
      <c r="WP85" s="21"/>
      <c r="WQ85" s="21"/>
      <c r="WR85" s="21"/>
      <c r="WS85" s="21"/>
      <c r="WT85" s="21"/>
      <c r="WU85" s="21"/>
      <c r="WV85" s="21"/>
      <c r="WW85" s="21"/>
      <c r="WX85" s="21"/>
      <c r="WY85" s="21"/>
      <c r="WZ85" s="21"/>
      <c r="XA85" s="21"/>
      <c r="XB85" s="21"/>
      <c r="XC85" s="21"/>
      <c r="XD85" s="21"/>
      <c r="XE85" s="21"/>
      <c r="XF85" s="21"/>
      <c r="XG85" s="21"/>
      <c r="XH85" s="21"/>
      <c r="XI85" s="21"/>
      <c r="XJ85" s="21"/>
      <c r="XK85" s="21"/>
      <c r="XL85" s="21"/>
      <c r="XM85" s="21"/>
      <c r="XN85" s="21"/>
      <c r="XO85" s="21"/>
      <c r="XP85" s="21"/>
      <c r="XQ85" s="21"/>
      <c r="XR85" s="21"/>
      <c r="XS85" s="21"/>
      <c r="XT85" s="21"/>
      <c r="XU85" s="21"/>
      <c r="XV85" s="21"/>
      <c r="XW85" s="21"/>
      <c r="XX85" s="21"/>
      <c r="XY85" s="21"/>
      <c r="XZ85" s="21"/>
      <c r="YA85" s="21"/>
      <c r="YB85" s="21"/>
      <c r="YC85" s="21"/>
      <c r="YD85" s="21"/>
      <c r="YE85" s="21"/>
      <c r="YF85" s="21"/>
      <c r="YG85" s="21"/>
      <c r="YH85" s="21"/>
      <c r="YI85" s="21"/>
      <c r="YJ85" s="21"/>
      <c r="YK85" s="21"/>
      <c r="YL85" s="21"/>
      <c r="YM85" s="21"/>
      <c r="YN85" s="21"/>
      <c r="YO85" s="21"/>
      <c r="YP85" s="21"/>
      <c r="YQ85" s="21"/>
      <c r="YR85" s="21"/>
      <c r="YS85" s="21"/>
      <c r="YT85" s="21"/>
      <c r="YU85" s="21"/>
      <c r="YV85" s="21"/>
      <c r="YW85" s="21"/>
      <c r="YX85" s="21"/>
      <c r="YY85" s="21"/>
      <c r="YZ85" s="21"/>
      <c r="ZA85" s="21"/>
      <c r="ZB85" s="21"/>
      <c r="ZC85" s="21"/>
      <c r="ZD85" s="21"/>
      <c r="ZE85" s="21"/>
      <c r="ZF85" s="21"/>
      <c r="ZG85" s="21"/>
      <c r="ZH85" s="21"/>
      <c r="ZI85" s="21"/>
      <c r="ZJ85" s="21"/>
      <c r="ZK85" s="21"/>
      <c r="ZL85" s="21"/>
      <c r="ZM85" s="21"/>
      <c r="ZN85" s="21"/>
      <c r="ZO85" s="21"/>
      <c r="ZP85" s="21"/>
      <c r="ZQ85" s="21"/>
      <c r="ZR85" s="21"/>
      <c r="ZS85" s="21"/>
      <c r="ZT85" s="21"/>
      <c r="ZU85" s="21"/>
      <c r="ZV85" s="21"/>
      <c r="ZW85" s="21"/>
      <c r="ZX85" s="21"/>
      <c r="ZY85" s="21"/>
      <c r="ZZ85" s="21"/>
      <c r="AAA85" s="21"/>
      <c r="AAB85" s="21"/>
      <c r="AAC85" s="21"/>
      <c r="AAD85" s="21"/>
      <c r="AAE85" s="21"/>
      <c r="AAF85" s="21"/>
      <c r="AAG85" s="21"/>
      <c r="AAH85" s="21"/>
      <c r="AAI85" s="21"/>
      <c r="AAJ85" s="21"/>
      <c r="AAK85" s="21"/>
      <c r="AAL85" s="21"/>
      <c r="AAM85" s="21"/>
      <c r="AAN85" s="21"/>
      <c r="AAO85" s="21"/>
      <c r="AAP85" s="21"/>
      <c r="AAQ85" s="21"/>
      <c r="AAR85" s="21"/>
      <c r="AAS85" s="21"/>
      <c r="AAT85" s="21"/>
      <c r="AAU85" s="21"/>
      <c r="AAV85" s="21"/>
      <c r="AAW85" s="21"/>
      <c r="AAX85" s="21"/>
      <c r="AAY85" s="21"/>
      <c r="AAZ85" s="21"/>
      <c r="ABA85" s="21"/>
      <c r="ABB85" s="21"/>
      <c r="ABC85" s="21"/>
      <c r="ABD85" s="21"/>
      <c r="ABE85" s="21"/>
      <c r="ABF85" s="21"/>
      <c r="ABG85" s="21"/>
      <c r="ABH85" s="21"/>
      <c r="ABI85" s="21"/>
      <c r="ABJ85" s="21"/>
      <c r="ABK85" s="21"/>
      <c r="ABL85" s="21"/>
      <c r="ABM85" s="21"/>
      <c r="ABN85" s="21"/>
      <c r="ABO85" s="21"/>
      <c r="ABP85" s="21"/>
      <c r="ABQ85" s="21"/>
      <c r="ABR85" s="21"/>
      <c r="ABS85" s="21"/>
      <c r="ABT85" s="21"/>
      <c r="ABU85" s="21"/>
      <c r="ABV85" s="21"/>
      <c r="ABW85" s="21"/>
      <c r="ABX85" s="21"/>
      <c r="ABY85" s="21"/>
      <c r="ABZ85" s="21"/>
      <c r="ACA85" s="21"/>
      <c r="ACB85" s="21"/>
      <c r="ACC85" s="21"/>
      <c r="ACD85" s="21"/>
      <c r="ACE85" s="21"/>
      <c r="ACF85" s="21"/>
      <c r="ACG85" s="21"/>
      <c r="ACH85" s="21"/>
      <c r="ACI85" s="21"/>
      <c r="ACJ85" s="21"/>
      <c r="ACK85" s="21"/>
      <c r="ACL85" s="21"/>
      <c r="ACM85" s="21"/>
      <c r="ACN85" s="21"/>
      <c r="ACO85" s="21"/>
      <c r="ACP85" s="21"/>
      <c r="ACQ85" s="21"/>
      <c r="ACR85" s="21"/>
      <c r="ACS85" s="21"/>
      <c r="ACT85" s="21"/>
      <c r="ACU85" s="21"/>
      <c r="ACV85" s="21"/>
      <c r="ACW85" s="21"/>
      <c r="ACX85" s="21"/>
      <c r="ACY85" s="21"/>
      <c r="ACZ85" s="21"/>
      <c r="ADA85" s="21"/>
      <c r="ADB85" s="21"/>
      <c r="ADC85" s="21"/>
      <c r="ADD85" s="21"/>
      <c r="ADE85" s="21"/>
      <c r="ADF85" s="21"/>
      <c r="ADG85" s="21"/>
      <c r="ADH85" s="21"/>
      <c r="ADI85" s="21"/>
      <c r="ADJ85" s="21"/>
      <c r="ADK85" s="21"/>
      <c r="ADL85" s="21"/>
      <c r="ADM85" s="21"/>
      <c r="ADN85" s="21"/>
      <c r="ADO85" s="21"/>
      <c r="ADP85" s="21"/>
      <c r="ADQ85" s="21"/>
      <c r="ADR85" s="21"/>
      <c r="ADS85" s="21"/>
      <c r="ADT85" s="21"/>
      <c r="ADU85" s="21"/>
      <c r="ADV85" s="21"/>
      <c r="ADW85" s="21"/>
      <c r="ADX85" s="21"/>
      <c r="ADY85" s="21"/>
      <c r="ADZ85" s="21"/>
      <c r="AEA85" s="21"/>
      <c r="AEB85" s="21"/>
      <c r="AEC85" s="21"/>
      <c r="AED85" s="21"/>
      <c r="AEE85" s="21"/>
      <c r="AEF85" s="21"/>
      <c r="AEG85" s="21"/>
      <c r="AEH85" s="21"/>
      <c r="AEI85" s="21"/>
      <c r="AEJ85" s="21"/>
      <c r="AEK85" s="21"/>
      <c r="AEL85" s="21"/>
      <c r="AEM85" s="21"/>
      <c r="AEN85" s="21"/>
      <c r="AEO85" s="21"/>
      <c r="AEP85" s="21"/>
      <c r="AEQ85" s="21"/>
      <c r="AER85" s="21"/>
      <c r="AES85" s="21"/>
      <c r="AET85" s="21"/>
      <c r="AEU85" s="21"/>
      <c r="AEV85" s="21"/>
      <c r="AEW85" s="21"/>
      <c r="AEX85" s="21"/>
      <c r="AEY85" s="21"/>
      <c r="AEZ85" s="21"/>
      <c r="AFA85" s="21"/>
      <c r="AFB85" s="21"/>
      <c r="AFC85" s="21"/>
      <c r="AFD85" s="21"/>
      <c r="AFE85" s="21"/>
      <c r="AFF85" s="21"/>
      <c r="AFG85" s="21"/>
      <c r="AFH85" s="21"/>
      <c r="AFI85" s="21"/>
      <c r="AFJ85" s="21"/>
      <c r="AFK85" s="21"/>
      <c r="AFL85" s="21"/>
      <c r="AFM85" s="21"/>
      <c r="AFN85" s="21"/>
      <c r="AFO85" s="21"/>
      <c r="AFP85" s="21"/>
      <c r="AFQ85" s="21"/>
      <c r="AFR85" s="21"/>
      <c r="AFS85" s="21"/>
      <c r="AFT85" s="21"/>
      <c r="AFU85" s="21"/>
      <c r="AFV85" s="21"/>
      <c r="AFW85" s="21"/>
      <c r="AFX85" s="21"/>
      <c r="AFY85" s="21"/>
      <c r="AFZ85" s="21"/>
      <c r="AGA85" s="21"/>
      <c r="AGB85" s="21"/>
      <c r="AGC85" s="21"/>
      <c r="AGD85" s="21"/>
      <c r="AGE85" s="21"/>
      <c r="AGF85" s="21"/>
      <c r="AGG85" s="21"/>
      <c r="AGH85" s="21"/>
      <c r="AGI85" s="21"/>
      <c r="AGJ85" s="21"/>
      <c r="AGK85" s="21"/>
      <c r="AGL85" s="21"/>
      <c r="AGM85" s="21"/>
      <c r="AGN85" s="21"/>
      <c r="AGO85" s="21"/>
      <c r="AGP85" s="21"/>
      <c r="AGQ85" s="21"/>
      <c r="AGR85" s="21"/>
      <c r="AGS85" s="21"/>
    </row>
    <row r="86" spans="1:877" ht="13">
      <c r="A86" s="12"/>
      <c r="B86" s="70" t="s">
        <v>53</v>
      </c>
      <c r="C86" s="71">
        <v>1500000</v>
      </c>
      <c r="D86" s="72">
        <v>46935</v>
      </c>
      <c r="E86" s="73">
        <v>9</v>
      </c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>
        <v>1500000</v>
      </c>
      <c r="AR86" s="27">
        <v>1500000</v>
      </c>
      <c r="AS86" s="27">
        <v>1500000</v>
      </c>
      <c r="AT86" s="27">
        <v>1500000</v>
      </c>
      <c r="AU86" s="27">
        <v>1500000</v>
      </c>
      <c r="AV86" s="27">
        <v>1500000</v>
      </c>
      <c r="AW86" s="27">
        <v>1500000</v>
      </c>
      <c r="AX86" s="27">
        <v>1500000</v>
      </c>
      <c r="AY86" s="27">
        <v>1500000</v>
      </c>
      <c r="AZ86" s="27">
        <v>1500000</v>
      </c>
      <c r="BA86" s="27">
        <v>1500000</v>
      </c>
      <c r="BB86" s="27">
        <v>1500000</v>
      </c>
      <c r="BC86" s="27">
        <v>1500000</v>
      </c>
      <c r="BD86" s="27">
        <v>1500000</v>
      </c>
      <c r="BE86" s="27">
        <v>1500000</v>
      </c>
      <c r="BF86" s="27">
        <v>1500000</v>
      </c>
      <c r="BG86" s="27">
        <v>1500000</v>
      </c>
      <c r="BH86" s="27">
        <v>1500000</v>
      </c>
      <c r="BI86" s="27">
        <v>1500000</v>
      </c>
      <c r="BJ86" s="27">
        <v>1500000</v>
      </c>
      <c r="BK86" s="27">
        <v>1500000</v>
      </c>
      <c r="BL86" s="27">
        <v>1500000</v>
      </c>
      <c r="BM86" s="27">
        <v>1500000</v>
      </c>
      <c r="BN86" s="27">
        <v>1500000</v>
      </c>
      <c r="BO86" s="27">
        <v>1500000</v>
      </c>
      <c r="BP86" s="27">
        <v>1500000</v>
      </c>
      <c r="BQ86" s="27">
        <v>1500000</v>
      </c>
      <c r="BR86" s="27">
        <v>1500000</v>
      </c>
      <c r="BS86" s="27">
        <v>1500000</v>
      </c>
      <c r="BT86" s="27">
        <v>1500000</v>
      </c>
      <c r="BU86" s="27">
        <v>1500000</v>
      </c>
      <c r="BV86" s="27">
        <v>1500000</v>
      </c>
      <c r="BW86" s="27">
        <v>1500000</v>
      </c>
      <c r="BX86" s="27">
        <v>1500000</v>
      </c>
      <c r="BY86" s="27">
        <v>1500000</v>
      </c>
      <c r="BZ86" s="27">
        <v>1500000</v>
      </c>
      <c r="CA86" s="27">
        <v>1500000</v>
      </c>
      <c r="CB86" s="27">
        <v>1500000</v>
      </c>
      <c r="CC86" s="27">
        <v>1500000</v>
      </c>
      <c r="CD86" s="27">
        <v>1500000</v>
      </c>
      <c r="CE86" s="27">
        <v>1500000</v>
      </c>
      <c r="CF86" s="27">
        <v>1500000</v>
      </c>
      <c r="CG86" s="27">
        <v>1500000</v>
      </c>
      <c r="CH86" s="27">
        <v>1500000</v>
      </c>
      <c r="CI86" s="27">
        <v>1500000</v>
      </c>
      <c r="CJ86" s="27">
        <v>1500000</v>
      </c>
      <c r="CK86" s="27">
        <v>1500000</v>
      </c>
      <c r="CL86" s="27">
        <v>1500000</v>
      </c>
      <c r="CM86" s="74"/>
      <c r="CN86" s="74"/>
      <c r="CO86" s="74"/>
      <c r="CP86" s="74"/>
      <c r="CQ86" s="74"/>
      <c r="CR86" s="74"/>
      <c r="CS86" s="74"/>
      <c r="CT86" s="74"/>
      <c r="CU86" s="74"/>
      <c r="CV86" s="74"/>
      <c r="CW86" s="74"/>
      <c r="CX86" s="74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21"/>
      <c r="JQ86" s="21"/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  <c r="KJ86" s="21"/>
      <c r="KK86" s="21"/>
      <c r="KL86" s="21"/>
      <c r="KM86" s="21"/>
      <c r="KN86" s="21"/>
      <c r="KO86" s="21"/>
      <c r="KP86" s="21"/>
      <c r="KQ86" s="21"/>
      <c r="KR86" s="21"/>
      <c r="KS86" s="21"/>
      <c r="KT86" s="21"/>
      <c r="KU86" s="21"/>
      <c r="KV86" s="21"/>
      <c r="KW86" s="21"/>
      <c r="KX86" s="21"/>
      <c r="KY86" s="21"/>
      <c r="KZ86" s="21"/>
      <c r="LA86" s="21"/>
      <c r="LB86" s="21"/>
      <c r="LC86" s="21"/>
      <c r="LD86" s="21"/>
      <c r="LE86" s="21"/>
      <c r="LF86" s="21"/>
      <c r="LG86" s="21"/>
      <c r="LH86" s="21"/>
      <c r="LI86" s="21"/>
      <c r="LJ86" s="21"/>
      <c r="LK86" s="21"/>
      <c r="LL86" s="21"/>
      <c r="LM86" s="21"/>
      <c r="LN86" s="21"/>
      <c r="LO86" s="21"/>
      <c r="LP86" s="21"/>
      <c r="LQ86" s="21"/>
      <c r="LR86" s="21"/>
      <c r="LS86" s="21"/>
      <c r="LT86" s="21"/>
      <c r="LU86" s="21"/>
      <c r="LV86" s="21"/>
      <c r="LW86" s="21"/>
      <c r="LX86" s="21"/>
      <c r="LY86" s="21"/>
      <c r="LZ86" s="21"/>
      <c r="MA86" s="21"/>
      <c r="MB86" s="21"/>
      <c r="MC86" s="21"/>
      <c r="MD86" s="21"/>
      <c r="ME86" s="21"/>
      <c r="MF86" s="21"/>
      <c r="MG86" s="21"/>
      <c r="MH86" s="21"/>
      <c r="MI86" s="21"/>
      <c r="MJ86" s="21"/>
      <c r="MK86" s="21"/>
      <c r="ML86" s="21"/>
      <c r="MM86" s="21"/>
      <c r="MN86" s="21"/>
      <c r="MO86" s="21"/>
      <c r="MP86" s="21"/>
      <c r="MQ86" s="21"/>
      <c r="MR86" s="21"/>
      <c r="MS86" s="21"/>
      <c r="MT86" s="21"/>
      <c r="MU86" s="21"/>
      <c r="MV86" s="21"/>
      <c r="MW86" s="21"/>
      <c r="MX86" s="21"/>
      <c r="MY86" s="21"/>
      <c r="MZ86" s="21"/>
      <c r="NA86" s="21"/>
      <c r="NB86" s="21"/>
      <c r="NC86" s="21"/>
      <c r="ND86" s="21"/>
      <c r="NE86" s="21"/>
      <c r="NF86" s="21"/>
      <c r="NG86" s="21"/>
      <c r="NH86" s="21"/>
      <c r="NI86" s="21"/>
      <c r="NJ86" s="21"/>
      <c r="NK86" s="21"/>
      <c r="NL86" s="21"/>
      <c r="NM86" s="21"/>
      <c r="NN86" s="21"/>
      <c r="NO86" s="21"/>
      <c r="NP86" s="21"/>
      <c r="NQ86" s="21"/>
      <c r="NR86" s="21"/>
      <c r="NS86" s="21"/>
      <c r="NT86" s="21"/>
      <c r="NU86" s="21"/>
      <c r="NV86" s="21"/>
      <c r="NW86" s="21"/>
      <c r="NX86" s="21"/>
      <c r="NY86" s="21"/>
      <c r="NZ86" s="21"/>
      <c r="OA86" s="21"/>
      <c r="OB86" s="21"/>
      <c r="OC86" s="21"/>
      <c r="OD86" s="21"/>
      <c r="OE86" s="21"/>
      <c r="OF86" s="21"/>
      <c r="OG86" s="21"/>
      <c r="OH86" s="21"/>
      <c r="OI86" s="21"/>
      <c r="OJ86" s="21"/>
      <c r="OK86" s="21"/>
      <c r="OL86" s="21"/>
      <c r="OM86" s="21"/>
      <c r="ON86" s="21"/>
      <c r="OO86" s="21"/>
      <c r="OP86" s="21"/>
      <c r="OQ86" s="21"/>
      <c r="OR86" s="21"/>
      <c r="OS86" s="21"/>
      <c r="OT86" s="21"/>
      <c r="OU86" s="21"/>
      <c r="OV86" s="21"/>
      <c r="OW86" s="21"/>
      <c r="OX86" s="21"/>
      <c r="OY86" s="21"/>
      <c r="OZ86" s="21"/>
      <c r="PA86" s="21"/>
      <c r="PB86" s="21"/>
      <c r="PC86" s="21"/>
      <c r="PD86" s="21"/>
      <c r="PE86" s="21"/>
      <c r="PF86" s="21"/>
      <c r="PG86" s="21"/>
      <c r="PH86" s="21"/>
      <c r="PI86" s="21"/>
      <c r="PJ86" s="21"/>
      <c r="PK86" s="21"/>
      <c r="PL86" s="21"/>
      <c r="PM86" s="21"/>
      <c r="PN86" s="21"/>
      <c r="PO86" s="21"/>
      <c r="PP86" s="21"/>
      <c r="PQ86" s="21"/>
      <c r="PR86" s="21"/>
      <c r="PS86" s="21"/>
      <c r="PT86" s="21"/>
      <c r="PU86" s="21"/>
      <c r="PV86" s="21"/>
      <c r="PW86" s="21"/>
      <c r="PX86" s="21"/>
      <c r="PY86" s="21"/>
      <c r="PZ86" s="21"/>
      <c r="QA86" s="21"/>
      <c r="QB86" s="21"/>
      <c r="QC86" s="21"/>
      <c r="QD86" s="21"/>
      <c r="QE86" s="21"/>
      <c r="QF86" s="21"/>
      <c r="QG86" s="21"/>
      <c r="QH86" s="21"/>
      <c r="QI86" s="21"/>
      <c r="QJ86" s="21"/>
      <c r="QK86" s="21"/>
      <c r="QL86" s="21"/>
      <c r="QM86" s="21"/>
      <c r="QN86" s="21"/>
      <c r="QO86" s="21"/>
      <c r="QP86" s="21"/>
      <c r="QQ86" s="21"/>
      <c r="QR86" s="21"/>
      <c r="QS86" s="21"/>
      <c r="QT86" s="21"/>
      <c r="QU86" s="21"/>
      <c r="QV86" s="21"/>
      <c r="QW86" s="21"/>
      <c r="QX86" s="21"/>
      <c r="QY86" s="21"/>
      <c r="QZ86" s="21"/>
      <c r="RA86" s="21"/>
      <c r="RB86" s="21"/>
      <c r="RC86" s="21"/>
      <c r="RD86" s="21"/>
      <c r="RE86" s="21"/>
      <c r="RF86" s="21"/>
      <c r="RG86" s="21"/>
      <c r="RH86" s="21"/>
      <c r="RI86" s="21"/>
      <c r="RJ86" s="21"/>
      <c r="RK86" s="21"/>
      <c r="RL86" s="21"/>
      <c r="RM86" s="21"/>
      <c r="RN86" s="21"/>
      <c r="RO86" s="21"/>
      <c r="RP86" s="21"/>
      <c r="RQ86" s="21"/>
      <c r="RR86" s="21"/>
      <c r="RS86" s="21"/>
      <c r="RT86" s="21"/>
      <c r="RU86" s="21"/>
      <c r="RV86" s="21"/>
      <c r="RW86" s="21"/>
      <c r="RX86" s="21"/>
      <c r="RY86" s="21"/>
      <c r="RZ86" s="21"/>
      <c r="SA86" s="21"/>
      <c r="SB86" s="21"/>
      <c r="SC86" s="21"/>
      <c r="SD86" s="21"/>
      <c r="SE86" s="21"/>
      <c r="SF86" s="21"/>
      <c r="SG86" s="21"/>
      <c r="SH86" s="21"/>
      <c r="SI86" s="21"/>
      <c r="SJ86" s="21"/>
      <c r="SK86" s="21"/>
      <c r="SL86" s="21"/>
      <c r="SM86" s="21"/>
      <c r="SN86" s="21"/>
      <c r="SO86" s="21"/>
      <c r="SP86" s="21"/>
      <c r="SQ86" s="21"/>
      <c r="SR86" s="21"/>
      <c r="SS86" s="21"/>
      <c r="ST86" s="21"/>
      <c r="SU86" s="21"/>
      <c r="SV86" s="21"/>
      <c r="SW86" s="21"/>
      <c r="SX86" s="21"/>
      <c r="SY86" s="21"/>
      <c r="SZ86" s="21"/>
      <c r="TA86" s="21"/>
      <c r="TB86" s="21"/>
      <c r="TC86" s="21"/>
      <c r="TD86" s="21"/>
      <c r="TE86" s="21"/>
      <c r="TF86" s="21"/>
      <c r="TG86" s="21"/>
      <c r="TH86" s="21"/>
      <c r="TI86" s="21"/>
      <c r="TJ86" s="21"/>
      <c r="TK86" s="21"/>
      <c r="TL86" s="21"/>
      <c r="TM86" s="21"/>
      <c r="TN86" s="21"/>
      <c r="TO86" s="21"/>
      <c r="TP86" s="21"/>
      <c r="TQ86" s="21"/>
      <c r="TR86" s="21"/>
      <c r="TS86" s="21"/>
      <c r="TT86" s="21"/>
      <c r="TU86" s="21"/>
      <c r="TV86" s="21"/>
      <c r="TW86" s="21"/>
      <c r="TX86" s="21"/>
      <c r="TY86" s="21"/>
      <c r="TZ86" s="21"/>
      <c r="UA86" s="21"/>
      <c r="UB86" s="21"/>
      <c r="UC86" s="21"/>
      <c r="UD86" s="21"/>
      <c r="UE86" s="21"/>
      <c r="UF86" s="21"/>
      <c r="UG86" s="21"/>
      <c r="UH86" s="21"/>
      <c r="UI86" s="21"/>
      <c r="UJ86" s="21"/>
      <c r="UK86" s="21"/>
      <c r="UL86" s="21"/>
      <c r="UM86" s="21"/>
      <c r="UN86" s="21"/>
      <c r="UO86" s="21"/>
      <c r="UP86" s="21"/>
      <c r="UQ86" s="21"/>
      <c r="UR86" s="21"/>
      <c r="US86" s="21"/>
      <c r="UT86" s="21"/>
      <c r="UU86" s="21"/>
      <c r="UV86" s="21"/>
      <c r="UW86" s="21"/>
      <c r="UX86" s="21"/>
      <c r="UY86" s="21"/>
      <c r="UZ86" s="21"/>
      <c r="VA86" s="21"/>
      <c r="VB86" s="21"/>
      <c r="VC86" s="21"/>
      <c r="VD86" s="21"/>
      <c r="VE86" s="21"/>
      <c r="VF86" s="21"/>
      <c r="VG86" s="21"/>
      <c r="VH86" s="21"/>
      <c r="VI86" s="21"/>
      <c r="VJ86" s="21"/>
      <c r="VK86" s="21"/>
      <c r="VL86" s="21"/>
      <c r="VM86" s="21"/>
      <c r="VN86" s="21"/>
      <c r="VO86" s="21"/>
      <c r="VP86" s="21"/>
      <c r="VQ86" s="21"/>
      <c r="VR86" s="21"/>
      <c r="VS86" s="21"/>
      <c r="VT86" s="21"/>
      <c r="VU86" s="21"/>
      <c r="VV86" s="21"/>
      <c r="VW86" s="21"/>
      <c r="VX86" s="21"/>
      <c r="VY86" s="21"/>
      <c r="VZ86" s="21"/>
      <c r="WA86" s="21"/>
      <c r="WB86" s="21"/>
      <c r="WC86" s="21"/>
      <c r="WD86" s="21"/>
      <c r="WE86" s="21"/>
      <c r="WF86" s="21"/>
      <c r="WG86" s="21"/>
      <c r="WH86" s="21"/>
      <c r="WI86" s="21"/>
      <c r="WJ86" s="21"/>
      <c r="WK86" s="21"/>
      <c r="WL86" s="21"/>
      <c r="WM86" s="21"/>
      <c r="WN86" s="21"/>
      <c r="WO86" s="21"/>
      <c r="WP86" s="21"/>
      <c r="WQ86" s="21"/>
      <c r="WR86" s="21"/>
      <c r="WS86" s="21"/>
      <c r="WT86" s="21"/>
      <c r="WU86" s="21"/>
      <c r="WV86" s="21"/>
      <c r="WW86" s="21"/>
      <c r="WX86" s="21"/>
      <c r="WY86" s="21"/>
      <c r="WZ86" s="21"/>
      <c r="XA86" s="21"/>
      <c r="XB86" s="21"/>
      <c r="XC86" s="21"/>
      <c r="XD86" s="21"/>
      <c r="XE86" s="21"/>
      <c r="XF86" s="21"/>
      <c r="XG86" s="21"/>
      <c r="XH86" s="21"/>
      <c r="XI86" s="21"/>
      <c r="XJ86" s="21"/>
      <c r="XK86" s="21"/>
      <c r="XL86" s="21"/>
      <c r="XM86" s="21"/>
      <c r="XN86" s="21"/>
      <c r="XO86" s="21"/>
      <c r="XP86" s="21"/>
      <c r="XQ86" s="21"/>
      <c r="XR86" s="21"/>
      <c r="XS86" s="21"/>
      <c r="XT86" s="21"/>
      <c r="XU86" s="21"/>
      <c r="XV86" s="21"/>
      <c r="XW86" s="21"/>
      <c r="XX86" s="21"/>
      <c r="XY86" s="21"/>
      <c r="XZ86" s="21"/>
      <c r="YA86" s="21"/>
      <c r="YB86" s="21"/>
      <c r="YC86" s="21"/>
      <c r="YD86" s="21"/>
      <c r="YE86" s="21"/>
      <c r="YF86" s="21"/>
      <c r="YG86" s="21"/>
      <c r="YH86" s="21"/>
      <c r="YI86" s="21"/>
      <c r="YJ86" s="21"/>
      <c r="YK86" s="21"/>
      <c r="YL86" s="21"/>
      <c r="YM86" s="21"/>
      <c r="YN86" s="21"/>
      <c r="YO86" s="21"/>
      <c r="YP86" s="21"/>
      <c r="YQ86" s="21"/>
      <c r="YR86" s="21"/>
      <c r="YS86" s="21"/>
      <c r="YT86" s="21"/>
      <c r="YU86" s="21"/>
      <c r="YV86" s="21"/>
      <c r="YW86" s="21"/>
      <c r="YX86" s="21"/>
      <c r="YY86" s="21"/>
      <c r="YZ86" s="21"/>
      <c r="ZA86" s="21"/>
      <c r="ZB86" s="21"/>
      <c r="ZC86" s="21"/>
      <c r="ZD86" s="21"/>
      <c r="ZE86" s="21"/>
      <c r="ZF86" s="21"/>
      <c r="ZG86" s="21"/>
      <c r="ZH86" s="21"/>
      <c r="ZI86" s="21"/>
      <c r="ZJ86" s="21"/>
      <c r="ZK86" s="21"/>
      <c r="ZL86" s="21"/>
      <c r="ZM86" s="21"/>
      <c r="ZN86" s="21"/>
      <c r="ZO86" s="21"/>
      <c r="ZP86" s="21"/>
      <c r="ZQ86" s="21"/>
      <c r="ZR86" s="21"/>
      <c r="ZS86" s="21"/>
      <c r="ZT86" s="21"/>
      <c r="ZU86" s="21"/>
      <c r="ZV86" s="21"/>
      <c r="ZW86" s="21"/>
      <c r="ZX86" s="21"/>
      <c r="ZY86" s="21"/>
      <c r="ZZ86" s="21"/>
      <c r="AAA86" s="21"/>
      <c r="AAB86" s="21"/>
      <c r="AAC86" s="21"/>
      <c r="AAD86" s="21"/>
      <c r="AAE86" s="21"/>
      <c r="AAF86" s="21"/>
      <c r="AAG86" s="21"/>
      <c r="AAH86" s="21"/>
      <c r="AAI86" s="21"/>
      <c r="AAJ86" s="21"/>
      <c r="AAK86" s="21"/>
      <c r="AAL86" s="21"/>
      <c r="AAM86" s="21"/>
      <c r="AAN86" s="21"/>
      <c r="AAO86" s="21"/>
      <c r="AAP86" s="21"/>
      <c r="AAQ86" s="21"/>
      <c r="AAR86" s="21"/>
      <c r="AAS86" s="21"/>
      <c r="AAT86" s="21"/>
      <c r="AAU86" s="21"/>
      <c r="AAV86" s="21"/>
      <c r="AAW86" s="21"/>
      <c r="AAX86" s="21"/>
      <c r="AAY86" s="21"/>
      <c r="AAZ86" s="21"/>
      <c r="ABA86" s="21"/>
      <c r="ABB86" s="21"/>
      <c r="ABC86" s="21"/>
      <c r="ABD86" s="21"/>
      <c r="ABE86" s="21"/>
      <c r="ABF86" s="21"/>
      <c r="ABG86" s="21"/>
      <c r="ABH86" s="21"/>
      <c r="ABI86" s="21"/>
      <c r="ABJ86" s="21"/>
      <c r="ABK86" s="21"/>
      <c r="ABL86" s="21"/>
      <c r="ABM86" s="21"/>
      <c r="ABN86" s="21"/>
      <c r="ABO86" s="21"/>
      <c r="ABP86" s="21"/>
      <c r="ABQ86" s="21"/>
      <c r="ABR86" s="21"/>
      <c r="ABS86" s="21"/>
      <c r="ABT86" s="21"/>
      <c r="ABU86" s="21"/>
      <c r="ABV86" s="21"/>
      <c r="ABW86" s="21"/>
      <c r="ABX86" s="21"/>
      <c r="ABY86" s="21"/>
      <c r="ABZ86" s="21"/>
      <c r="ACA86" s="21"/>
      <c r="ACB86" s="21"/>
      <c r="ACC86" s="21"/>
      <c r="ACD86" s="21"/>
      <c r="ACE86" s="21"/>
      <c r="ACF86" s="21"/>
      <c r="ACG86" s="21"/>
      <c r="ACH86" s="21"/>
      <c r="ACI86" s="21"/>
      <c r="ACJ86" s="21"/>
      <c r="ACK86" s="21"/>
      <c r="ACL86" s="21"/>
      <c r="ACM86" s="21"/>
      <c r="ACN86" s="21"/>
      <c r="ACO86" s="21"/>
      <c r="ACP86" s="21"/>
      <c r="ACQ86" s="21"/>
      <c r="ACR86" s="21"/>
      <c r="ACS86" s="21"/>
      <c r="ACT86" s="21"/>
      <c r="ACU86" s="21"/>
      <c r="ACV86" s="21"/>
      <c r="ACW86" s="21"/>
      <c r="ACX86" s="21"/>
      <c r="ACY86" s="21"/>
      <c r="ACZ86" s="21"/>
      <c r="ADA86" s="21"/>
      <c r="ADB86" s="21"/>
      <c r="ADC86" s="21"/>
      <c r="ADD86" s="21"/>
      <c r="ADE86" s="21"/>
      <c r="ADF86" s="21"/>
      <c r="ADG86" s="21"/>
      <c r="ADH86" s="21"/>
      <c r="ADI86" s="21"/>
      <c r="ADJ86" s="21"/>
      <c r="ADK86" s="21"/>
      <c r="ADL86" s="21"/>
      <c r="ADM86" s="21"/>
      <c r="ADN86" s="21"/>
      <c r="ADO86" s="21"/>
      <c r="ADP86" s="21"/>
      <c r="ADQ86" s="21"/>
      <c r="ADR86" s="21"/>
      <c r="ADS86" s="21"/>
      <c r="ADT86" s="21"/>
      <c r="ADU86" s="21"/>
      <c r="ADV86" s="21"/>
      <c r="ADW86" s="21"/>
      <c r="ADX86" s="21"/>
      <c r="ADY86" s="21"/>
      <c r="ADZ86" s="21"/>
      <c r="AEA86" s="21"/>
      <c r="AEB86" s="21"/>
      <c r="AEC86" s="21"/>
      <c r="AED86" s="21"/>
      <c r="AEE86" s="21"/>
      <c r="AEF86" s="21"/>
      <c r="AEG86" s="21"/>
      <c r="AEH86" s="21"/>
      <c r="AEI86" s="21"/>
      <c r="AEJ86" s="21"/>
      <c r="AEK86" s="21"/>
      <c r="AEL86" s="21"/>
      <c r="AEM86" s="21"/>
      <c r="AEN86" s="21"/>
      <c r="AEO86" s="21"/>
      <c r="AEP86" s="21"/>
      <c r="AEQ86" s="21"/>
      <c r="AER86" s="21"/>
      <c r="AES86" s="21"/>
      <c r="AET86" s="21"/>
      <c r="AEU86" s="21"/>
      <c r="AEV86" s="21"/>
      <c r="AEW86" s="21"/>
      <c r="AEX86" s="21"/>
      <c r="AEY86" s="21"/>
      <c r="AEZ86" s="21"/>
      <c r="AFA86" s="21"/>
      <c r="AFB86" s="21"/>
      <c r="AFC86" s="21"/>
      <c r="AFD86" s="21"/>
      <c r="AFE86" s="21"/>
      <c r="AFF86" s="21"/>
      <c r="AFG86" s="21"/>
      <c r="AFH86" s="21"/>
      <c r="AFI86" s="21"/>
      <c r="AFJ86" s="21"/>
      <c r="AFK86" s="21"/>
      <c r="AFL86" s="21"/>
      <c r="AFM86" s="21"/>
      <c r="AFN86" s="21"/>
      <c r="AFO86" s="21"/>
      <c r="AFP86" s="21"/>
      <c r="AFQ86" s="21"/>
      <c r="AFR86" s="21"/>
      <c r="AFS86" s="21"/>
      <c r="AFT86" s="21"/>
      <c r="AFU86" s="21"/>
      <c r="AFV86" s="21"/>
      <c r="AFW86" s="21"/>
      <c r="AFX86" s="21"/>
      <c r="AFY86" s="21"/>
      <c r="AFZ86" s="21"/>
      <c r="AGA86" s="21"/>
      <c r="AGB86" s="21"/>
      <c r="AGC86" s="21"/>
      <c r="AGD86" s="21"/>
      <c r="AGE86" s="21"/>
      <c r="AGF86" s="21"/>
      <c r="AGG86" s="21"/>
      <c r="AGH86" s="21"/>
      <c r="AGI86" s="21"/>
      <c r="AGJ86" s="21"/>
      <c r="AGK86" s="21"/>
      <c r="AGL86" s="21"/>
      <c r="AGM86" s="21"/>
      <c r="AGN86" s="21"/>
      <c r="AGO86" s="21"/>
      <c r="AGP86" s="21"/>
      <c r="AGQ86" s="21"/>
      <c r="AGR86" s="21"/>
      <c r="AGS86" s="21"/>
    </row>
    <row r="87" spans="1:877" ht="13">
      <c r="A87" s="12"/>
      <c r="B87" s="70" t="s">
        <v>54</v>
      </c>
      <c r="C87" s="71">
        <v>3240000</v>
      </c>
      <c r="D87" s="72">
        <v>46935</v>
      </c>
      <c r="E87" s="73">
        <v>9</v>
      </c>
      <c r="F87" s="27"/>
      <c r="G87" s="27">
        <f t="shared" ref="G87:AP87" si="32">IF(G$4&gt;=$D87,$C87,0)</f>
        <v>0</v>
      </c>
      <c r="H87" s="27">
        <f t="shared" si="32"/>
        <v>0</v>
      </c>
      <c r="I87" s="27">
        <f t="shared" si="32"/>
        <v>0</v>
      </c>
      <c r="J87" s="27">
        <f t="shared" si="32"/>
        <v>0</v>
      </c>
      <c r="K87" s="27">
        <f t="shared" si="32"/>
        <v>0</v>
      </c>
      <c r="L87" s="27">
        <f t="shared" si="32"/>
        <v>0</v>
      </c>
      <c r="M87" s="27">
        <f t="shared" si="32"/>
        <v>0</v>
      </c>
      <c r="N87" s="27">
        <f t="shared" si="32"/>
        <v>0</v>
      </c>
      <c r="O87" s="27">
        <f t="shared" si="32"/>
        <v>0</v>
      </c>
      <c r="P87" s="27">
        <f t="shared" si="32"/>
        <v>0</v>
      </c>
      <c r="Q87" s="27">
        <f t="shared" si="32"/>
        <v>0</v>
      </c>
      <c r="R87" s="27">
        <f t="shared" si="32"/>
        <v>0</v>
      </c>
      <c r="S87" s="27">
        <f t="shared" si="32"/>
        <v>0</v>
      </c>
      <c r="T87" s="27">
        <f t="shared" si="32"/>
        <v>0</v>
      </c>
      <c r="U87" s="27">
        <f t="shared" si="32"/>
        <v>0</v>
      </c>
      <c r="V87" s="27">
        <f t="shared" si="32"/>
        <v>0</v>
      </c>
      <c r="W87" s="27">
        <f t="shared" si="32"/>
        <v>0</v>
      </c>
      <c r="X87" s="27">
        <f t="shared" si="32"/>
        <v>0</v>
      </c>
      <c r="Y87" s="27">
        <f t="shared" si="32"/>
        <v>0</v>
      </c>
      <c r="Z87" s="27">
        <f t="shared" si="32"/>
        <v>0</v>
      </c>
      <c r="AA87" s="27">
        <f t="shared" si="32"/>
        <v>0</v>
      </c>
      <c r="AB87" s="27">
        <f t="shared" si="32"/>
        <v>0</v>
      </c>
      <c r="AC87" s="27">
        <f t="shared" si="32"/>
        <v>0</v>
      </c>
      <c r="AD87" s="27">
        <f t="shared" si="32"/>
        <v>0</v>
      </c>
      <c r="AE87" s="27">
        <f t="shared" si="32"/>
        <v>0</v>
      </c>
      <c r="AF87" s="27">
        <f t="shared" si="32"/>
        <v>0</v>
      </c>
      <c r="AG87" s="27">
        <f t="shared" si="32"/>
        <v>0</v>
      </c>
      <c r="AH87" s="27">
        <f t="shared" si="32"/>
        <v>0</v>
      </c>
      <c r="AI87" s="27">
        <f t="shared" si="32"/>
        <v>0</v>
      </c>
      <c r="AJ87" s="27">
        <f t="shared" si="32"/>
        <v>0</v>
      </c>
      <c r="AK87" s="27">
        <f t="shared" si="32"/>
        <v>0</v>
      </c>
      <c r="AL87" s="27">
        <f t="shared" si="32"/>
        <v>0</v>
      </c>
      <c r="AM87" s="27">
        <f t="shared" si="32"/>
        <v>0</v>
      </c>
      <c r="AN87" s="27">
        <f t="shared" si="32"/>
        <v>0</v>
      </c>
      <c r="AO87" s="27">
        <f t="shared" si="32"/>
        <v>0</v>
      </c>
      <c r="AP87" s="27">
        <f t="shared" si="32"/>
        <v>0</v>
      </c>
      <c r="AQ87" s="27">
        <v>3240000</v>
      </c>
      <c r="AR87" s="27">
        <v>3240000</v>
      </c>
      <c r="AS87" s="27">
        <v>3240000</v>
      </c>
      <c r="AT87" s="27">
        <v>3240000</v>
      </c>
      <c r="AU87" s="27">
        <v>3240000</v>
      </c>
      <c r="AV87" s="27">
        <v>3240000</v>
      </c>
      <c r="AW87" s="27">
        <v>3240000</v>
      </c>
      <c r="AX87" s="27">
        <v>3240000</v>
      </c>
      <c r="AY87" s="27">
        <v>3240000</v>
      </c>
      <c r="AZ87" s="27">
        <v>3240000</v>
      </c>
      <c r="BA87" s="27">
        <v>3240000</v>
      </c>
      <c r="BB87" s="27">
        <v>3240000</v>
      </c>
      <c r="BC87" s="27">
        <v>3240000</v>
      </c>
      <c r="BD87" s="27">
        <v>3240000</v>
      </c>
      <c r="BE87" s="27">
        <v>3240000</v>
      </c>
      <c r="BF87" s="27">
        <v>3240000</v>
      </c>
      <c r="BG87" s="27">
        <v>3240000</v>
      </c>
      <c r="BH87" s="27">
        <v>3240000</v>
      </c>
      <c r="BI87" s="27">
        <v>3240000</v>
      </c>
      <c r="BJ87" s="27">
        <v>3240000</v>
      </c>
      <c r="BK87" s="27">
        <v>3240000</v>
      </c>
      <c r="BL87" s="27">
        <v>3240000</v>
      </c>
      <c r="BM87" s="27">
        <v>3240000</v>
      </c>
      <c r="BN87" s="27">
        <v>3240000</v>
      </c>
      <c r="BO87" s="27">
        <v>3240000</v>
      </c>
      <c r="BP87" s="27">
        <v>3240000</v>
      </c>
      <c r="BQ87" s="27">
        <v>3240000</v>
      </c>
      <c r="BR87" s="27">
        <v>3240000</v>
      </c>
      <c r="BS87" s="27">
        <v>3240000</v>
      </c>
      <c r="BT87" s="27">
        <v>3240000</v>
      </c>
      <c r="BU87" s="27">
        <v>3240000</v>
      </c>
      <c r="BV87" s="27">
        <v>3240000</v>
      </c>
      <c r="BW87" s="27">
        <v>3240000</v>
      </c>
      <c r="BX87" s="27">
        <v>3240000</v>
      </c>
      <c r="BY87" s="27">
        <v>3240000</v>
      </c>
      <c r="BZ87" s="27">
        <v>3240000</v>
      </c>
      <c r="CA87" s="27">
        <v>3240000</v>
      </c>
      <c r="CB87" s="27">
        <v>3240000</v>
      </c>
      <c r="CC87" s="27">
        <v>3240000</v>
      </c>
      <c r="CD87" s="27">
        <v>3240000</v>
      </c>
      <c r="CE87" s="27">
        <v>3240000</v>
      </c>
      <c r="CF87" s="27">
        <v>3240000</v>
      </c>
      <c r="CG87" s="27">
        <v>3240000</v>
      </c>
      <c r="CH87" s="27">
        <v>3240000</v>
      </c>
      <c r="CI87" s="27">
        <v>3240000</v>
      </c>
      <c r="CJ87" s="27">
        <v>3240000</v>
      </c>
      <c r="CK87" s="27">
        <v>3240000</v>
      </c>
      <c r="CL87" s="27">
        <v>3240000</v>
      </c>
      <c r="CM87" s="74"/>
      <c r="CN87" s="74"/>
      <c r="CO87" s="74"/>
      <c r="CP87" s="74"/>
      <c r="CQ87" s="74"/>
      <c r="CR87" s="74"/>
      <c r="CS87" s="74"/>
      <c r="CT87" s="74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1"/>
      <c r="JV87" s="21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  <c r="KJ87" s="21"/>
      <c r="KK87" s="21"/>
      <c r="KL87" s="21"/>
      <c r="KM87" s="21"/>
      <c r="KN87" s="21"/>
      <c r="KO87" s="21"/>
      <c r="KP87" s="21"/>
      <c r="KQ87" s="21"/>
      <c r="KR87" s="21"/>
      <c r="KS87" s="21"/>
      <c r="KT87" s="21"/>
      <c r="KU87" s="21"/>
      <c r="KV87" s="21"/>
      <c r="KW87" s="21"/>
      <c r="KX87" s="21"/>
      <c r="KY87" s="21"/>
      <c r="KZ87" s="21"/>
      <c r="LA87" s="21"/>
      <c r="LB87" s="21"/>
      <c r="LC87" s="21"/>
      <c r="LD87" s="21"/>
      <c r="LE87" s="21"/>
      <c r="LF87" s="21"/>
      <c r="LG87" s="21"/>
      <c r="LH87" s="21"/>
      <c r="LI87" s="21"/>
      <c r="LJ87" s="21"/>
      <c r="LK87" s="21"/>
      <c r="LL87" s="21"/>
      <c r="LM87" s="21"/>
      <c r="LN87" s="21"/>
      <c r="LO87" s="21"/>
      <c r="LP87" s="21"/>
      <c r="LQ87" s="21"/>
      <c r="LR87" s="21"/>
      <c r="LS87" s="21"/>
      <c r="LT87" s="21"/>
      <c r="LU87" s="21"/>
      <c r="LV87" s="21"/>
      <c r="LW87" s="21"/>
      <c r="LX87" s="21"/>
      <c r="LY87" s="21"/>
      <c r="LZ87" s="21"/>
      <c r="MA87" s="21"/>
      <c r="MB87" s="21"/>
      <c r="MC87" s="21"/>
      <c r="MD87" s="21"/>
      <c r="ME87" s="21"/>
      <c r="MF87" s="21"/>
      <c r="MG87" s="21"/>
      <c r="MH87" s="21"/>
      <c r="MI87" s="21"/>
      <c r="MJ87" s="21"/>
      <c r="MK87" s="21"/>
      <c r="ML87" s="21"/>
      <c r="MM87" s="21"/>
      <c r="MN87" s="21"/>
      <c r="MO87" s="21"/>
      <c r="MP87" s="21"/>
      <c r="MQ87" s="21"/>
      <c r="MR87" s="21"/>
      <c r="MS87" s="21"/>
      <c r="MT87" s="21"/>
      <c r="MU87" s="21"/>
      <c r="MV87" s="21"/>
      <c r="MW87" s="21"/>
      <c r="MX87" s="21"/>
      <c r="MY87" s="21"/>
      <c r="MZ87" s="21"/>
      <c r="NA87" s="21"/>
      <c r="NB87" s="21"/>
      <c r="NC87" s="21"/>
      <c r="ND87" s="21"/>
      <c r="NE87" s="21"/>
      <c r="NF87" s="21"/>
      <c r="NG87" s="21"/>
      <c r="NH87" s="21"/>
      <c r="NI87" s="21"/>
      <c r="NJ87" s="21"/>
      <c r="NK87" s="21"/>
      <c r="NL87" s="21"/>
      <c r="NM87" s="21"/>
      <c r="NN87" s="21"/>
      <c r="NO87" s="21"/>
      <c r="NP87" s="21"/>
      <c r="NQ87" s="21"/>
      <c r="NR87" s="21"/>
      <c r="NS87" s="21"/>
      <c r="NT87" s="21"/>
      <c r="NU87" s="21"/>
      <c r="NV87" s="21"/>
      <c r="NW87" s="21"/>
      <c r="NX87" s="21"/>
      <c r="NY87" s="21"/>
      <c r="NZ87" s="21"/>
      <c r="OA87" s="21"/>
      <c r="OB87" s="21"/>
      <c r="OC87" s="21"/>
      <c r="OD87" s="21"/>
      <c r="OE87" s="21"/>
      <c r="OF87" s="21"/>
      <c r="OG87" s="21"/>
      <c r="OH87" s="21"/>
      <c r="OI87" s="21"/>
      <c r="OJ87" s="21"/>
      <c r="OK87" s="21"/>
      <c r="OL87" s="21"/>
      <c r="OM87" s="21"/>
      <c r="ON87" s="21"/>
      <c r="OO87" s="21"/>
      <c r="OP87" s="21"/>
      <c r="OQ87" s="21"/>
      <c r="OR87" s="21"/>
      <c r="OS87" s="21"/>
      <c r="OT87" s="21"/>
      <c r="OU87" s="21"/>
      <c r="OV87" s="21"/>
      <c r="OW87" s="21"/>
      <c r="OX87" s="21"/>
      <c r="OY87" s="21"/>
      <c r="OZ87" s="21"/>
      <c r="PA87" s="21"/>
      <c r="PB87" s="21"/>
      <c r="PC87" s="21"/>
      <c r="PD87" s="21"/>
      <c r="PE87" s="21"/>
      <c r="PF87" s="21"/>
      <c r="PG87" s="21"/>
      <c r="PH87" s="21"/>
      <c r="PI87" s="21"/>
      <c r="PJ87" s="21"/>
      <c r="PK87" s="21"/>
      <c r="PL87" s="21"/>
      <c r="PM87" s="21"/>
      <c r="PN87" s="21"/>
      <c r="PO87" s="21"/>
      <c r="PP87" s="21"/>
      <c r="PQ87" s="21"/>
      <c r="PR87" s="21"/>
      <c r="PS87" s="21"/>
      <c r="PT87" s="21"/>
      <c r="PU87" s="21"/>
      <c r="PV87" s="21"/>
      <c r="PW87" s="21"/>
      <c r="PX87" s="21"/>
      <c r="PY87" s="21"/>
      <c r="PZ87" s="21"/>
      <c r="QA87" s="21"/>
      <c r="QB87" s="21"/>
      <c r="QC87" s="21"/>
      <c r="QD87" s="21"/>
      <c r="QE87" s="21"/>
      <c r="QF87" s="21"/>
      <c r="QG87" s="21"/>
      <c r="QH87" s="21"/>
      <c r="QI87" s="21"/>
      <c r="QJ87" s="21"/>
      <c r="QK87" s="21"/>
      <c r="QL87" s="21"/>
      <c r="QM87" s="21"/>
      <c r="QN87" s="21"/>
      <c r="QO87" s="21"/>
      <c r="QP87" s="21"/>
      <c r="QQ87" s="21"/>
      <c r="QR87" s="21"/>
      <c r="QS87" s="21"/>
      <c r="QT87" s="21"/>
      <c r="QU87" s="21"/>
      <c r="QV87" s="21"/>
      <c r="QW87" s="21"/>
      <c r="QX87" s="21"/>
      <c r="QY87" s="21"/>
      <c r="QZ87" s="21"/>
      <c r="RA87" s="21"/>
      <c r="RB87" s="21"/>
      <c r="RC87" s="21"/>
      <c r="RD87" s="21"/>
      <c r="RE87" s="21"/>
      <c r="RF87" s="21"/>
      <c r="RG87" s="21"/>
      <c r="RH87" s="21"/>
      <c r="RI87" s="21"/>
      <c r="RJ87" s="21"/>
      <c r="RK87" s="21"/>
      <c r="RL87" s="21"/>
      <c r="RM87" s="21"/>
      <c r="RN87" s="21"/>
      <c r="RO87" s="21"/>
      <c r="RP87" s="21"/>
      <c r="RQ87" s="21"/>
      <c r="RR87" s="21"/>
      <c r="RS87" s="21"/>
      <c r="RT87" s="21"/>
      <c r="RU87" s="21"/>
      <c r="RV87" s="21"/>
      <c r="RW87" s="21"/>
      <c r="RX87" s="21"/>
      <c r="RY87" s="21"/>
      <c r="RZ87" s="21"/>
      <c r="SA87" s="21"/>
      <c r="SB87" s="21"/>
      <c r="SC87" s="21"/>
      <c r="SD87" s="21"/>
      <c r="SE87" s="21"/>
      <c r="SF87" s="21"/>
      <c r="SG87" s="21"/>
      <c r="SH87" s="21"/>
      <c r="SI87" s="21"/>
      <c r="SJ87" s="21"/>
      <c r="SK87" s="21"/>
      <c r="SL87" s="21"/>
      <c r="SM87" s="21"/>
      <c r="SN87" s="21"/>
      <c r="SO87" s="21"/>
      <c r="SP87" s="21"/>
      <c r="SQ87" s="21"/>
      <c r="SR87" s="21"/>
      <c r="SS87" s="21"/>
      <c r="ST87" s="21"/>
      <c r="SU87" s="21"/>
      <c r="SV87" s="21"/>
      <c r="SW87" s="21"/>
      <c r="SX87" s="21"/>
      <c r="SY87" s="21"/>
      <c r="SZ87" s="21"/>
      <c r="TA87" s="21"/>
      <c r="TB87" s="21"/>
      <c r="TC87" s="21"/>
      <c r="TD87" s="21"/>
      <c r="TE87" s="21"/>
      <c r="TF87" s="21"/>
      <c r="TG87" s="21"/>
      <c r="TH87" s="21"/>
      <c r="TI87" s="21"/>
      <c r="TJ87" s="21"/>
      <c r="TK87" s="21"/>
      <c r="TL87" s="21"/>
      <c r="TM87" s="21"/>
      <c r="TN87" s="21"/>
      <c r="TO87" s="21"/>
      <c r="TP87" s="21"/>
      <c r="TQ87" s="21"/>
      <c r="TR87" s="21"/>
      <c r="TS87" s="21"/>
      <c r="TT87" s="21"/>
      <c r="TU87" s="21"/>
      <c r="TV87" s="21"/>
      <c r="TW87" s="21"/>
      <c r="TX87" s="21"/>
      <c r="TY87" s="21"/>
      <c r="TZ87" s="21"/>
      <c r="UA87" s="21"/>
      <c r="UB87" s="21"/>
      <c r="UC87" s="21"/>
      <c r="UD87" s="21"/>
      <c r="UE87" s="21"/>
      <c r="UF87" s="21"/>
      <c r="UG87" s="21"/>
      <c r="UH87" s="21"/>
      <c r="UI87" s="21"/>
      <c r="UJ87" s="21"/>
      <c r="UK87" s="21"/>
      <c r="UL87" s="21"/>
      <c r="UM87" s="21"/>
      <c r="UN87" s="21"/>
      <c r="UO87" s="21"/>
      <c r="UP87" s="21"/>
      <c r="UQ87" s="21"/>
      <c r="UR87" s="21"/>
      <c r="US87" s="21"/>
      <c r="UT87" s="21"/>
      <c r="UU87" s="21"/>
      <c r="UV87" s="21"/>
      <c r="UW87" s="21"/>
      <c r="UX87" s="21"/>
      <c r="UY87" s="21"/>
      <c r="UZ87" s="21"/>
      <c r="VA87" s="21"/>
      <c r="VB87" s="21"/>
      <c r="VC87" s="21"/>
      <c r="VD87" s="21"/>
      <c r="VE87" s="21"/>
      <c r="VF87" s="21"/>
      <c r="VG87" s="21"/>
      <c r="VH87" s="21"/>
      <c r="VI87" s="21"/>
      <c r="VJ87" s="21"/>
      <c r="VK87" s="21"/>
      <c r="VL87" s="21"/>
      <c r="VM87" s="21"/>
      <c r="VN87" s="21"/>
      <c r="VO87" s="21"/>
      <c r="VP87" s="21"/>
      <c r="VQ87" s="21"/>
      <c r="VR87" s="21"/>
      <c r="VS87" s="21"/>
      <c r="VT87" s="21"/>
      <c r="VU87" s="21"/>
      <c r="VV87" s="21"/>
      <c r="VW87" s="21"/>
      <c r="VX87" s="21"/>
      <c r="VY87" s="21"/>
      <c r="VZ87" s="21"/>
      <c r="WA87" s="21"/>
      <c r="WB87" s="21"/>
      <c r="WC87" s="21"/>
      <c r="WD87" s="21"/>
      <c r="WE87" s="21"/>
      <c r="WF87" s="21"/>
      <c r="WG87" s="21"/>
      <c r="WH87" s="21"/>
      <c r="WI87" s="21"/>
      <c r="WJ87" s="21"/>
      <c r="WK87" s="21"/>
      <c r="WL87" s="21"/>
      <c r="WM87" s="21"/>
      <c r="WN87" s="21"/>
      <c r="WO87" s="21"/>
      <c r="WP87" s="21"/>
      <c r="WQ87" s="21"/>
      <c r="WR87" s="21"/>
      <c r="WS87" s="21"/>
      <c r="WT87" s="21"/>
      <c r="WU87" s="21"/>
      <c r="WV87" s="21"/>
      <c r="WW87" s="21"/>
      <c r="WX87" s="21"/>
      <c r="WY87" s="21"/>
      <c r="WZ87" s="21"/>
      <c r="XA87" s="21"/>
      <c r="XB87" s="21"/>
      <c r="XC87" s="21"/>
      <c r="XD87" s="21"/>
      <c r="XE87" s="21"/>
      <c r="XF87" s="21"/>
      <c r="XG87" s="21"/>
      <c r="XH87" s="21"/>
      <c r="XI87" s="21"/>
      <c r="XJ87" s="21"/>
      <c r="XK87" s="21"/>
      <c r="XL87" s="21"/>
      <c r="XM87" s="21"/>
      <c r="XN87" s="21"/>
      <c r="XO87" s="21"/>
      <c r="XP87" s="21"/>
      <c r="XQ87" s="21"/>
      <c r="XR87" s="21"/>
      <c r="XS87" s="21"/>
      <c r="XT87" s="21"/>
      <c r="XU87" s="21"/>
      <c r="XV87" s="21"/>
      <c r="XW87" s="21"/>
      <c r="XX87" s="21"/>
      <c r="XY87" s="21"/>
      <c r="XZ87" s="21"/>
      <c r="YA87" s="21"/>
      <c r="YB87" s="21"/>
      <c r="YC87" s="21"/>
      <c r="YD87" s="21"/>
      <c r="YE87" s="21"/>
      <c r="YF87" s="21"/>
      <c r="YG87" s="21"/>
      <c r="YH87" s="21"/>
      <c r="YI87" s="21"/>
      <c r="YJ87" s="21"/>
      <c r="YK87" s="21"/>
      <c r="YL87" s="21"/>
      <c r="YM87" s="21"/>
      <c r="YN87" s="21"/>
      <c r="YO87" s="21"/>
      <c r="YP87" s="21"/>
      <c r="YQ87" s="21"/>
      <c r="YR87" s="21"/>
      <c r="YS87" s="21"/>
      <c r="YT87" s="21"/>
      <c r="YU87" s="21"/>
      <c r="YV87" s="21"/>
      <c r="YW87" s="21"/>
      <c r="YX87" s="21"/>
      <c r="YY87" s="21"/>
      <c r="YZ87" s="21"/>
      <c r="ZA87" s="21"/>
      <c r="ZB87" s="21"/>
      <c r="ZC87" s="21"/>
      <c r="ZD87" s="21"/>
      <c r="ZE87" s="21"/>
      <c r="ZF87" s="21"/>
      <c r="ZG87" s="21"/>
      <c r="ZH87" s="21"/>
      <c r="ZI87" s="21"/>
      <c r="ZJ87" s="21"/>
      <c r="ZK87" s="21"/>
      <c r="ZL87" s="21"/>
      <c r="ZM87" s="21"/>
      <c r="ZN87" s="21"/>
      <c r="ZO87" s="21"/>
      <c r="ZP87" s="21"/>
      <c r="ZQ87" s="21"/>
      <c r="ZR87" s="21"/>
      <c r="ZS87" s="21"/>
      <c r="ZT87" s="21"/>
      <c r="ZU87" s="21"/>
      <c r="ZV87" s="21"/>
      <c r="ZW87" s="21"/>
      <c r="ZX87" s="21"/>
      <c r="ZY87" s="21"/>
      <c r="ZZ87" s="21"/>
      <c r="AAA87" s="21"/>
      <c r="AAB87" s="21"/>
      <c r="AAC87" s="21"/>
      <c r="AAD87" s="21"/>
      <c r="AAE87" s="21"/>
      <c r="AAF87" s="21"/>
      <c r="AAG87" s="21"/>
      <c r="AAH87" s="21"/>
      <c r="AAI87" s="21"/>
      <c r="AAJ87" s="21"/>
      <c r="AAK87" s="21"/>
      <c r="AAL87" s="21"/>
      <c r="AAM87" s="21"/>
      <c r="AAN87" s="21"/>
      <c r="AAO87" s="21"/>
      <c r="AAP87" s="21"/>
      <c r="AAQ87" s="21"/>
      <c r="AAR87" s="21"/>
      <c r="AAS87" s="21"/>
      <c r="AAT87" s="21"/>
      <c r="AAU87" s="21"/>
      <c r="AAV87" s="21"/>
      <c r="AAW87" s="21"/>
      <c r="AAX87" s="21"/>
      <c r="AAY87" s="21"/>
      <c r="AAZ87" s="21"/>
      <c r="ABA87" s="21"/>
      <c r="ABB87" s="21"/>
      <c r="ABC87" s="21"/>
      <c r="ABD87" s="21"/>
      <c r="ABE87" s="21"/>
      <c r="ABF87" s="21"/>
      <c r="ABG87" s="21"/>
      <c r="ABH87" s="21"/>
      <c r="ABI87" s="21"/>
      <c r="ABJ87" s="21"/>
      <c r="ABK87" s="21"/>
      <c r="ABL87" s="21"/>
      <c r="ABM87" s="21"/>
      <c r="ABN87" s="21"/>
      <c r="ABO87" s="21"/>
      <c r="ABP87" s="21"/>
      <c r="ABQ87" s="21"/>
      <c r="ABR87" s="21"/>
      <c r="ABS87" s="21"/>
      <c r="ABT87" s="21"/>
      <c r="ABU87" s="21"/>
      <c r="ABV87" s="21"/>
      <c r="ABW87" s="21"/>
      <c r="ABX87" s="21"/>
      <c r="ABY87" s="21"/>
      <c r="ABZ87" s="21"/>
      <c r="ACA87" s="21"/>
      <c r="ACB87" s="21"/>
      <c r="ACC87" s="21"/>
      <c r="ACD87" s="21"/>
      <c r="ACE87" s="21"/>
      <c r="ACF87" s="21"/>
      <c r="ACG87" s="21"/>
      <c r="ACH87" s="21"/>
      <c r="ACI87" s="21"/>
      <c r="ACJ87" s="21"/>
      <c r="ACK87" s="21"/>
      <c r="ACL87" s="21"/>
      <c r="ACM87" s="21"/>
      <c r="ACN87" s="21"/>
      <c r="ACO87" s="21"/>
      <c r="ACP87" s="21"/>
      <c r="ACQ87" s="21"/>
      <c r="ACR87" s="21"/>
      <c r="ACS87" s="21"/>
      <c r="ACT87" s="21"/>
      <c r="ACU87" s="21"/>
      <c r="ACV87" s="21"/>
      <c r="ACW87" s="21"/>
      <c r="ACX87" s="21"/>
      <c r="ACY87" s="21"/>
      <c r="ACZ87" s="21"/>
      <c r="ADA87" s="21"/>
      <c r="ADB87" s="21"/>
      <c r="ADC87" s="21"/>
      <c r="ADD87" s="21"/>
      <c r="ADE87" s="21"/>
      <c r="ADF87" s="21"/>
      <c r="ADG87" s="21"/>
      <c r="ADH87" s="21"/>
      <c r="ADI87" s="21"/>
      <c r="ADJ87" s="21"/>
      <c r="ADK87" s="21"/>
      <c r="ADL87" s="21"/>
      <c r="ADM87" s="21"/>
      <c r="ADN87" s="21"/>
      <c r="ADO87" s="21"/>
      <c r="ADP87" s="21"/>
      <c r="ADQ87" s="21"/>
      <c r="ADR87" s="21"/>
      <c r="ADS87" s="21"/>
      <c r="ADT87" s="21"/>
      <c r="ADU87" s="21"/>
      <c r="ADV87" s="21"/>
      <c r="ADW87" s="21"/>
      <c r="ADX87" s="21"/>
      <c r="ADY87" s="21"/>
      <c r="ADZ87" s="21"/>
      <c r="AEA87" s="21"/>
      <c r="AEB87" s="21"/>
      <c r="AEC87" s="21"/>
      <c r="AED87" s="21"/>
      <c r="AEE87" s="21"/>
      <c r="AEF87" s="21"/>
      <c r="AEG87" s="21"/>
      <c r="AEH87" s="21"/>
      <c r="AEI87" s="21"/>
      <c r="AEJ87" s="21"/>
      <c r="AEK87" s="21"/>
      <c r="AEL87" s="21"/>
      <c r="AEM87" s="21"/>
      <c r="AEN87" s="21"/>
      <c r="AEO87" s="21"/>
      <c r="AEP87" s="21"/>
      <c r="AEQ87" s="21"/>
      <c r="AER87" s="21"/>
      <c r="AES87" s="21"/>
      <c r="AET87" s="21"/>
      <c r="AEU87" s="21"/>
      <c r="AEV87" s="21"/>
      <c r="AEW87" s="21"/>
      <c r="AEX87" s="21"/>
      <c r="AEY87" s="21"/>
      <c r="AEZ87" s="21"/>
      <c r="AFA87" s="21"/>
      <c r="AFB87" s="21"/>
      <c r="AFC87" s="21"/>
      <c r="AFD87" s="21"/>
      <c r="AFE87" s="21"/>
      <c r="AFF87" s="21"/>
      <c r="AFG87" s="21"/>
      <c r="AFH87" s="21"/>
      <c r="AFI87" s="21"/>
      <c r="AFJ87" s="21"/>
      <c r="AFK87" s="21"/>
      <c r="AFL87" s="21"/>
      <c r="AFM87" s="21"/>
      <c r="AFN87" s="21"/>
      <c r="AFO87" s="21"/>
      <c r="AFP87" s="21"/>
      <c r="AFQ87" s="21"/>
      <c r="AFR87" s="21"/>
      <c r="AFS87" s="21"/>
      <c r="AFT87" s="21"/>
      <c r="AFU87" s="21"/>
      <c r="AFV87" s="21"/>
      <c r="AFW87" s="21"/>
      <c r="AFX87" s="21"/>
      <c r="AFY87" s="21"/>
      <c r="AFZ87" s="21"/>
      <c r="AGA87" s="21"/>
      <c r="AGB87" s="21"/>
      <c r="AGC87" s="21"/>
      <c r="AGD87" s="21"/>
      <c r="AGE87" s="21"/>
      <c r="AGF87" s="21"/>
      <c r="AGG87" s="21"/>
      <c r="AGH87" s="21"/>
      <c r="AGI87" s="21"/>
      <c r="AGJ87" s="21"/>
      <c r="AGK87" s="21"/>
      <c r="AGL87" s="21"/>
      <c r="AGM87" s="21"/>
      <c r="AGN87" s="21"/>
      <c r="AGO87" s="21"/>
      <c r="AGP87" s="21"/>
      <c r="AGQ87" s="21"/>
      <c r="AGR87" s="21"/>
      <c r="AGS87" s="21"/>
    </row>
    <row r="88" spans="1:877" ht="13">
      <c r="A88" s="12"/>
      <c r="B88" s="70" t="s">
        <v>55</v>
      </c>
      <c r="C88" s="71">
        <v>1500000</v>
      </c>
      <c r="D88" s="72">
        <v>47300</v>
      </c>
      <c r="E88" s="73">
        <v>9</v>
      </c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>
        <v>1500000</v>
      </c>
      <c r="BD88" s="27">
        <v>1500000</v>
      </c>
      <c r="BE88" s="27">
        <v>1500000</v>
      </c>
      <c r="BF88" s="27">
        <v>1500000</v>
      </c>
      <c r="BG88" s="27">
        <v>1500000</v>
      </c>
      <c r="BH88" s="27">
        <v>1500000</v>
      </c>
      <c r="BI88" s="27">
        <v>1500000</v>
      </c>
      <c r="BJ88" s="27">
        <v>1500000</v>
      </c>
      <c r="BK88" s="27">
        <v>1500000</v>
      </c>
      <c r="BL88" s="27">
        <v>1500000</v>
      </c>
      <c r="BM88" s="27">
        <v>1500000</v>
      </c>
      <c r="BN88" s="27">
        <v>1500000</v>
      </c>
      <c r="BO88" s="27">
        <v>1500000</v>
      </c>
      <c r="BP88" s="27">
        <v>1500000</v>
      </c>
      <c r="BQ88" s="27">
        <v>1500000</v>
      </c>
      <c r="BR88" s="27">
        <v>1500000</v>
      </c>
      <c r="BS88" s="27">
        <v>1500000</v>
      </c>
      <c r="BT88" s="27">
        <v>1500000</v>
      </c>
      <c r="BU88" s="27">
        <v>1500000</v>
      </c>
      <c r="BV88" s="27">
        <v>1500000</v>
      </c>
      <c r="BW88" s="27">
        <v>1500000</v>
      </c>
      <c r="BX88" s="27">
        <v>1500000</v>
      </c>
      <c r="BY88" s="27">
        <v>1500000</v>
      </c>
      <c r="BZ88" s="27">
        <v>1500000</v>
      </c>
      <c r="CA88" s="27">
        <v>1500000</v>
      </c>
      <c r="CB88" s="27">
        <v>1500000</v>
      </c>
      <c r="CC88" s="27">
        <v>1500000</v>
      </c>
      <c r="CD88" s="27">
        <v>1500000</v>
      </c>
      <c r="CE88" s="27">
        <v>1500000</v>
      </c>
      <c r="CF88" s="27">
        <v>1500000</v>
      </c>
      <c r="CG88" s="27">
        <v>1500000</v>
      </c>
      <c r="CH88" s="27">
        <v>1500000</v>
      </c>
      <c r="CI88" s="27">
        <v>1500000</v>
      </c>
      <c r="CJ88" s="27">
        <v>1500000</v>
      </c>
      <c r="CK88" s="27">
        <v>1500000</v>
      </c>
      <c r="CL88" s="27">
        <v>1500000</v>
      </c>
      <c r="CM88" s="74"/>
      <c r="CN88" s="74"/>
      <c r="CO88" s="74"/>
      <c r="CP88" s="74"/>
      <c r="CQ88" s="74"/>
      <c r="CR88" s="74"/>
      <c r="CS88" s="74"/>
      <c r="CT88" s="74"/>
      <c r="CU88" s="74"/>
      <c r="CV88" s="74"/>
      <c r="CW88" s="74"/>
      <c r="CX88" s="74"/>
      <c r="CY88" s="74"/>
      <c r="CZ88" s="74"/>
      <c r="DA88" s="74"/>
      <c r="DB88" s="74"/>
      <c r="DC88" s="74"/>
      <c r="DD88" s="74"/>
      <c r="DE88" s="74"/>
      <c r="DF88" s="74"/>
      <c r="DG88" s="74"/>
      <c r="DH88" s="74"/>
      <c r="DI88" s="74"/>
      <c r="DJ88" s="74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1"/>
      <c r="JV88" s="21"/>
      <c r="JW88" s="21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  <c r="KJ88" s="21"/>
      <c r="KK88" s="21"/>
      <c r="KL88" s="21"/>
      <c r="KM88" s="21"/>
      <c r="KN88" s="21"/>
      <c r="KO88" s="21"/>
      <c r="KP88" s="21"/>
      <c r="KQ88" s="21"/>
      <c r="KR88" s="21"/>
      <c r="KS88" s="21"/>
      <c r="KT88" s="21"/>
      <c r="KU88" s="21"/>
      <c r="KV88" s="21"/>
      <c r="KW88" s="21"/>
      <c r="KX88" s="21"/>
      <c r="KY88" s="21"/>
      <c r="KZ88" s="21"/>
      <c r="LA88" s="21"/>
      <c r="LB88" s="21"/>
      <c r="LC88" s="21"/>
      <c r="LD88" s="21"/>
      <c r="LE88" s="21"/>
      <c r="LF88" s="21"/>
      <c r="LG88" s="21"/>
      <c r="LH88" s="21"/>
      <c r="LI88" s="21"/>
      <c r="LJ88" s="21"/>
      <c r="LK88" s="21"/>
      <c r="LL88" s="21"/>
      <c r="LM88" s="21"/>
      <c r="LN88" s="21"/>
      <c r="LO88" s="21"/>
      <c r="LP88" s="21"/>
      <c r="LQ88" s="21"/>
      <c r="LR88" s="21"/>
      <c r="LS88" s="21"/>
      <c r="LT88" s="21"/>
      <c r="LU88" s="21"/>
      <c r="LV88" s="21"/>
      <c r="LW88" s="21"/>
      <c r="LX88" s="21"/>
      <c r="LY88" s="21"/>
      <c r="LZ88" s="21"/>
      <c r="MA88" s="21"/>
      <c r="MB88" s="21"/>
      <c r="MC88" s="21"/>
      <c r="MD88" s="21"/>
      <c r="ME88" s="21"/>
      <c r="MF88" s="21"/>
      <c r="MG88" s="21"/>
      <c r="MH88" s="21"/>
      <c r="MI88" s="21"/>
      <c r="MJ88" s="21"/>
      <c r="MK88" s="21"/>
      <c r="ML88" s="21"/>
      <c r="MM88" s="21"/>
      <c r="MN88" s="21"/>
      <c r="MO88" s="21"/>
      <c r="MP88" s="21"/>
      <c r="MQ88" s="21"/>
      <c r="MR88" s="21"/>
      <c r="MS88" s="21"/>
      <c r="MT88" s="21"/>
      <c r="MU88" s="21"/>
      <c r="MV88" s="21"/>
      <c r="MW88" s="21"/>
      <c r="MX88" s="21"/>
      <c r="MY88" s="21"/>
      <c r="MZ88" s="21"/>
      <c r="NA88" s="21"/>
      <c r="NB88" s="21"/>
      <c r="NC88" s="21"/>
      <c r="ND88" s="21"/>
      <c r="NE88" s="21"/>
      <c r="NF88" s="21"/>
      <c r="NG88" s="21"/>
      <c r="NH88" s="21"/>
      <c r="NI88" s="21"/>
      <c r="NJ88" s="21"/>
      <c r="NK88" s="21"/>
      <c r="NL88" s="21"/>
      <c r="NM88" s="21"/>
      <c r="NN88" s="21"/>
      <c r="NO88" s="21"/>
      <c r="NP88" s="21"/>
      <c r="NQ88" s="21"/>
      <c r="NR88" s="21"/>
      <c r="NS88" s="21"/>
      <c r="NT88" s="21"/>
      <c r="NU88" s="21"/>
      <c r="NV88" s="21"/>
      <c r="NW88" s="21"/>
      <c r="NX88" s="21"/>
      <c r="NY88" s="21"/>
      <c r="NZ88" s="21"/>
      <c r="OA88" s="21"/>
      <c r="OB88" s="21"/>
      <c r="OC88" s="21"/>
      <c r="OD88" s="21"/>
      <c r="OE88" s="21"/>
      <c r="OF88" s="21"/>
      <c r="OG88" s="21"/>
      <c r="OH88" s="21"/>
      <c r="OI88" s="21"/>
      <c r="OJ88" s="21"/>
      <c r="OK88" s="21"/>
      <c r="OL88" s="21"/>
      <c r="OM88" s="21"/>
      <c r="ON88" s="21"/>
      <c r="OO88" s="21"/>
      <c r="OP88" s="21"/>
      <c r="OQ88" s="21"/>
      <c r="OR88" s="21"/>
      <c r="OS88" s="21"/>
      <c r="OT88" s="21"/>
      <c r="OU88" s="21"/>
      <c r="OV88" s="21"/>
      <c r="OW88" s="21"/>
      <c r="OX88" s="21"/>
      <c r="OY88" s="21"/>
      <c r="OZ88" s="21"/>
      <c r="PA88" s="21"/>
      <c r="PB88" s="21"/>
      <c r="PC88" s="21"/>
      <c r="PD88" s="21"/>
      <c r="PE88" s="21"/>
      <c r="PF88" s="21"/>
      <c r="PG88" s="21"/>
      <c r="PH88" s="21"/>
      <c r="PI88" s="21"/>
      <c r="PJ88" s="21"/>
      <c r="PK88" s="21"/>
      <c r="PL88" s="21"/>
      <c r="PM88" s="21"/>
      <c r="PN88" s="21"/>
      <c r="PO88" s="21"/>
      <c r="PP88" s="21"/>
      <c r="PQ88" s="21"/>
      <c r="PR88" s="21"/>
      <c r="PS88" s="21"/>
      <c r="PT88" s="21"/>
      <c r="PU88" s="21"/>
      <c r="PV88" s="21"/>
      <c r="PW88" s="21"/>
      <c r="PX88" s="21"/>
      <c r="PY88" s="21"/>
      <c r="PZ88" s="21"/>
      <c r="QA88" s="21"/>
      <c r="QB88" s="21"/>
      <c r="QC88" s="21"/>
      <c r="QD88" s="21"/>
      <c r="QE88" s="21"/>
      <c r="QF88" s="21"/>
      <c r="QG88" s="21"/>
      <c r="QH88" s="21"/>
      <c r="QI88" s="21"/>
      <c r="QJ88" s="21"/>
      <c r="QK88" s="21"/>
      <c r="QL88" s="21"/>
      <c r="QM88" s="21"/>
      <c r="QN88" s="21"/>
      <c r="QO88" s="21"/>
      <c r="QP88" s="21"/>
      <c r="QQ88" s="21"/>
      <c r="QR88" s="21"/>
      <c r="QS88" s="21"/>
      <c r="QT88" s="21"/>
      <c r="QU88" s="21"/>
      <c r="QV88" s="21"/>
      <c r="QW88" s="21"/>
      <c r="QX88" s="21"/>
      <c r="QY88" s="21"/>
      <c r="QZ88" s="21"/>
      <c r="RA88" s="21"/>
      <c r="RB88" s="21"/>
      <c r="RC88" s="21"/>
      <c r="RD88" s="21"/>
      <c r="RE88" s="21"/>
      <c r="RF88" s="21"/>
      <c r="RG88" s="21"/>
      <c r="RH88" s="21"/>
      <c r="RI88" s="21"/>
      <c r="RJ88" s="21"/>
      <c r="RK88" s="21"/>
      <c r="RL88" s="21"/>
      <c r="RM88" s="21"/>
      <c r="RN88" s="21"/>
      <c r="RO88" s="21"/>
      <c r="RP88" s="21"/>
      <c r="RQ88" s="21"/>
      <c r="RR88" s="21"/>
      <c r="RS88" s="21"/>
      <c r="RT88" s="21"/>
      <c r="RU88" s="21"/>
      <c r="RV88" s="21"/>
      <c r="RW88" s="21"/>
      <c r="RX88" s="21"/>
      <c r="RY88" s="21"/>
      <c r="RZ88" s="21"/>
      <c r="SA88" s="21"/>
      <c r="SB88" s="21"/>
      <c r="SC88" s="21"/>
      <c r="SD88" s="21"/>
      <c r="SE88" s="21"/>
      <c r="SF88" s="21"/>
      <c r="SG88" s="21"/>
      <c r="SH88" s="21"/>
      <c r="SI88" s="21"/>
      <c r="SJ88" s="21"/>
      <c r="SK88" s="21"/>
      <c r="SL88" s="21"/>
      <c r="SM88" s="21"/>
      <c r="SN88" s="21"/>
      <c r="SO88" s="21"/>
      <c r="SP88" s="21"/>
      <c r="SQ88" s="21"/>
      <c r="SR88" s="21"/>
      <c r="SS88" s="21"/>
      <c r="ST88" s="21"/>
      <c r="SU88" s="21"/>
      <c r="SV88" s="21"/>
      <c r="SW88" s="21"/>
      <c r="SX88" s="21"/>
      <c r="SY88" s="21"/>
      <c r="SZ88" s="21"/>
      <c r="TA88" s="21"/>
      <c r="TB88" s="21"/>
      <c r="TC88" s="21"/>
      <c r="TD88" s="21"/>
      <c r="TE88" s="21"/>
      <c r="TF88" s="21"/>
      <c r="TG88" s="21"/>
      <c r="TH88" s="21"/>
      <c r="TI88" s="21"/>
      <c r="TJ88" s="21"/>
      <c r="TK88" s="21"/>
      <c r="TL88" s="21"/>
      <c r="TM88" s="21"/>
      <c r="TN88" s="21"/>
      <c r="TO88" s="21"/>
      <c r="TP88" s="21"/>
      <c r="TQ88" s="21"/>
      <c r="TR88" s="21"/>
      <c r="TS88" s="21"/>
      <c r="TT88" s="21"/>
      <c r="TU88" s="21"/>
      <c r="TV88" s="21"/>
      <c r="TW88" s="21"/>
      <c r="TX88" s="21"/>
      <c r="TY88" s="21"/>
      <c r="TZ88" s="21"/>
      <c r="UA88" s="21"/>
      <c r="UB88" s="21"/>
      <c r="UC88" s="21"/>
      <c r="UD88" s="21"/>
      <c r="UE88" s="21"/>
      <c r="UF88" s="21"/>
      <c r="UG88" s="21"/>
      <c r="UH88" s="21"/>
      <c r="UI88" s="21"/>
      <c r="UJ88" s="21"/>
      <c r="UK88" s="21"/>
      <c r="UL88" s="21"/>
      <c r="UM88" s="21"/>
      <c r="UN88" s="21"/>
      <c r="UO88" s="21"/>
      <c r="UP88" s="21"/>
      <c r="UQ88" s="21"/>
      <c r="UR88" s="21"/>
      <c r="US88" s="21"/>
      <c r="UT88" s="21"/>
      <c r="UU88" s="21"/>
      <c r="UV88" s="21"/>
      <c r="UW88" s="21"/>
      <c r="UX88" s="21"/>
      <c r="UY88" s="21"/>
      <c r="UZ88" s="21"/>
      <c r="VA88" s="21"/>
      <c r="VB88" s="21"/>
      <c r="VC88" s="21"/>
      <c r="VD88" s="21"/>
      <c r="VE88" s="21"/>
      <c r="VF88" s="21"/>
      <c r="VG88" s="21"/>
      <c r="VH88" s="21"/>
      <c r="VI88" s="21"/>
      <c r="VJ88" s="21"/>
      <c r="VK88" s="21"/>
      <c r="VL88" s="21"/>
      <c r="VM88" s="21"/>
      <c r="VN88" s="21"/>
      <c r="VO88" s="21"/>
      <c r="VP88" s="21"/>
      <c r="VQ88" s="21"/>
      <c r="VR88" s="21"/>
      <c r="VS88" s="21"/>
      <c r="VT88" s="21"/>
      <c r="VU88" s="21"/>
      <c r="VV88" s="21"/>
      <c r="VW88" s="21"/>
      <c r="VX88" s="21"/>
      <c r="VY88" s="21"/>
      <c r="VZ88" s="21"/>
      <c r="WA88" s="21"/>
      <c r="WB88" s="21"/>
      <c r="WC88" s="21"/>
      <c r="WD88" s="21"/>
      <c r="WE88" s="21"/>
      <c r="WF88" s="21"/>
      <c r="WG88" s="21"/>
      <c r="WH88" s="21"/>
      <c r="WI88" s="21"/>
      <c r="WJ88" s="21"/>
      <c r="WK88" s="21"/>
      <c r="WL88" s="21"/>
      <c r="WM88" s="21"/>
      <c r="WN88" s="21"/>
      <c r="WO88" s="21"/>
      <c r="WP88" s="21"/>
      <c r="WQ88" s="21"/>
      <c r="WR88" s="21"/>
      <c r="WS88" s="21"/>
      <c r="WT88" s="21"/>
      <c r="WU88" s="21"/>
      <c r="WV88" s="21"/>
      <c r="WW88" s="21"/>
      <c r="WX88" s="21"/>
      <c r="WY88" s="21"/>
      <c r="WZ88" s="21"/>
      <c r="XA88" s="21"/>
      <c r="XB88" s="21"/>
      <c r="XC88" s="21"/>
      <c r="XD88" s="21"/>
      <c r="XE88" s="21"/>
      <c r="XF88" s="21"/>
      <c r="XG88" s="21"/>
      <c r="XH88" s="21"/>
      <c r="XI88" s="21"/>
      <c r="XJ88" s="21"/>
      <c r="XK88" s="21"/>
      <c r="XL88" s="21"/>
      <c r="XM88" s="21"/>
      <c r="XN88" s="21"/>
      <c r="XO88" s="21"/>
      <c r="XP88" s="21"/>
      <c r="XQ88" s="21"/>
      <c r="XR88" s="21"/>
      <c r="XS88" s="21"/>
      <c r="XT88" s="21"/>
      <c r="XU88" s="21"/>
      <c r="XV88" s="21"/>
      <c r="XW88" s="21"/>
      <c r="XX88" s="21"/>
      <c r="XY88" s="21"/>
      <c r="XZ88" s="21"/>
      <c r="YA88" s="21"/>
      <c r="YB88" s="21"/>
      <c r="YC88" s="21"/>
      <c r="YD88" s="21"/>
      <c r="YE88" s="21"/>
      <c r="YF88" s="21"/>
      <c r="YG88" s="21"/>
      <c r="YH88" s="21"/>
      <c r="YI88" s="21"/>
      <c r="YJ88" s="21"/>
      <c r="YK88" s="21"/>
      <c r="YL88" s="21"/>
      <c r="YM88" s="21"/>
      <c r="YN88" s="21"/>
      <c r="YO88" s="21"/>
      <c r="YP88" s="21"/>
      <c r="YQ88" s="21"/>
      <c r="YR88" s="21"/>
      <c r="YS88" s="21"/>
      <c r="YT88" s="21"/>
      <c r="YU88" s="21"/>
      <c r="YV88" s="21"/>
      <c r="YW88" s="21"/>
      <c r="YX88" s="21"/>
      <c r="YY88" s="21"/>
      <c r="YZ88" s="21"/>
      <c r="ZA88" s="21"/>
      <c r="ZB88" s="21"/>
      <c r="ZC88" s="21"/>
      <c r="ZD88" s="21"/>
      <c r="ZE88" s="21"/>
      <c r="ZF88" s="21"/>
      <c r="ZG88" s="21"/>
      <c r="ZH88" s="21"/>
      <c r="ZI88" s="21"/>
      <c r="ZJ88" s="21"/>
      <c r="ZK88" s="21"/>
      <c r="ZL88" s="21"/>
      <c r="ZM88" s="21"/>
      <c r="ZN88" s="21"/>
      <c r="ZO88" s="21"/>
      <c r="ZP88" s="21"/>
      <c r="ZQ88" s="21"/>
      <c r="ZR88" s="21"/>
      <c r="ZS88" s="21"/>
      <c r="ZT88" s="21"/>
      <c r="ZU88" s="21"/>
      <c r="ZV88" s="21"/>
      <c r="ZW88" s="21"/>
      <c r="ZX88" s="21"/>
      <c r="ZY88" s="21"/>
      <c r="ZZ88" s="21"/>
      <c r="AAA88" s="21"/>
      <c r="AAB88" s="21"/>
      <c r="AAC88" s="21"/>
      <c r="AAD88" s="21"/>
      <c r="AAE88" s="21"/>
      <c r="AAF88" s="21"/>
      <c r="AAG88" s="21"/>
      <c r="AAH88" s="21"/>
      <c r="AAI88" s="21"/>
      <c r="AAJ88" s="21"/>
      <c r="AAK88" s="21"/>
      <c r="AAL88" s="21"/>
      <c r="AAM88" s="21"/>
      <c r="AAN88" s="21"/>
      <c r="AAO88" s="21"/>
      <c r="AAP88" s="21"/>
      <c r="AAQ88" s="21"/>
      <c r="AAR88" s="21"/>
      <c r="AAS88" s="21"/>
      <c r="AAT88" s="21"/>
      <c r="AAU88" s="21"/>
      <c r="AAV88" s="21"/>
      <c r="AAW88" s="21"/>
      <c r="AAX88" s="21"/>
      <c r="AAY88" s="21"/>
      <c r="AAZ88" s="21"/>
      <c r="ABA88" s="21"/>
      <c r="ABB88" s="21"/>
      <c r="ABC88" s="21"/>
      <c r="ABD88" s="21"/>
      <c r="ABE88" s="21"/>
      <c r="ABF88" s="21"/>
      <c r="ABG88" s="21"/>
      <c r="ABH88" s="21"/>
      <c r="ABI88" s="21"/>
      <c r="ABJ88" s="21"/>
      <c r="ABK88" s="21"/>
      <c r="ABL88" s="21"/>
      <c r="ABM88" s="21"/>
      <c r="ABN88" s="21"/>
      <c r="ABO88" s="21"/>
      <c r="ABP88" s="21"/>
      <c r="ABQ88" s="21"/>
      <c r="ABR88" s="21"/>
      <c r="ABS88" s="21"/>
      <c r="ABT88" s="21"/>
      <c r="ABU88" s="21"/>
      <c r="ABV88" s="21"/>
      <c r="ABW88" s="21"/>
      <c r="ABX88" s="21"/>
      <c r="ABY88" s="21"/>
      <c r="ABZ88" s="21"/>
      <c r="ACA88" s="21"/>
      <c r="ACB88" s="21"/>
      <c r="ACC88" s="21"/>
      <c r="ACD88" s="21"/>
      <c r="ACE88" s="21"/>
      <c r="ACF88" s="21"/>
      <c r="ACG88" s="21"/>
      <c r="ACH88" s="21"/>
      <c r="ACI88" s="21"/>
      <c r="ACJ88" s="21"/>
      <c r="ACK88" s="21"/>
      <c r="ACL88" s="21"/>
      <c r="ACM88" s="21"/>
      <c r="ACN88" s="21"/>
      <c r="ACO88" s="21"/>
      <c r="ACP88" s="21"/>
      <c r="ACQ88" s="21"/>
      <c r="ACR88" s="21"/>
      <c r="ACS88" s="21"/>
      <c r="ACT88" s="21"/>
      <c r="ACU88" s="21"/>
      <c r="ACV88" s="21"/>
      <c r="ACW88" s="21"/>
      <c r="ACX88" s="21"/>
      <c r="ACY88" s="21"/>
      <c r="ACZ88" s="21"/>
      <c r="ADA88" s="21"/>
      <c r="ADB88" s="21"/>
      <c r="ADC88" s="21"/>
      <c r="ADD88" s="21"/>
      <c r="ADE88" s="21"/>
      <c r="ADF88" s="21"/>
      <c r="ADG88" s="21"/>
      <c r="ADH88" s="21"/>
      <c r="ADI88" s="21"/>
      <c r="ADJ88" s="21"/>
      <c r="ADK88" s="21"/>
      <c r="ADL88" s="21"/>
      <c r="ADM88" s="21"/>
      <c r="ADN88" s="21"/>
      <c r="ADO88" s="21"/>
      <c r="ADP88" s="21"/>
      <c r="ADQ88" s="21"/>
      <c r="ADR88" s="21"/>
      <c r="ADS88" s="21"/>
      <c r="ADT88" s="21"/>
      <c r="ADU88" s="21"/>
      <c r="ADV88" s="21"/>
      <c r="ADW88" s="21"/>
      <c r="ADX88" s="21"/>
      <c r="ADY88" s="21"/>
      <c r="ADZ88" s="21"/>
      <c r="AEA88" s="21"/>
      <c r="AEB88" s="21"/>
      <c r="AEC88" s="21"/>
      <c r="AED88" s="21"/>
      <c r="AEE88" s="21"/>
      <c r="AEF88" s="21"/>
      <c r="AEG88" s="21"/>
      <c r="AEH88" s="21"/>
      <c r="AEI88" s="21"/>
      <c r="AEJ88" s="21"/>
      <c r="AEK88" s="21"/>
      <c r="AEL88" s="21"/>
      <c r="AEM88" s="21"/>
      <c r="AEN88" s="21"/>
      <c r="AEO88" s="21"/>
      <c r="AEP88" s="21"/>
      <c r="AEQ88" s="21"/>
      <c r="AER88" s="21"/>
      <c r="AES88" s="21"/>
      <c r="AET88" s="21"/>
      <c r="AEU88" s="21"/>
      <c r="AEV88" s="21"/>
      <c r="AEW88" s="21"/>
      <c r="AEX88" s="21"/>
      <c r="AEY88" s="21"/>
      <c r="AEZ88" s="21"/>
      <c r="AFA88" s="21"/>
      <c r="AFB88" s="21"/>
      <c r="AFC88" s="21"/>
      <c r="AFD88" s="21"/>
      <c r="AFE88" s="21"/>
      <c r="AFF88" s="21"/>
      <c r="AFG88" s="21"/>
      <c r="AFH88" s="21"/>
      <c r="AFI88" s="21"/>
      <c r="AFJ88" s="21"/>
      <c r="AFK88" s="21"/>
      <c r="AFL88" s="21"/>
      <c r="AFM88" s="21"/>
      <c r="AFN88" s="21"/>
      <c r="AFO88" s="21"/>
      <c r="AFP88" s="21"/>
      <c r="AFQ88" s="21"/>
      <c r="AFR88" s="21"/>
      <c r="AFS88" s="21"/>
      <c r="AFT88" s="21"/>
      <c r="AFU88" s="21"/>
      <c r="AFV88" s="21"/>
      <c r="AFW88" s="21"/>
      <c r="AFX88" s="21"/>
      <c r="AFY88" s="21"/>
      <c r="AFZ88" s="21"/>
      <c r="AGA88" s="21"/>
      <c r="AGB88" s="21"/>
      <c r="AGC88" s="21"/>
      <c r="AGD88" s="21"/>
      <c r="AGE88" s="21"/>
      <c r="AGF88" s="21"/>
      <c r="AGG88" s="21"/>
      <c r="AGH88" s="21"/>
      <c r="AGI88" s="21"/>
      <c r="AGJ88" s="21"/>
      <c r="AGK88" s="21"/>
      <c r="AGL88" s="21"/>
      <c r="AGM88" s="21"/>
      <c r="AGN88" s="21"/>
      <c r="AGO88" s="21"/>
      <c r="AGP88" s="21"/>
      <c r="AGQ88" s="21"/>
      <c r="AGR88" s="21"/>
      <c r="AGS88" s="21"/>
    </row>
    <row r="89" spans="1:877" ht="13">
      <c r="A89" s="12"/>
      <c r="B89" s="70" t="s">
        <v>56</v>
      </c>
      <c r="C89" s="71">
        <v>3240000</v>
      </c>
      <c r="D89" s="72">
        <v>46935</v>
      </c>
      <c r="E89" s="73">
        <v>9</v>
      </c>
      <c r="F89" s="27"/>
      <c r="G89" s="27">
        <f t="shared" ref="G89:AP89" si="33">IF(G$4&gt;=$D89,$C89,0)</f>
        <v>0</v>
      </c>
      <c r="H89" s="27">
        <f t="shared" si="33"/>
        <v>0</v>
      </c>
      <c r="I89" s="27">
        <f t="shared" si="33"/>
        <v>0</v>
      </c>
      <c r="J89" s="27">
        <f t="shared" si="33"/>
        <v>0</v>
      </c>
      <c r="K89" s="27">
        <f t="shared" si="33"/>
        <v>0</v>
      </c>
      <c r="L89" s="27">
        <f t="shared" si="33"/>
        <v>0</v>
      </c>
      <c r="M89" s="27">
        <f t="shared" si="33"/>
        <v>0</v>
      </c>
      <c r="N89" s="27">
        <f t="shared" si="33"/>
        <v>0</v>
      </c>
      <c r="O89" s="27">
        <f t="shared" si="33"/>
        <v>0</v>
      </c>
      <c r="P89" s="27">
        <f t="shared" si="33"/>
        <v>0</v>
      </c>
      <c r="Q89" s="27">
        <f t="shared" si="33"/>
        <v>0</v>
      </c>
      <c r="R89" s="27">
        <f t="shared" si="33"/>
        <v>0</v>
      </c>
      <c r="S89" s="27">
        <f t="shared" si="33"/>
        <v>0</v>
      </c>
      <c r="T89" s="27">
        <f t="shared" si="33"/>
        <v>0</v>
      </c>
      <c r="U89" s="27">
        <f t="shared" si="33"/>
        <v>0</v>
      </c>
      <c r="V89" s="27">
        <f t="shared" si="33"/>
        <v>0</v>
      </c>
      <c r="W89" s="27">
        <f t="shared" si="33"/>
        <v>0</v>
      </c>
      <c r="X89" s="27">
        <f t="shared" si="33"/>
        <v>0</v>
      </c>
      <c r="Y89" s="27">
        <f t="shared" si="33"/>
        <v>0</v>
      </c>
      <c r="Z89" s="27">
        <f t="shared" si="33"/>
        <v>0</v>
      </c>
      <c r="AA89" s="27">
        <f t="shared" si="33"/>
        <v>0</v>
      </c>
      <c r="AB89" s="27">
        <f t="shared" si="33"/>
        <v>0</v>
      </c>
      <c r="AC89" s="27">
        <f t="shared" si="33"/>
        <v>0</v>
      </c>
      <c r="AD89" s="27">
        <f t="shared" si="33"/>
        <v>0</v>
      </c>
      <c r="AE89" s="27">
        <f t="shared" si="33"/>
        <v>0</v>
      </c>
      <c r="AF89" s="27">
        <f t="shared" si="33"/>
        <v>0</v>
      </c>
      <c r="AG89" s="27">
        <f t="shared" si="33"/>
        <v>0</v>
      </c>
      <c r="AH89" s="27">
        <f t="shared" si="33"/>
        <v>0</v>
      </c>
      <c r="AI89" s="27">
        <f t="shared" si="33"/>
        <v>0</v>
      </c>
      <c r="AJ89" s="27">
        <f t="shared" si="33"/>
        <v>0</v>
      </c>
      <c r="AK89" s="27">
        <f t="shared" si="33"/>
        <v>0</v>
      </c>
      <c r="AL89" s="27">
        <f t="shared" si="33"/>
        <v>0</v>
      </c>
      <c r="AM89" s="27">
        <f t="shared" si="33"/>
        <v>0</v>
      </c>
      <c r="AN89" s="27">
        <f t="shared" si="33"/>
        <v>0</v>
      </c>
      <c r="AO89" s="27">
        <f t="shared" si="33"/>
        <v>0</v>
      </c>
      <c r="AP89" s="27">
        <f t="shared" si="33"/>
        <v>0</v>
      </c>
      <c r="AQ89" s="27">
        <v>3240000</v>
      </c>
      <c r="AR89" s="27">
        <v>3240000</v>
      </c>
      <c r="AS89" s="27">
        <v>3240000</v>
      </c>
      <c r="AT89" s="27">
        <v>3240000</v>
      </c>
      <c r="AU89" s="27">
        <v>3240000</v>
      </c>
      <c r="AV89" s="27">
        <v>3240000</v>
      </c>
      <c r="AW89" s="27">
        <v>3240000</v>
      </c>
      <c r="AX89" s="27">
        <v>3240000</v>
      </c>
      <c r="AY89" s="27">
        <v>3240000</v>
      </c>
      <c r="AZ89" s="27">
        <v>3240000</v>
      </c>
      <c r="BA89" s="27">
        <v>3240000</v>
      </c>
      <c r="BB89" s="27">
        <v>3240000</v>
      </c>
      <c r="BC89" s="27">
        <v>3240000</v>
      </c>
      <c r="BD89" s="27">
        <v>3240000</v>
      </c>
      <c r="BE89" s="27">
        <v>3240000</v>
      </c>
      <c r="BF89" s="27">
        <v>3240000</v>
      </c>
      <c r="BG89" s="27">
        <v>3240000</v>
      </c>
      <c r="BH89" s="27">
        <v>3240000</v>
      </c>
      <c r="BI89" s="27">
        <v>3240000</v>
      </c>
      <c r="BJ89" s="27">
        <v>3240000</v>
      </c>
      <c r="BK89" s="27">
        <v>3240000</v>
      </c>
      <c r="BL89" s="27">
        <v>3240000</v>
      </c>
      <c r="BM89" s="27">
        <v>3240000</v>
      </c>
      <c r="BN89" s="27">
        <v>3240000</v>
      </c>
      <c r="BO89" s="27">
        <v>3240000</v>
      </c>
      <c r="BP89" s="27">
        <v>3240000</v>
      </c>
      <c r="BQ89" s="27">
        <v>3240000</v>
      </c>
      <c r="BR89" s="27">
        <v>3240000</v>
      </c>
      <c r="BS89" s="27">
        <v>3240000</v>
      </c>
      <c r="BT89" s="27">
        <v>3240000</v>
      </c>
      <c r="BU89" s="27">
        <v>3240000</v>
      </c>
      <c r="BV89" s="27">
        <v>3240000</v>
      </c>
      <c r="BW89" s="27">
        <v>3240000</v>
      </c>
      <c r="BX89" s="27">
        <v>3240000</v>
      </c>
      <c r="BY89" s="27">
        <v>3240000</v>
      </c>
      <c r="BZ89" s="27">
        <v>3240000</v>
      </c>
      <c r="CA89" s="27">
        <v>3240000</v>
      </c>
      <c r="CB89" s="27">
        <v>3240000</v>
      </c>
      <c r="CC89" s="27">
        <v>3240000</v>
      </c>
      <c r="CD89" s="27">
        <v>3240000</v>
      </c>
      <c r="CE89" s="27">
        <v>3240000</v>
      </c>
      <c r="CF89" s="27">
        <v>3240000</v>
      </c>
      <c r="CG89" s="27">
        <v>3240000</v>
      </c>
      <c r="CH89" s="27">
        <v>3240000</v>
      </c>
      <c r="CI89" s="27">
        <v>3240000</v>
      </c>
      <c r="CJ89" s="27">
        <v>3240000</v>
      </c>
      <c r="CK89" s="27">
        <v>3240000</v>
      </c>
      <c r="CL89" s="27">
        <v>3240000</v>
      </c>
      <c r="CM89" s="74"/>
      <c r="CN89" s="74"/>
      <c r="CO89" s="74"/>
      <c r="CP89" s="74"/>
      <c r="CQ89" s="74"/>
      <c r="CR89" s="74"/>
      <c r="CS89" s="74"/>
      <c r="CT89" s="74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1"/>
      <c r="JV89" s="21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  <c r="KJ89" s="21"/>
      <c r="KK89" s="21"/>
      <c r="KL89" s="21"/>
      <c r="KM89" s="21"/>
      <c r="KN89" s="21"/>
      <c r="KO89" s="21"/>
      <c r="KP89" s="21"/>
      <c r="KQ89" s="21"/>
      <c r="KR89" s="21"/>
      <c r="KS89" s="21"/>
      <c r="KT89" s="21"/>
      <c r="KU89" s="21"/>
      <c r="KV89" s="21"/>
      <c r="KW89" s="21"/>
      <c r="KX89" s="21"/>
      <c r="KY89" s="21"/>
      <c r="KZ89" s="21"/>
      <c r="LA89" s="21"/>
      <c r="LB89" s="21"/>
      <c r="LC89" s="21"/>
      <c r="LD89" s="21"/>
      <c r="LE89" s="21"/>
      <c r="LF89" s="21"/>
      <c r="LG89" s="21"/>
      <c r="LH89" s="21"/>
      <c r="LI89" s="21"/>
      <c r="LJ89" s="21"/>
      <c r="LK89" s="21"/>
      <c r="LL89" s="21"/>
      <c r="LM89" s="21"/>
      <c r="LN89" s="21"/>
      <c r="LO89" s="21"/>
      <c r="LP89" s="21"/>
      <c r="LQ89" s="21"/>
      <c r="LR89" s="21"/>
      <c r="LS89" s="21"/>
      <c r="LT89" s="21"/>
      <c r="LU89" s="21"/>
      <c r="LV89" s="21"/>
      <c r="LW89" s="21"/>
      <c r="LX89" s="21"/>
      <c r="LY89" s="21"/>
      <c r="LZ89" s="21"/>
      <c r="MA89" s="21"/>
      <c r="MB89" s="21"/>
      <c r="MC89" s="21"/>
      <c r="MD89" s="21"/>
      <c r="ME89" s="21"/>
      <c r="MF89" s="21"/>
      <c r="MG89" s="21"/>
      <c r="MH89" s="21"/>
      <c r="MI89" s="21"/>
      <c r="MJ89" s="21"/>
      <c r="MK89" s="21"/>
      <c r="ML89" s="21"/>
      <c r="MM89" s="21"/>
      <c r="MN89" s="21"/>
      <c r="MO89" s="21"/>
      <c r="MP89" s="21"/>
      <c r="MQ89" s="21"/>
      <c r="MR89" s="21"/>
      <c r="MS89" s="21"/>
      <c r="MT89" s="21"/>
      <c r="MU89" s="21"/>
      <c r="MV89" s="21"/>
      <c r="MW89" s="21"/>
      <c r="MX89" s="21"/>
      <c r="MY89" s="21"/>
      <c r="MZ89" s="21"/>
      <c r="NA89" s="21"/>
      <c r="NB89" s="21"/>
      <c r="NC89" s="21"/>
      <c r="ND89" s="21"/>
      <c r="NE89" s="21"/>
      <c r="NF89" s="21"/>
      <c r="NG89" s="21"/>
      <c r="NH89" s="21"/>
      <c r="NI89" s="21"/>
      <c r="NJ89" s="21"/>
      <c r="NK89" s="21"/>
      <c r="NL89" s="21"/>
      <c r="NM89" s="21"/>
      <c r="NN89" s="21"/>
      <c r="NO89" s="21"/>
      <c r="NP89" s="21"/>
      <c r="NQ89" s="21"/>
      <c r="NR89" s="21"/>
      <c r="NS89" s="21"/>
      <c r="NT89" s="21"/>
      <c r="NU89" s="21"/>
      <c r="NV89" s="21"/>
      <c r="NW89" s="21"/>
      <c r="NX89" s="21"/>
      <c r="NY89" s="21"/>
      <c r="NZ89" s="21"/>
      <c r="OA89" s="21"/>
      <c r="OB89" s="21"/>
      <c r="OC89" s="21"/>
      <c r="OD89" s="21"/>
      <c r="OE89" s="21"/>
      <c r="OF89" s="21"/>
      <c r="OG89" s="21"/>
      <c r="OH89" s="21"/>
      <c r="OI89" s="21"/>
      <c r="OJ89" s="21"/>
      <c r="OK89" s="21"/>
      <c r="OL89" s="21"/>
      <c r="OM89" s="21"/>
      <c r="ON89" s="21"/>
      <c r="OO89" s="21"/>
      <c r="OP89" s="21"/>
      <c r="OQ89" s="21"/>
      <c r="OR89" s="21"/>
      <c r="OS89" s="21"/>
      <c r="OT89" s="21"/>
      <c r="OU89" s="21"/>
      <c r="OV89" s="21"/>
      <c r="OW89" s="21"/>
      <c r="OX89" s="21"/>
      <c r="OY89" s="21"/>
      <c r="OZ89" s="21"/>
      <c r="PA89" s="21"/>
      <c r="PB89" s="21"/>
      <c r="PC89" s="21"/>
      <c r="PD89" s="21"/>
      <c r="PE89" s="21"/>
      <c r="PF89" s="21"/>
      <c r="PG89" s="21"/>
      <c r="PH89" s="21"/>
      <c r="PI89" s="21"/>
      <c r="PJ89" s="21"/>
      <c r="PK89" s="21"/>
      <c r="PL89" s="21"/>
      <c r="PM89" s="21"/>
      <c r="PN89" s="21"/>
      <c r="PO89" s="21"/>
      <c r="PP89" s="21"/>
      <c r="PQ89" s="21"/>
      <c r="PR89" s="21"/>
      <c r="PS89" s="21"/>
      <c r="PT89" s="21"/>
      <c r="PU89" s="21"/>
      <c r="PV89" s="21"/>
      <c r="PW89" s="21"/>
      <c r="PX89" s="21"/>
      <c r="PY89" s="21"/>
      <c r="PZ89" s="21"/>
      <c r="QA89" s="21"/>
      <c r="QB89" s="21"/>
      <c r="QC89" s="21"/>
      <c r="QD89" s="21"/>
      <c r="QE89" s="21"/>
      <c r="QF89" s="21"/>
      <c r="QG89" s="21"/>
      <c r="QH89" s="21"/>
      <c r="QI89" s="21"/>
      <c r="QJ89" s="21"/>
      <c r="QK89" s="21"/>
      <c r="QL89" s="21"/>
      <c r="QM89" s="21"/>
      <c r="QN89" s="21"/>
      <c r="QO89" s="21"/>
      <c r="QP89" s="21"/>
      <c r="QQ89" s="21"/>
      <c r="QR89" s="21"/>
      <c r="QS89" s="21"/>
      <c r="QT89" s="21"/>
      <c r="QU89" s="21"/>
      <c r="QV89" s="21"/>
      <c r="QW89" s="21"/>
      <c r="QX89" s="21"/>
      <c r="QY89" s="21"/>
      <c r="QZ89" s="21"/>
      <c r="RA89" s="21"/>
      <c r="RB89" s="21"/>
      <c r="RC89" s="21"/>
      <c r="RD89" s="21"/>
      <c r="RE89" s="21"/>
      <c r="RF89" s="21"/>
      <c r="RG89" s="21"/>
      <c r="RH89" s="21"/>
      <c r="RI89" s="21"/>
      <c r="RJ89" s="21"/>
      <c r="RK89" s="21"/>
      <c r="RL89" s="21"/>
      <c r="RM89" s="21"/>
      <c r="RN89" s="21"/>
      <c r="RO89" s="21"/>
      <c r="RP89" s="21"/>
      <c r="RQ89" s="21"/>
      <c r="RR89" s="21"/>
      <c r="RS89" s="21"/>
      <c r="RT89" s="21"/>
      <c r="RU89" s="21"/>
      <c r="RV89" s="21"/>
      <c r="RW89" s="21"/>
      <c r="RX89" s="21"/>
      <c r="RY89" s="21"/>
      <c r="RZ89" s="21"/>
      <c r="SA89" s="21"/>
      <c r="SB89" s="21"/>
      <c r="SC89" s="21"/>
      <c r="SD89" s="21"/>
      <c r="SE89" s="21"/>
      <c r="SF89" s="21"/>
      <c r="SG89" s="21"/>
      <c r="SH89" s="21"/>
      <c r="SI89" s="21"/>
      <c r="SJ89" s="21"/>
      <c r="SK89" s="21"/>
      <c r="SL89" s="21"/>
      <c r="SM89" s="21"/>
      <c r="SN89" s="21"/>
      <c r="SO89" s="21"/>
      <c r="SP89" s="21"/>
      <c r="SQ89" s="21"/>
      <c r="SR89" s="21"/>
      <c r="SS89" s="21"/>
      <c r="ST89" s="21"/>
      <c r="SU89" s="21"/>
      <c r="SV89" s="21"/>
      <c r="SW89" s="21"/>
      <c r="SX89" s="21"/>
      <c r="SY89" s="21"/>
      <c r="SZ89" s="21"/>
      <c r="TA89" s="21"/>
      <c r="TB89" s="21"/>
      <c r="TC89" s="21"/>
      <c r="TD89" s="21"/>
      <c r="TE89" s="21"/>
      <c r="TF89" s="21"/>
      <c r="TG89" s="21"/>
      <c r="TH89" s="21"/>
      <c r="TI89" s="21"/>
      <c r="TJ89" s="21"/>
      <c r="TK89" s="21"/>
      <c r="TL89" s="21"/>
      <c r="TM89" s="21"/>
      <c r="TN89" s="21"/>
      <c r="TO89" s="21"/>
      <c r="TP89" s="21"/>
      <c r="TQ89" s="21"/>
      <c r="TR89" s="21"/>
      <c r="TS89" s="21"/>
      <c r="TT89" s="21"/>
      <c r="TU89" s="21"/>
      <c r="TV89" s="21"/>
      <c r="TW89" s="21"/>
      <c r="TX89" s="21"/>
      <c r="TY89" s="21"/>
      <c r="TZ89" s="21"/>
      <c r="UA89" s="21"/>
      <c r="UB89" s="21"/>
      <c r="UC89" s="21"/>
      <c r="UD89" s="21"/>
      <c r="UE89" s="21"/>
      <c r="UF89" s="21"/>
      <c r="UG89" s="21"/>
      <c r="UH89" s="21"/>
      <c r="UI89" s="21"/>
      <c r="UJ89" s="21"/>
      <c r="UK89" s="21"/>
      <c r="UL89" s="21"/>
      <c r="UM89" s="21"/>
      <c r="UN89" s="21"/>
      <c r="UO89" s="21"/>
      <c r="UP89" s="21"/>
      <c r="UQ89" s="21"/>
      <c r="UR89" s="21"/>
      <c r="US89" s="21"/>
      <c r="UT89" s="21"/>
      <c r="UU89" s="21"/>
      <c r="UV89" s="21"/>
      <c r="UW89" s="21"/>
      <c r="UX89" s="21"/>
      <c r="UY89" s="21"/>
      <c r="UZ89" s="21"/>
      <c r="VA89" s="21"/>
      <c r="VB89" s="21"/>
      <c r="VC89" s="21"/>
      <c r="VD89" s="21"/>
      <c r="VE89" s="21"/>
      <c r="VF89" s="21"/>
      <c r="VG89" s="21"/>
      <c r="VH89" s="21"/>
      <c r="VI89" s="21"/>
      <c r="VJ89" s="21"/>
      <c r="VK89" s="21"/>
      <c r="VL89" s="21"/>
      <c r="VM89" s="21"/>
      <c r="VN89" s="21"/>
      <c r="VO89" s="21"/>
      <c r="VP89" s="21"/>
      <c r="VQ89" s="21"/>
      <c r="VR89" s="21"/>
      <c r="VS89" s="21"/>
      <c r="VT89" s="21"/>
      <c r="VU89" s="21"/>
      <c r="VV89" s="21"/>
      <c r="VW89" s="21"/>
      <c r="VX89" s="21"/>
      <c r="VY89" s="21"/>
      <c r="VZ89" s="21"/>
      <c r="WA89" s="21"/>
      <c r="WB89" s="21"/>
      <c r="WC89" s="21"/>
      <c r="WD89" s="21"/>
      <c r="WE89" s="21"/>
      <c r="WF89" s="21"/>
      <c r="WG89" s="21"/>
      <c r="WH89" s="21"/>
      <c r="WI89" s="21"/>
      <c r="WJ89" s="21"/>
      <c r="WK89" s="21"/>
      <c r="WL89" s="21"/>
      <c r="WM89" s="21"/>
      <c r="WN89" s="21"/>
      <c r="WO89" s="21"/>
      <c r="WP89" s="21"/>
      <c r="WQ89" s="21"/>
      <c r="WR89" s="21"/>
      <c r="WS89" s="21"/>
      <c r="WT89" s="21"/>
      <c r="WU89" s="21"/>
      <c r="WV89" s="21"/>
      <c r="WW89" s="21"/>
      <c r="WX89" s="21"/>
      <c r="WY89" s="21"/>
      <c r="WZ89" s="21"/>
      <c r="XA89" s="21"/>
      <c r="XB89" s="21"/>
      <c r="XC89" s="21"/>
      <c r="XD89" s="21"/>
      <c r="XE89" s="21"/>
      <c r="XF89" s="21"/>
      <c r="XG89" s="21"/>
      <c r="XH89" s="21"/>
      <c r="XI89" s="21"/>
      <c r="XJ89" s="21"/>
      <c r="XK89" s="21"/>
      <c r="XL89" s="21"/>
      <c r="XM89" s="21"/>
      <c r="XN89" s="21"/>
      <c r="XO89" s="21"/>
      <c r="XP89" s="21"/>
      <c r="XQ89" s="21"/>
      <c r="XR89" s="21"/>
      <c r="XS89" s="21"/>
      <c r="XT89" s="21"/>
      <c r="XU89" s="21"/>
      <c r="XV89" s="21"/>
      <c r="XW89" s="21"/>
      <c r="XX89" s="21"/>
      <c r="XY89" s="21"/>
      <c r="XZ89" s="21"/>
      <c r="YA89" s="21"/>
      <c r="YB89" s="21"/>
      <c r="YC89" s="21"/>
      <c r="YD89" s="21"/>
      <c r="YE89" s="21"/>
      <c r="YF89" s="21"/>
      <c r="YG89" s="21"/>
      <c r="YH89" s="21"/>
      <c r="YI89" s="21"/>
      <c r="YJ89" s="21"/>
      <c r="YK89" s="21"/>
      <c r="YL89" s="21"/>
      <c r="YM89" s="21"/>
      <c r="YN89" s="21"/>
      <c r="YO89" s="21"/>
      <c r="YP89" s="21"/>
      <c r="YQ89" s="21"/>
      <c r="YR89" s="21"/>
      <c r="YS89" s="21"/>
      <c r="YT89" s="21"/>
      <c r="YU89" s="21"/>
      <c r="YV89" s="21"/>
      <c r="YW89" s="21"/>
      <c r="YX89" s="21"/>
      <c r="YY89" s="21"/>
      <c r="YZ89" s="21"/>
      <c r="ZA89" s="21"/>
      <c r="ZB89" s="21"/>
      <c r="ZC89" s="21"/>
      <c r="ZD89" s="21"/>
      <c r="ZE89" s="21"/>
      <c r="ZF89" s="21"/>
      <c r="ZG89" s="21"/>
      <c r="ZH89" s="21"/>
      <c r="ZI89" s="21"/>
      <c r="ZJ89" s="21"/>
      <c r="ZK89" s="21"/>
      <c r="ZL89" s="21"/>
      <c r="ZM89" s="21"/>
      <c r="ZN89" s="21"/>
      <c r="ZO89" s="21"/>
      <c r="ZP89" s="21"/>
      <c r="ZQ89" s="21"/>
      <c r="ZR89" s="21"/>
      <c r="ZS89" s="21"/>
      <c r="ZT89" s="21"/>
      <c r="ZU89" s="21"/>
      <c r="ZV89" s="21"/>
      <c r="ZW89" s="21"/>
      <c r="ZX89" s="21"/>
      <c r="ZY89" s="21"/>
      <c r="ZZ89" s="21"/>
      <c r="AAA89" s="21"/>
      <c r="AAB89" s="21"/>
      <c r="AAC89" s="21"/>
      <c r="AAD89" s="21"/>
      <c r="AAE89" s="21"/>
      <c r="AAF89" s="21"/>
      <c r="AAG89" s="21"/>
      <c r="AAH89" s="21"/>
      <c r="AAI89" s="21"/>
      <c r="AAJ89" s="21"/>
      <c r="AAK89" s="21"/>
      <c r="AAL89" s="21"/>
      <c r="AAM89" s="21"/>
      <c r="AAN89" s="21"/>
      <c r="AAO89" s="21"/>
      <c r="AAP89" s="21"/>
      <c r="AAQ89" s="21"/>
      <c r="AAR89" s="21"/>
      <c r="AAS89" s="21"/>
      <c r="AAT89" s="21"/>
      <c r="AAU89" s="21"/>
      <c r="AAV89" s="21"/>
      <c r="AAW89" s="21"/>
      <c r="AAX89" s="21"/>
      <c r="AAY89" s="21"/>
      <c r="AAZ89" s="21"/>
      <c r="ABA89" s="21"/>
      <c r="ABB89" s="21"/>
      <c r="ABC89" s="21"/>
      <c r="ABD89" s="21"/>
      <c r="ABE89" s="21"/>
      <c r="ABF89" s="21"/>
      <c r="ABG89" s="21"/>
      <c r="ABH89" s="21"/>
      <c r="ABI89" s="21"/>
      <c r="ABJ89" s="21"/>
      <c r="ABK89" s="21"/>
      <c r="ABL89" s="21"/>
      <c r="ABM89" s="21"/>
      <c r="ABN89" s="21"/>
      <c r="ABO89" s="21"/>
      <c r="ABP89" s="21"/>
      <c r="ABQ89" s="21"/>
      <c r="ABR89" s="21"/>
      <c r="ABS89" s="21"/>
      <c r="ABT89" s="21"/>
      <c r="ABU89" s="21"/>
      <c r="ABV89" s="21"/>
      <c r="ABW89" s="21"/>
      <c r="ABX89" s="21"/>
      <c r="ABY89" s="21"/>
      <c r="ABZ89" s="21"/>
      <c r="ACA89" s="21"/>
      <c r="ACB89" s="21"/>
      <c r="ACC89" s="21"/>
      <c r="ACD89" s="21"/>
      <c r="ACE89" s="21"/>
      <c r="ACF89" s="21"/>
      <c r="ACG89" s="21"/>
      <c r="ACH89" s="21"/>
      <c r="ACI89" s="21"/>
      <c r="ACJ89" s="21"/>
      <c r="ACK89" s="21"/>
      <c r="ACL89" s="21"/>
      <c r="ACM89" s="21"/>
      <c r="ACN89" s="21"/>
      <c r="ACO89" s="21"/>
      <c r="ACP89" s="21"/>
      <c r="ACQ89" s="21"/>
      <c r="ACR89" s="21"/>
      <c r="ACS89" s="21"/>
      <c r="ACT89" s="21"/>
      <c r="ACU89" s="21"/>
      <c r="ACV89" s="21"/>
      <c r="ACW89" s="21"/>
      <c r="ACX89" s="21"/>
      <c r="ACY89" s="21"/>
      <c r="ACZ89" s="21"/>
      <c r="ADA89" s="21"/>
      <c r="ADB89" s="21"/>
      <c r="ADC89" s="21"/>
      <c r="ADD89" s="21"/>
      <c r="ADE89" s="21"/>
      <c r="ADF89" s="21"/>
      <c r="ADG89" s="21"/>
      <c r="ADH89" s="21"/>
      <c r="ADI89" s="21"/>
      <c r="ADJ89" s="21"/>
      <c r="ADK89" s="21"/>
      <c r="ADL89" s="21"/>
      <c r="ADM89" s="21"/>
      <c r="ADN89" s="21"/>
      <c r="ADO89" s="21"/>
      <c r="ADP89" s="21"/>
      <c r="ADQ89" s="21"/>
      <c r="ADR89" s="21"/>
      <c r="ADS89" s="21"/>
      <c r="ADT89" s="21"/>
      <c r="ADU89" s="21"/>
      <c r="ADV89" s="21"/>
      <c r="ADW89" s="21"/>
      <c r="ADX89" s="21"/>
      <c r="ADY89" s="21"/>
      <c r="ADZ89" s="21"/>
      <c r="AEA89" s="21"/>
      <c r="AEB89" s="21"/>
      <c r="AEC89" s="21"/>
      <c r="AED89" s="21"/>
      <c r="AEE89" s="21"/>
      <c r="AEF89" s="21"/>
      <c r="AEG89" s="21"/>
      <c r="AEH89" s="21"/>
      <c r="AEI89" s="21"/>
      <c r="AEJ89" s="21"/>
      <c r="AEK89" s="21"/>
      <c r="AEL89" s="21"/>
      <c r="AEM89" s="21"/>
      <c r="AEN89" s="21"/>
      <c r="AEO89" s="21"/>
      <c r="AEP89" s="21"/>
      <c r="AEQ89" s="21"/>
      <c r="AER89" s="21"/>
      <c r="AES89" s="21"/>
      <c r="AET89" s="21"/>
      <c r="AEU89" s="21"/>
      <c r="AEV89" s="21"/>
      <c r="AEW89" s="21"/>
      <c r="AEX89" s="21"/>
      <c r="AEY89" s="21"/>
      <c r="AEZ89" s="21"/>
      <c r="AFA89" s="21"/>
      <c r="AFB89" s="21"/>
      <c r="AFC89" s="21"/>
      <c r="AFD89" s="21"/>
      <c r="AFE89" s="21"/>
      <c r="AFF89" s="21"/>
      <c r="AFG89" s="21"/>
      <c r="AFH89" s="21"/>
      <c r="AFI89" s="21"/>
      <c r="AFJ89" s="21"/>
      <c r="AFK89" s="21"/>
      <c r="AFL89" s="21"/>
      <c r="AFM89" s="21"/>
      <c r="AFN89" s="21"/>
      <c r="AFO89" s="21"/>
      <c r="AFP89" s="21"/>
      <c r="AFQ89" s="21"/>
      <c r="AFR89" s="21"/>
      <c r="AFS89" s="21"/>
      <c r="AFT89" s="21"/>
      <c r="AFU89" s="21"/>
      <c r="AFV89" s="21"/>
      <c r="AFW89" s="21"/>
      <c r="AFX89" s="21"/>
      <c r="AFY89" s="21"/>
      <c r="AFZ89" s="21"/>
      <c r="AGA89" s="21"/>
      <c r="AGB89" s="21"/>
      <c r="AGC89" s="21"/>
      <c r="AGD89" s="21"/>
      <c r="AGE89" s="21"/>
      <c r="AGF89" s="21"/>
      <c r="AGG89" s="21"/>
      <c r="AGH89" s="21"/>
      <c r="AGI89" s="21"/>
      <c r="AGJ89" s="21"/>
      <c r="AGK89" s="21"/>
      <c r="AGL89" s="21"/>
      <c r="AGM89" s="21"/>
      <c r="AGN89" s="21"/>
      <c r="AGO89" s="21"/>
      <c r="AGP89" s="21"/>
      <c r="AGQ89" s="21"/>
      <c r="AGR89" s="21"/>
      <c r="AGS89" s="21"/>
    </row>
    <row r="90" spans="1:877" ht="13">
      <c r="A90" s="12"/>
      <c r="B90" s="70" t="s">
        <v>57</v>
      </c>
      <c r="C90" s="71">
        <v>1500000</v>
      </c>
      <c r="D90" s="72">
        <v>47300</v>
      </c>
      <c r="E90" s="73">
        <v>9</v>
      </c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>
        <v>1500000</v>
      </c>
      <c r="BD90" s="27">
        <v>1500000</v>
      </c>
      <c r="BE90" s="27">
        <v>1500000</v>
      </c>
      <c r="BF90" s="27">
        <v>1500000</v>
      </c>
      <c r="BG90" s="27">
        <v>1500000</v>
      </c>
      <c r="BH90" s="27">
        <v>1500000</v>
      </c>
      <c r="BI90" s="27">
        <v>1500000</v>
      </c>
      <c r="BJ90" s="27">
        <v>1500000</v>
      </c>
      <c r="BK90" s="27">
        <v>1500000</v>
      </c>
      <c r="BL90" s="27">
        <v>1500000</v>
      </c>
      <c r="BM90" s="27">
        <v>1500000</v>
      </c>
      <c r="BN90" s="27">
        <v>1500000</v>
      </c>
      <c r="BO90" s="27">
        <v>1500000</v>
      </c>
      <c r="BP90" s="27">
        <v>1500000</v>
      </c>
      <c r="BQ90" s="27">
        <v>1500000</v>
      </c>
      <c r="BR90" s="27">
        <v>1500000</v>
      </c>
      <c r="BS90" s="27">
        <v>1500000</v>
      </c>
      <c r="BT90" s="27">
        <v>1500000</v>
      </c>
      <c r="BU90" s="27">
        <v>1500000</v>
      </c>
      <c r="BV90" s="27">
        <v>1500000</v>
      </c>
      <c r="BW90" s="27">
        <v>1500000</v>
      </c>
      <c r="BX90" s="27">
        <v>1500000</v>
      </c>
      <c r="BY90" s="27">
        <v>1500000</v>
      </c>
      <c r="BZ90" s="27">
        <v>1500000</v>
      </c>
      <c r="CA90" s="27">
        <v>1500000</v>
      </c>
      <c r="CB90" s="27">
        <v>1500000</v>
      </c>
      <c r="CC90" s="27">
        <v>1500000</v>
      </c>
      <c r="CD90" s="27">
        <v>1500000</v>
      </c>
      <c r="CE90" s="27">
        <v>1500000</v>
      </c>
      <c r="CF90" s="27">
        <v>1500000</v>
      </c>
      <c r="CG90" s="27">
        <v>1500000</v>
      </c>
      <c r="CH90" s="27">
        <v>1500000</v>
      </c>
      <c r="CI90" s="27">
        <v>1500000</v>
      </c>
      <c r="CJ90" s="27">
        <v>1500000</v>
      </c>
      <c r="CK90" s="27">
        <v>1500000</v>
      </c>
      <c r="CL90" s="27">
        <v>1500000</v>
      </c>
      <c r="CM90" s="74"/>
      <c r="CN90" s="74"/>
      <c r="CO90" s="74"/>
      <c r="CP90" s="74"/>
      <c r="CQ90" s="74"/>
      <c r="CR90" s="74"/>
      <c r="CS90" s="74"/>
      <c r="CT90" s="74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1"/>
      <c r="JV90" s="21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  <c r="KJ90" s="21"/>
      <c r="KK90" s="21"/>
      <c r="KL90" s="21"/>
      <c r="KM90" s="21"/>
      <c r="KN90" s="21"/>
      <c r="KO90" s="21"/>
      <c r="KP90" s="21"/>
      <c r="KQ90" s="21"/>
      <c r="KR90" s="21"/>
      <c r="KS90" s="21"/>
      <c r="KT90" s="21"/>
      <c r="KU90" s="21"/>
      <c r="KV90" s="21"/>
      <c r="KW90" s="21"/>
      <c r="KX90" s="21"/>
      <c r="KY90" s="21"/>
      <c r="KZ90" s="21"/>
      <c r="LA90" s="21"/>
      <c r="LB90" s="21"/>
      <c r="LC90" s="21"/>
      <c r="LD90" s="21"/>
      <c r="LE90" s="21"/>
      <c r="LF90" s="21"/>
      <c r="LG90" s="21"/>
      <c r="LH90" s="21"/>
      <c r="LI90" s="21"/>
      <c r="LJ90" s="21"/>
      <c r="LK90" s="21"/>
      <c r="LL90" s="21"/>
      <c r="LM90" s="21"/>
      <c r="LN90" s="21"/>
      <c r="LO90" s="21"/>
      <c r="LP90" s="21"/>
      <c r="LQ90" s="21"/>
      <c r="LR90" s="21"/>
      <c r="LS90" s="21"/>
      <c r="LT90" s="21"/>
      <c r="LU90" s="21"/>
      <c r="LV90" s="21"/>
      <c r="LW90" s="21"/>
      <c r="LX90" s="21"/>
      <c r="LY90" s="21"/>
      <c r="LZ90" s="21"/>
      <c r="MA90" s="21"/>
      <c r="MB90" s="21"/>
      <c r="MC90" s="21"/>
      <c r="MD90" s="21"/>
      <c r="ME90" s="21"/>
      <c r="MF90" s="21"/>
      <c r="MG90" s="21"/>
      <c r="MH90" s="21"/>
      <c r="MI90" s="21"/>
      <c r="MJ90" s="21"/>
      <c r="MK90" s="21"/>
      <c r="ML90" s="21"/>
      <c r="MM90" s="21"/>
      <c r="MN90" s="21"/>
      <c r="MO90" s="21"/>
      <c r="MP90" s="21"/>
      <c r="MQ90" s="21"/>
      <c r="MR90" s="21"/>
      <c r="MS90" s="21"/>
      <c r="MT90" s="21"/>
      <c r="MU90" s="21"/>
      <c r="MV90" s="21"/>
      <c r="MW90" s="21"/>
      <c r="MX90" s="21"/>
      <c r="MY90" s="21"/>
      <c r="MZ90" s="21"/>
      <c r="NA90" s="21"/>
      <c r="NB90" s="21"/>
      <c r="NC90" s="21"/>
      <c r="ND90" s="21"/>
      <c r="NE90" s="21"/>
      <c r="NF90" s="21"/>
      <c r="NG90" s="21"/>
      <c r="NH90" s="21"/>
      <c r="NI90" s="21"/>
      <c r="NJ90" s="21"/>
      <c r="NK90" s="21"/>
      <c r="NL90" s="21"/>
      <c r="NM90" s="21"/>
      <c r="NN90" s="21"/>
      <c r="NO90" s="21"/>
      <c r="NP90" s="21"/>
      <c r="NQ90" s="21"/>
      <c r="NR90" s="21"/>
      <c r="NS90" s="21"/>
      <c r="NT90" s="21"/>
      <c r="NU90" s="21"/>
      <c r="NV90" s="21"/>
      <c r="NW90" s="21"/>
      <c r="NX90" s="21"/>
      <c r="NY90" s="21"/>
      <c r="NZ90" s="21"/>
      <c r="OA90" s="21"/>
      <c r="OB90" s="21"/>
      <c r="OC90" s="21"/>
      <c r="OD90" s="21"/>
      <c r="OE90" s="21"/>
      <c r="OF90" s="21"/>
      <c r="OG90" s="21"/>
      <c r="OH90" s="21"/>
      <c r="OI90" s="21"/>
      <c r="OJ90" s="21"/>
      <c r="OK90" s="21"/>
      <c r="OL90" s="21"/>
      <c r="OM90" s="21"/>
      <c r="ON90" s="21"/>
      <c r="OO90" s="21"/>
      <c r="OP90" s="21"/>
      <c r="OQ90" s="21"/>
      <c r="OR90" s="21"/>
      <c r="OS90" s="21"/>
      <c r="OT90" s="21"/>
      <c r="OU90" s="21"/>
      <c r="OV90" s="21"/>
      <c r="OW90" s="21"/>
      <c r="OX90" s="21"/>
      <c r="OY90" s="21"/>
      <c r="OZ90" s="21"/>
      <c r="PA90" s="21"/>
      <c r="PB90" s="21"/>
      <c r="PC90" s="21"/>
      <c r="PD90" s="21"/>
      <c r="PE90" s="21"/>
      <c r="PF90" s="21"/>
      <c r="PG90" s="21"/>
      <c r="PH90" s="21"/>
      <c r="PI90" s="21"/>
      <c r="PJ90" s="21"/>
      <c r="PK90" s="21"/>
      <c r="PL90" s="21"/>
      <c r="PM90" s="21"/>
      <c r="PN90" s="21"/>
      <c r="PO90" s="21"/>
      <c r="PP90" s="21"/>
      <c r="PQ90" s="21"/>
      <c r="PR90" s="21"/>
      <c r="PS90" s="21"/>
      <c r="PT90" s="21"/>
      <c r="PU90" s="21"/>
      <c r="PV90" s="21"/>
      <c r="PW90" s="21"/>
      <c r="PX90" s="21"/>
      <c r="PY90" s="21"/>
      <c r="PZ90" s="21"/>
      <c r="QA90" s="21"/>
      <c r="QB90" s="21"/>
      <c r="QC90" s="21"/>
      <c r="QD90" s="21"/>
      <c r="QE90" s="21"/>
      <c r="QF90" s="21"/>
      <c r="QG90" s="21"/>
      <c r="QH90" s="21"/>
      <c r="QI90" s="21"/>
      <c r="QJ90" s="21"/>
      <c r="QK90" s="21"/>
      <c r="QL90" s="21"/>
      <c r="QM90" s="21"/>
      <c r="QN90" s="21"/>
      <c r="QO90" s="21"/>
      <c r="QP90" s="21"/>
      <c r="QQ90" s="21"/>
      <c r="QR90" s="21"/>
      <c r="QS90" s="21"/>
      <c r="QT90" s="21"/>
      <c r="QU90" s="21"/>
      <c r="QV90" s="21"/>
      <c r="QW90" s="21"/>
      <c r="QX90" s="21"/>
      <c r="QY90" s="21"/>
      <c r="QZ90" s="21"/>
      <c r="RA90" s="21"/>
      <c r="RB90" s="21"/>
      <c r="RC90" s="21"/>
      <c r="RD90" s="21"/>
      <c r="RE90" s="21"/>
      <c r="RF90" s="21"/>
      <c r="RG90" s="21"/>
      <c r="RH90" s="21"/>
      <c r="RI90" s="21"/>
      <c r="RJ90" s="21"/>
      <c r="RK90" s="21"/>
      <c r="RL90" s="21"/>
      <c r="RM90" s="21"/>
      <c r="RN90" s="21"/>
      <c r="RO90" s="21"/>
      <c r="RP90" s="21"/>
      <c r="RQ90" s="21"/>
      <c r="RR90" s="21"/>
      <c r="RS90" s="21"/>
      <c r="RT90" s="21"/>
      <c r="RU90" s="21"/>
      <c r="RV90" s="21"/>
      <c r="RW90" s="21"/>
      <c r="RX90" s="21"/>
      <c r="RY90" s="21"/>
      <c r="RZ90" s="21"/>
      <c r="SA90" s="21"/>
      <c r="SB90" s="21"/>
      <c r="SC90" s="21"/>
      <c r="SD90" s="21"/>
      <c r="SE90" s="21"/>
      <c r="SF90" s="21"/>
      <c r="SG90" s="21"/>
      <c r="SH90" s="21"/>
      <c r="SI90" s="21"/>
      <c r="SJ90" s="21"/>
      <c r="SK90" s="21"/>
      <c r="SL90" s="21"/>
      <c r="SM90" s="21"/>
      <c r="SN90" s="21"/>
      <c r="SO90" s="21"/>
      <c r="SP90" s="21"/>
      <c r="SQ90" s="21"/>
      <c r="SR90" s="21"/>
      <c r="SS90" s="21"/>
      <c r="ST90" s="21"/>
      <c r="SU90" s="21"/>
      <c r="SV90" s="21"/>
      <c r="SW90" s="21"/>
      <c r="SX90" s="21"/>
      <c r="SY90" s="21"/>
      <c r="SZ90" s="21"/>
      <c r="TA90" s="21"/>
      <c r="TB90" s="21"/>
      <c r="TC90" s="21"/>
      <c r="TD90" s="21"/>
      <c r="TE90" s="21"/>
      <c r="TF90" s="21"/>
      <c r="TG90" s="21"/>
      <c r="TH90" s="21"/>
      <c r="TI90" s="21"/>
      <c r="TJ90" s="21"/>
      <c r="TK90" s="21"/>
      <c r="TL90" s="21"/>
      <c r="TM90" s="21"/>
      <c r="TN90" s="21"/>
      <c r="TO90" s="21"/>
      <c r="TP90" s="21"/>
      <c r="TQ90" s="21"/>
      <c r="TR90" s="21"/>
      <c r="TS90" s="21"/>
      <c r="TT90" s="21"/>
      <c r="TU90" s="21"/>
      <c r="TV90" s="21"/>
      <c r="TW90" s="21"/>
      <c r="TX90" s="21"/>
      <c r="TY90" s="21"/>
      <c r="TZ90" s="21"/>
      <c r="UA90" s="21"/>
      <c r="UB90" s="21"/>
      <c r="UC90" s="21"/>
      <c r="UD90" s="21"/>
      <c r="UE90" s="21"/>
      <c r="UF90" s="21"/>
      <c r="UG90" s="21"/>
      <c r="UH90" s="21"/>
      <c r="UI90" s="21"/>
      <c r="UJ90" s="21"/>
      <c r="UK90" s="21"/>
      <c r="UL90" s="21"/>
      <c r="UM90" s="21"/>
      <c r="UN90" s="21"/>
      <c r="UO90" s="21"/>
      <c r="UP90" s="21"/>
      <c r="UQ90" s="21"/>
      <c r="UR90" s="21"/>
      <c r="US90" s="21"/>
      <c r="UT90" s="21"/>
      <c r="UU90" s="21"/>
      <c r="UV90" s="21"/>
      <c r="UW90" s="21"/>
      <c r="UX90" s="21"/>
      <c r="UY90" s="21"/>
      <c r="UZ90" s="21"/>
      <c r="VA90" s="21"/>
      <c r="VB90" s="21"/>
      <c r="VC90" s="21"/>
      <c r="VD90" s="21"/>
      <c r="VE90" s="21"/>
      <c r="VF90" s="21"/>
      <c r="VG90" s="21"/>
      <c r="VH90" s="21"/>
      <c r="VI90" s="21"/>
      <c r="VJ90" s="21"/>
      <c r="VK90" s="21"/>
      <c r="VL90" s="21"/>
      <c r="VM90" s="21"/>
      <c r="VN90" s="21"/>
      <c r="VO90" s="21"/>
      <c r="VP90" s="21"/>
      <c r="VQ90" s="21"/>
      <c r="VR90" s="21"/>
      <c r="VS90" s="21"/>
      <c r="VT90" s="21"/>
      <c r="VU90" s="21"/>
      <c r="VV90" s="21"/>
      <c r="VW90" s="21"/>
      <c r="VX90" s="21"/>
      <c r="VY90" s="21"/>
      <c r="VZ90" s="21"/>
      <c r="WA90" s="21"/>
      <c r="WB90" s="21"/>
      <c r="WC90" s="21"/>
      <c r="WD90" s="21"/>
      <c r="WE90" s="21"/>
      <c r="WF90" s="21"/>
      <c r="WG90" s="21"/>
      <c r="WH90" s="21"/>
      <c r="WI90" s="21"/>
      <c r="WJ90" s="21"/>
      <c r="WK90" s="21"/>
      <c r="WL90" s="21"/>
      <c r="WM90" s="21"/>
      <c r="WN90" s="21"/>
      <c r="WO90" s="21"/>
      <c r="WP90" s="21"/>
      <c r="WQ90" s="21"/>
      <c r="WR90" s="21"/>
      <c r="WS90" s="21"/>
      <c r="WT90" s="21"/>
      <c r="WU90" s="21"/>
      <c r="WV90" s="21"/>
      <c r="WW90" s="21"/>
      <c r="WX90" s="21"/>
      <c r="WY90" s="21"/>
      <c r="WZ90" s="21"/>
      <c r="XA90" s="21"/>
      <c r="XB90" s="21"/>
      <c r="XC90" s="21"/>
      <c r="XD90" s="21"/>
      <c r="XE90" s="21"/>
      <c r="XF90" s="21"/>
      <c r="XG90" s="21"/>
      <c r="XH90" s="21"/>
      <c r="XI90" s="21"/>
      <c r="XJ90" s="21"/>
      <c r="XK90" s="21"/>
      <c r="XL90" s="21"/>
      <c r="XM90" s="21"/>
      <c r="XN90" s="21"/>
      <c r="XO90" s="21"/>
      <c r="XP90" s="21"/>
      <c r="XQ90" s="21"/>
      <c r="XR90" s="21"/>
      <c r="XS90" s="21"/>
      <c r="XT90" s="21"/>
      <c r="XU90" s="21"/>
      <c r="XV90" s="21"/>
      <c r="XW90" s="21"/>
      <c r="XX90" s="21"/>
      <c r="XY90" s="21"/>
      <c r="XZ90" s="21"/>
      <c r="YA90" s="21"/>
      <c r="YB90" s="21"/>
      <c r="YC90" s="21"/>
      <c r="YD90" s="21"/>
      <c r="YE90" s="21"/>
      <c r="YF90" s="21"/>
      <c r="YG90" s="21"/>
      <c r="YH90" s="21"/>
      <c r="YI90" s="21"/>
      <c r="YJ90" s="21"/>
      <c r="YK90" s="21"/>
      <c r="YL90" s="21"/>
      <c r="YM90" s="21"/>
      <c r="YN90" s="21"/>
      <c r="YO90" s="21"/>
      <c r="YP90" s="21"/>
      <c r="YQ90" s="21"/>
      <c r="YR90" s="21"/>
      <c r="YS90" s="21"/>
      <c r="YT90" s="21"/>
      <c r="YU90" s="21"/>
      <c r="YV90" s="21"/>
      <c r="YW90" s="21"/>
      <c r="YX90" s="21"/>
      <c r="YY90" s="21"/>
      <c r="YZ90" s="21"/>
      <c r="ZA90" s="21"/>
      <c r="ZB90" s="21"/>
      <c r="ZC90" s="21"/>
      <c r="ZD90" s="21"/>
      <c r="ZE90" s="21"/>
      <c r="ZF90" s="21"/>
      <c r="ZG90" s="21"/>
      <c r="ZH90" s="21"/>
      <c r="ZI90" s="21"/>
      <c r="ZJ90" s="21"/>
      <c r="ZK90" s="21"/>
      <c r="ZL90" s="21"/>
      <c r="ZM90" s="21"/>
      <c r="ZN90" s="21"/>
      <c r="ZO90" s="21"/>
      <c r="ZP90" s="21"/>
      <c r="ZQ90" s="21"/>
      <c r="ZR90" s="21"/>
      <c r="ZS90" s="21"/>
      <c r="ZT90" s="21"/>
      <c r="ZU90" s="21"/>
      <c r="ZV90" s="21"/>
      <c r="ZW90" s="21"/>
      <c r="ZX90" s="21"/>
      <c r="ZY90" s="21"/>
      <c r="ZZ90" s="21"/>
      <c r="AAA90" s="21"/>
      <c r="AAB90" s="21"/>
      <c r="AAC90" s="21"/>
      <c r="AAD90" s="21"/>
      <c r="AAE90" s="21"/>
      <c r="AAF90" s="21"/>
      <c r="AAG90" s="21"/>
      <c r="AAH90" s="21"/>
      <c r="AAI90" s="21"/>
      <c r="AAJ90" s="21"/>
      <c r="AAK90" s="21"/>
      <c r="AAL90" s="21"/>
      <c r="AAM90" s="21"/>
      <c r="AAN90" s="21"/>
      <c r="AAO90" s="21"/>
      <c r="AAP90" s="21"/>
      <c r="AAQ90" s="21"/>
      <c r="AAR90" s="21"/>
      <c r="AAS90" s="21"/>
      <c r="AAT90" s="21"/>
      <c r="AAU90" s="21"/>
      <c r="AAV90" s="21"/>
      <c r="AAW90" s="21"/>
      <c r="AAX90" s="21"/>
      <c r="AAY90" s="21"/>
      <c r="AAZ90" s="21"/>
      <c r="ABA90" s="21"/>
      <c r="ABB90" s="21"/>
      <c r="ABC90" s="21"/>
      <c r="ABD90" s="21"/>
      <c r="ABE90" s="21"/>
      <c r="ABF90" s="21"/>
      <c r="ABG90" s="21"/>
      <c r="ABH90" s="21"/>
      <c r="ABI90" s="21"/>
      <c r="ABJ90" s="21"/>
      <c r="ABK90" s="21"/>
      <c r="ABL90" s="21"/>
      <c r="ABM90" s="21"/>
      <c r="ABN90" s="21"/>
      <c r="ABO90" s="21"/>
      <c r="ABP90" s="21"/>
      <c r="ABQ90" s="21"/>
      <c r="ABR90" s="21"/>
      <c r="ABS90" s="21"/>
      <c r="ABT90" s="21"/>
      <c r="ABU90" s="21"/>
      <c r="ABV90" s="21"/>
      <c r="ABW90" s="21"/>
      <c r="ABX90" s="21"/>
      <c r="ABY90" s="21"/>
      <c r="ABZ90" s="21"/>
      <c r="ACA90" s="21"/>
      <c r="ACB90" s="21"/>
      <c r="ACC90" s="21"/>
      <c r="ACD90" s="21"/>
      <c r="ACE90" s="21"/>
      <c r="ACF90" s="21"/>
      <c r="ACG90" s="21"/>
      <c r="ACH90" s="21"/>
      <c r="ACI90" s="21"/>
      <c r="ACJ90" s="21"/>
      <c r="ACK90" s="21"/>
      <c r="ACL90" s="21"/>
      <c r="ACM90" s="21"/>
      <c r="ACN90" s="21"/>
      <c r="ACO90" s="21"/>
      <c r="ACP90" s="21"/>
      <c r="ACQ90" s="21"/>
      <c r="ACR90" s="21"/>
      <c r="ACS90" s="21"/>
      <c r="ACT90" s="21"/>
      <c r="ACU90" s="21"/>
      <c r="ACV90" s="21"/>
      <c r="ACW90" s="21"/>
      <c r="ACX90" s="21"/>
      <c r="ACY90" s="21"/>
      <c r="ACZ90" s="21"/>
      <c r="ADA90" s="21"/>
      <c r="ADB90" s="21"/>
      <c r="ADC90" s="21"/>
      <c r="ADD90" s="21"/>
      <c r="ADE90" s="21"/>
      <c r="ADF90" s="21"/>
      <c r="ADG90" s="21"/>
      <c r="ADH90" s="21"/>
      <c r="ADI90" s="21"/>
      <c r="ADJ90" s="21"/>
      <c r="ADK90" s="21"/>
      <c r="ADL90" s="21"/>
      <c r="ADM90" s="21"/>
      <c r="ADN90" s="21"/>
      <c r="ADO90" s="21"/>
      <c r="ADP90" s="21"/>
      <c r="ADQ90" s="21"/>
      <c r="ADR90" s="21"/>
      <c r="ADS90" s="21"/>
      <c r="ADT90" s="21"/>
      <c r="ADU90" s="21"/>
      <c r="ADV90" s="21"/>
      <c r="ADW90" s="21"/>
      <c r="ADX90" s="21"/>
      <c r="ADY90" s="21"/>
      <c r="ADZ90" s="21"/>
      <c r="AEA90" s="21"/>
      <c r="AEB90" s="21"/>
      <c r="AEC90" s="21"/>
      <c r="AED90" s="21"/>
      <c r="AEE90" s="21"/>
      <c r="AEF90" s="21"/>
      <c r="AEG90" s="21"/>
      <c r="AEH90" s="21"/>
      <c r="AEI90" s="21"/>
      <c r="AEJ90" s="21"/>
      <c r="AEK90" s="21"/>
      <c r="AEL90" s="21"/>
      <c r="AEM90" s="21"/>
      <c r="AEN90" s="21"/>
      <c r="AEO90" s="21"/>
      <c r="AEP90" s="21"/>
      <c r="AEQ90" s="21"/>
      <c r="AER90" s="21"/>
      <c r="AES90" s="21"/>
      <c r="AET90" s="21"/>
      <c r="AEU90" s="21"/>
      <c r="AEV90" s="21"/>
      <c r="AEW90" s="21"/>
      <c r="AEX90" s="21"/>
      <c r="AEY90" s="21"/>
      <c r="AEZ90" s="21"/>
      <c r="AFA90" s="21"/>
      <c r="AFB90" s="21"/>
      <c r="AFC90" s="21"/>
      <c r="AFD90" s="21"/>
      <c r="AFE90" s="21"/>
      <c r="AFF90" s="21"/>
      <c r="AFG90" s="21"/>
      <c r="AFH90" s="21"/>
      <c r="AFI90" s="21"/>
      <c r="AFJ90" s="21"/>
      <c r="AFK90" s="21"/>
      <c r="AFL90" s="21"/>
      <c r="AFM90" s="21"/>
      <c r="AFN90" s="21"/>
      <c r="AFO90" s="21"/>
      <c r="AFP90" s="21"/>
      <c r="AFQ90" s="21"/>
      <c r="AFR90" s="21"/>
      <c r="AFS90" s="21"/>
      <c r="AFT90" s="21"/>
      <c r="AFU90" s="21"/>
      <c r="AFV90" s="21"/>
      <c r="AFW90" s="21"/>
      <c r="AFX90" s="21"/>
      <c r="AFY90" s="21"/>
      <c r="AFZ90" s="21"/>
      <c r="AGA90" s="21"/>
      <c r="AGB90" s="21"/>
      <c r="AGC90" s="21"/>
      <c r="AGD90" s="21"/>
      <c r="AGE90" s="21"/>
      <c r="AGF90" s="21"/>
      <c r="AGG90" s="21"/>
      <c r="AGH90" s="21"/>
      <c r="AGI90" s="21"/>
      <c r="AGJ90" s="21"/>
      <c r="AGK90" s="21"/>
      <c r="AGL90" s="21"/>
      <c r="AGM90" s="21"/>
      <c r="AGN90" s="21"/>
      <c r="AGO90" s="21"/>
      <c r="AGP90" s="21"/>
      <c r="AGQ90" s="21"/>
      <c r="AGR90" s="21"/>
      <c r="AGS90" s="21"/>
    </row>
    <row r="91" spans="1:877" ht="13">
      <c r="A91" s="12"/>
      <c r="B91" s="70" t="s">
        <v>58</v>
      </c>
      <c r="C91" s="71">
        <v>19440000</v>
      </c>
      <c r="D91" s="72">
        <v>47300</v>
      </c>
      <c r="E91" s="73">
        <v>9</v>
      </c>
      <c r="F91" s="27"/>
      <c r="G91" s="27">
        <f t="shared" ref="G91:AW91" si="34">IF(G$4&gt;=$D91,$C91,0)</f>
        <v>0</v>
      </c>
      <c r="H91" s="27">
        <f t="shared" si="34"/>
        <v>0</v>
      </c>
      <c r="I91" s="27">
        <f t="shared" si="34"/>
        <v>0</v>
      </c>
      <c r="J91" s="27">
        <f t="shared" si="34"/>
        <v>0</v>
      </c>
      <c r="K91" s="27">
        <f t="shared" si="34"/>
        <v>0</v>
      </c>
      <c r="L91" s="27">
        <f t="shared" si="34"/>
        <v>0</v>
      </c>
      <c r="M91" s="27">
        <f t="shared" si="34"/>
        <v>0</v>
      </c>
      <c r="N91" s="27">
        <f t="shared" si="34"/>
        <v>0</v>
      </c>
      <c r="O91" s="27">
        <f t="shared" si="34"/>
        <v>0</v>
      </c>
      <c r="P91" s="27">
        <f t="shared" si="34"/>
        <v>0</v>
      </c>
      <c r="Q91" s="27">
        <f t="shared" si="34"/>
        <v>0</v>
      </c>
      <c r="R91" s="27">
        <f t="shared" si="34"/>
        <v>0</v>
      </c>
      <c r="S91" s="27">
        <f t="shared" si="34"/>
        <v>0</v>
      </c>
      <c r="T91" s="27">
        <f t="shared" si="34"/>
        <v>0</v>
      </c>
      <c r="U91" s="27">
        <f t="shared" si="34"/>
        <v>0</v>
      </c>
      <c r="V91" s="27">
        <f t="shared" si="34"/>
        <v>0</v>
      </c>
      <c r="W91" s="27">
        <f t="shared" si="34"/>
        <v>0</v>
      </c>
      <c r="X91" s="27">
        <f t="shared" si="34"/>
        <v>0</v>
      </c>
      <c r="Y91" s="27">
        <f t="shared" si="34"/>
        <v>0</v>
      </c>
      <c r="Z91" s="27">
        <f t="shared" si="34"/>
        <v>0</v>
      </c>
      <c r="AA91" s="27">
        <f t="shared" si="34"/>
        <v>0</v>
      </c>
      <c r="AB91" s="27">
        <f t="shared" si="34"/>
        <v>0</v>
      </c>
      <c r="AC91" s="27">
        <f t="shared" si="34"/>
        <v>0</v>
      </c>
      <c r="AD91" s="27">
        <f t="shared" si="34"/>
        <v>0</v>
      </c>
      <c r="AE91" s="27">
        <f t="shared" si="34"/>
        <v>0</v>
      </c>
      <c r="AF91" s="27">
        <f t="shared" si="34"/>
        <v>0</v>
      </c>
      <c r="AG91" s="27">
        <f t="shared" si="34"/>
        <v>0</v>
      </c>
      <c r="AH91" s="27">
        <f t="shared" si="34"/>
        <v>0</v>
      </c>
      <c r="AI91" s="27">
        <f t="shared" si="34"/>
        <v>0</v>
      </c>
      <c r="AJ91" s="27">
        <f t="shared" si="34"/>
        <v>0</v>
      </c>
      <c r="AK91" s="27">
        <f t="shared" si="34"/>
        <v>0</v>
      </c>
      <c r="AL91" s="27">
        <f t="shared" si="34"/>
        <v>0</v>
      </c>
      <c r="AM91" s="27">
        <f t="shared" si="34"/>
        <v>0</v>
      </c>
      <c r="AN91" s="27">
        <f t="shared" si="34"/>
        <v>0</v>
      </c>
      <c r="AO91" s="27">
        <f t="shared" si="34"/>
        <v>0</v>
      </c>
      <c r="AP91" s="27">
        <f t="shared" si="34"/>
        <v>0</v>
      </c>
      <c r="AQ91" s="27">
        <f t="shared" si="34"/>
        <v>0</v>
      </c>
      <c r="AR91" s="27">
        <f t="shared" si="34"/>
        <v>0</v>
      </c>
      <c r="AS91" s="27">
        <f t="shared" si="34"/>
        <v>0</v>
      </c>
      <c r="AT91" s="27">
        <f t="shared" si="34"/>
        <v>0</v>
      </c>
      <c r="AU91" s="27">
        <f t="shared" si="34"/>
        <v>0</v>
      </c>
      <c r="AV91" s="27">
        <f t="shared" si="34"/>
        <v>0</v>
      </c>
      <c r="AW91" s="27">
        <f t="shared" si="34"/>
        <v>0</v>
      </c>
      <c r="AX91" s="27"/>
      <c r="AY91" s="27"/>
      <c r="AZ91" s="27"/>
      <c r="BA91" s="27"/>
      <c r="BB91" s="27"/>
      <c r="BC91" s="27">
        <v>19440000</v>
      </c>
      <c r="BD91" s="27">
        <v>19440000</v>
      </c>
      <c r="BE91" s="27">
        <v>19440000</v>
      </c>
      <c r="BF91" s="27">
        <v>19440000</v>
      </c>
      <c r="BG91" s="27">
        <v>19440000</v>
      </c>
      <c r="BH91" s="27">
        <v>19440000</v>
      </c>
      <c r="BI91" s="27">
        <v>19440000</v>
      </c>
      <c r="BJ91" s="27">
        <v>19440000</v>
      </c>
      <c r="BK91" s="27">
        <v>19440000</v>
      </c>
      <c r="BL91" s="27">
        <v>19440000</v>
      </c>
      <c r="BM91" s="27">
        <v>19440000</v>
      </c>
      <c r="BN91" s="27">
        <v>19440000</v>
      </c>
      <c r="BO91" s="27">
        <v>19440000</v>
      </c>
      <c r="BP91" s="27">
        <v>19440000</v>
      </c>
      <c r="BQ91" s="27">
        <v>19440000</v>
      </c>
      <c r="BR91" s="27">
        <v>19440000</v>
      </c>
      <c r="BS91" s="27">
        <v>19440000</v>
      </c>
      <c r="BT91" s="27">
        <v>19440000</v>
      </c>
      <c r="BU91" s="27">
        <v>19440000</v>
      </c>
      <c r="BV91" s="27">
        <v>19440000</v>
      </c>
      <c r="BW91" s="27">
        <v>19440000</v>
      </c>
      <c r="BX91" s="27">
        <v>19440000</v>
      </c>
      <c r="BY91" s="27">
        <v>19440000</v>
      </c>
      <c r="BZ91" s="27">
        <v>19440000</v>
      </c>
      <c r="CA91" s="27">
        <v>19440000</v>
      </c>
      <c r="CB91" s="27">
        <v>19440000</v>
      </c>
      <c r="CC91" s="27">
        <v>19440000</v>
      </c>
      <c r="CD91" s="27">
        <v>19440000</v>
      </c>
      <c r="CE91" s="27">
        <v>19440000</v>
      </c>
      <c r="CF91" s="27">
        <v>19440000</v>
      </c>
      <c r="CG91" s="27">
        <v>19440000</v>
      </c>
      <c r="CH91" s="27">
        <v>19440000</v>
      </c>
      <c r="CI91" s="27">
        <v>19440000</v>
      </c>
      <c r="CJ91" s="27">
        <v>19440000</v>
      </c>
      <c r="CK91" s="27">
        <v>19440000</v>
      </c>
      <c r="CL91" s="27">
        <v>19440000</v>
      </c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  <c r="KO91" s="21"/>
      <c r="KP91" s="21"/>
      <c r="KQ91" s="21"/>
      <c r="KR91" s="21"/>
      <c r="KS91" s="21"/>
      <c r="KT91" s="21"/>
      <c r="KU91" s="21"/>
      <c r="KV91" s="21"/>
      <c r="KW91" s="21"/>
      <c r="KX91" s="21"/>
      <c r="KY91" s="21"/>
      <c r="KZ91" s="21"/>
      <c r="LA91" s="21"/>
      <c r="LB91" s="21"/>
      <c r="LC91" s="21"/>
      <c r="LD91" s="21"/>
      <c r="LE91" s="21"/>
      <c r="LF91" s="21"/>
      <c r="LG91" s="21"/>
      <c r="LH91" s="21"/>
      <c r="LI91" s="21"/>
      <c r="LJ91" s="21"/>
      <c r="LK91" s="21"/>
      <c r="LL91" s="21"/>
      <c r="LM91" s="21"/>
      <c r="LN91" s="21"/>
      <c r="LO91" s="21"/>
      <c r="LP91" s="21"/>
      <c r="LQ91" s="21"/>
      <c r="LR91" s="21"/>
      <c r="LS91" s="21"/>
      <c r="LT91" s="21"/>
      <c r="LU91" s="21"/>
      <c r="LV91" s="21"/>
      <c r="LW91" s="21"/>
      <c r="LX91" s="21"/>
      <c r="LY91" s="21"/>
      <c r="LZ91" s="21"/>
      <c r="MA91" s="21"/>
      <c r="MB91" s="21"/>
      <c r="MC91" s="21"/>
      <c r="MD91" s="21"/>
      <c r="ME91" s="21"/>
      <c r="MF91" s="21"/>
      <c r="MG91" s="21"/>
      <c r="MH91" s="21"/>
      <c r="MI91" s="21"/>
      <c r="MJ91" s="21"/>
      <c r="MK91" s="21"/>
      <c r="ML91" s="21"/>
      <c r="MM91" s="21"/>
      <c r="MN91" s="21"/>
      <c r="MO91" s="21"/>
      <c r="MP91" s="21"/>
      <c r="MQ91" s="21"/>
      <c r="MR91" s="21"/>
      <c r="MS91" s="21"/>
      <c r="MT91" s="21"/>
      <c r="MU91" s="21"/>
      <c r="MV91" s="21"/>
      <c r="MW91" s="21"/>
      <c r="MX91" s="21"/>
      <c r="MY91" s="21"/>
      <c r="MZ91" s="21"/>
      <c r="NA91" s="21"/>
      <c r="NB91" s="21"/>
      <c r="NC91" s="21"/>
      <c r="ND91" s="21"/>
      <c r="NE91" s="21"/>
      <c r="NF91" s="21"/>
      <c r="NG91" s="21"/>
      <c r="NH91" s="21"/>
      <c r="NI91" s="21"/>
      <c r="NJ91" s="21"/>
      <c r="NK91" s="21"/>
      <c r="NL91" s="21"/>
      <c r="NM91" s="21"/>
      <c r="NN91" s="21"/>
      <c r="NO91" s="21"/>
      <c r="NP91" s="21"/>
      <c r="NQ91" s="21"/>
      <c r="NR91" s="21"/>
      <c r="NS91" s="21"/>
      <c r="NT91" s="21"/>
      <c r="NU91" s="21"/>
      <c r="NV91" s="21"/>
      <c r="NW91" s="21"/>
      <c r="NX91" s="21"/>
      <c r="NY91" s="21"/>
      <c r="NZ91" s="21"/>
      <c r="OA91" s="21"/>
      <c r="OB91" s="21"/>
      <c r="OC91" s="21"/>
      <c r="OD91" s="21"/>
      <c r="OE91" s="21"/>
      <c r="OF91" s="21"/>
      <c r="OG91" s="21"/>
      <c r="OH91" s="21"/>
      <c r="OI91" s="21"/>
      <c r="OJ91" s="21"/>
      <c r="OK91" s="21"/>
      <c r="OL91" s="21"/>
      <c r="OM91" s="21"/>
      <c r="ON91" s="21"/>
      <c r="OO91" s="21"/>
      <c r="OP91" s="21"/>
      <c r="OQ91" s="21"/>
      <c r="OR91" s="21"/>
      <c r="OS91" s="21"/>
      <c r="OT91" s="21"/>
      <c r="OU91" s="21"/>
      <c r="OV91" s="21"/>
      <c r="OW91" s="21"/>
      <c r="OX91" s="21"/>
      <c r="OY91" s="21"/>
      <c r="OZ91" s="21"/>
      <c r="PA91" s="21"/>
      <c r="PB91" s="21"/>
      <c r="PC91" s="21"/>
      <c r="PD91" s="21"/>
      <c r="PE91" s="21"/>
      <c r="PF91" s="21"/>
      <c r="PG91" s="21"/>
      <c r="PH91" s="21"/>
      <c r="PI91" s="21"/>
      <c r="PJ91" s="21"/>
      <c r="PK91" s="21"/>
      <c r="PL91" s="21"/>
      <c r="PM91" s="21"/>
      <c r="PN91" s="21"/>
      <c r="PO91" s="21"/>
      <c r="PP91" s="21"/>
      <c r="PQ91" s="21"/>
      <c r="PR91" s="21"/>
      <c r="PS91" s="21"/>
      <c r="PT91" s="21"/>
      <c r="PU91" s="21"/>
      <c r="PV91" s="21"/>
      <c r="PW91" s="21"/>
      <c r="PX91" s="21"/>
      <c r="PY91" s="21"/>
      <c r="PZ91" s="21"/>
      <c r="QA91" s="21"/>
      <c r="QB91" s="21"/>
      <c r="QC91" s="21"/>
      <c r="QD91" s="21"/>
      <c r="QE91" s="21"/>
      <c r="QF91" s="21"/>
      <c r="QG91" s="21"/>
      <c r="QH91" s="21"/>
      <c r="QI91" s="21"/>
      <c r="QJ91" s="21"/>
      <c r="QK91" s="21"/>
      <c r="QL91" s="21"/>
      <c r="QM91" s="21"/>
      <c r="QN91" s="21"/>
      <c r="QO91" s="21"/>
      <c r="QP91" s="21"/>
      <c r="QQ91" s="21"/>
      <c r="QR91" s="21"/>
      <c r="QS91" s="21"/>
      <c r="QT91" s="21"/>
      <c r="QU91" s="21"/>
      <c r="QV91" s="21"/>
      <c r="QW91" s="21"/>
      <c r="QX91" s="21"/>
      <c r="QY91" s="21"/>
      <c r="QZ91" s="21"/>
      <c r="RA91" s="21"/>
      <c r="RB91" s="21"/>
      <c r="RC91" s="21"/>
      <c r="RD91" s="21"/>
      <c r="RE91" s="21"/>
      <c r="RF91" s="21"/>
      <c r="RG91" s="21"/>
      <c r="RH91" s="21"/>
      <c r="RI91" s="21"/>
      <c r="RJ91" s="21"/>
      <c r="RK91" s="21"/>
      <c r="RL91" s="21"/>
      <c r="RM91" s="21"/>
      <c r="RN91" s="21"/>
      <c r="RO91" s="21"/>
      <c r="RP91" s="21"/>
      <c r="RQ91" s="21"/>
      <c r="RR91" s="21"/>
      <c r="RS91" s="21"/>
      <c r="RT91" s="21"/>
      <c r="RU91" s="21"/>
      <c r="RV91" s="21"/>
      <c r="RW91" s="21"/>
      <c r="RX91" s="21"/>
      <c r="RY91" s="21"/>
      <c r="RZ91" s="21"/>
      <c r="SA91" s="21"/>
      <c r="SB91" s="21"/>
      <c r="SC91" s="21"/>
      <c r="SD91" s="21"/>
      <c r="SE91" s="21"/>
      <c r="SF91" s="21"/>
      <c r="SG91" s="21"/>
      <c r="SH91" s="21"/>
      <c r="SI91" s="21"/>
      <c r="SJ91" s="21"/>
      <c r="SK91" s="21"/>
      <c r="SL91" s="21"/>
      <c r="SM91" s="21"/>
      <c r="SN91" s="21"/>
      <c r="SO91" s="21"/>
      <c r="SP91" s="21"/>
      <c r="SQ91" s="21"/>
      <c r="SR91" s="21"/>
      <c r="SS91" s="21"/>
      <c r="ST91" s="21"/>
      <c r="SU91" s="21"/>
      <c r="SV91" s="21"/>
      <c r="SW91" s="21"/>
      <c r="SX91" s="21"/>
      <c r="SY91" s="21"/>
      <c r="SZ91" s="21"/>
      <c r="TA91" s="21"/>
      <c r="TB91" s="21"/>
      <c r="TC91" s="21"/>
      <c r="TD91" s="21"/>
      <c r="TE91" s="21"/>
      <c r="TF91" s="21"/>
      <c r="TG91" s="21"/>
      <c r="TH91" s="21"/>
      <c r="TI91" s="21"/>
      <c r="TJ91" s="21"/>
      <c r="TK91" s="21"/>
      <c r="TL91" s="21"/>
      <c r="TM91" s="21"/>
      <c r="TN91" s="21"/>
      <c r="TO91" s="21"/>
      <c r="TP91" s="21"/>
      <c r="TQ91" s="21"/>
      <c r="TR91" s="21"/>
      <c r="TS91" s="21"/>
      <c r="TT91" s="21"/>
      <c r="TU91" s="21"/>
      <c r="TV91" s="21"/>
      <c r="TW91" s="21"/>
      <c r="TX91" s="21"/>
      <c r="TY91" s="21"/>
      <c r="TZ91" s="21"/>
      <c r="UA91" s="21"/>
      <c r="UB91" s="21"/>
      <c r="UC91" s="21"/>
      <c r="UD91" s="21"/>
      <c r="UE91" s="21"/>
      <c r="UF91" s="21"/>
      <c r="UG91" s="21"/>
      <c r="UH91" s="21"/>
      <c r="UI91" s="21"/>
      <c r="UJ91" s="21"/>
      <c r="UK91" s="21"/>
      <c r="UL91" s="21"/>
      <c r="UM91" s="21"/>
      <c r="UN91" s="21"/>
      <c r="UO91" s="21"/>
      <c r="UP91" s="21"/>
      <c r="UQ91" s="21"/>
      <c r="UR91" s="21"/>
      <c r="US91" s="21"/>
      <c r="UT91" s="21"/>
      <c r="UU91" s="21"/>
      <c r="UV91" s="21"/>
      <c r="UW91" s="21"/>
      <c r="UX91" s="21"/>
      <c r="UY91" s="21"/>
      <c r="UZ91" s="21"/>
      <c r="VA91" s="21"/>
      <c r="VB91" s="21"/>
      <c r="VC91" s="21"/>
      <c r="VD91" s="21"/>
      <c r="VE91" s="21"/>
      <c r="VF91" s="21"/>
      <c r="VG91" s="21"/>
      <c r="VH91" s="21"/>
      <c r="VI91" s="21"/>
      <c r="VJ91" s="21"/>
      <c r="VK91" s="21"/>
      <c r="VL91" s="21"/>
      <c r="VM91" s="21"/>
      <c r="VN91" s="21"/>
      <c r="VO91" s="21"/>
      <c r="VP91" s="21"/>
      <c r="VQ91" s="21"/>
      <c r="VR91" s="21"/>
      <c r="VS91" s="21"/>
      <c r="VT91" s="21"/>
      <c r="VU91" s="21"/>
      <c r="VV91" s="21"/>
      <c r="VW91" s="21"/>
      <c r="VX91" s="21"/>
      <c r="VY91" s="21"/>
      <c r="VZ91" s="21"/>
      <c r="WA91" s="21"/>
      <c r="WB91" s="21"/>
      <c r="WC91" s="21"/>
      <c r="WD91" s="21"/>
      <c r="WE91" s="21"/>
      <c r="WF91" s="21"/>
      <c r="WG91" s="21"/>
      <c r="WH91" s="21"/>
      <c r="WI91" s="21"/>
      <c r="WJ91" s="21"/>
      <c r="WK91" s="21"/>
      <c r="WL91" s="21"/>
      <c r="WM91" s="21"/>
      <c r="WN91" s="21"/>
      <c r="WO91" s="21"/>
      <c r="WP91" s="21"/>
      <c r="WQ91" s="21"/>
      <c r="WR91" s="21"/>
      <c r="WS91" s="21"/>
      <c r="WT91" s="21"/>
      <c r="WU91" s="21"/>
      <c r="WV91" s="21"/>
      <c r="WW91" s="21"/>
      <c r="WX91" s="21"/>
      <c r="WY91" s="21"/>
      <c r="WZ91" s="21"/>
      <c r="XA91" s="21"/>
      <c r="XB91" s="21"/>
      <c r="XC91" s="21"/>
      <c r="XD91" s="21"/>
      <c r="XE91" s="21"/>
      <c r="XF91" s="21"/>
      <c r="XG91" s="21"/>
      <c r="XH91" s="21"/>
      <c r="XI91" s="21"/>
      <c r="XJ91" s="21"/>
      <c r="XK91" s="21"/>
      <c r="XL91" s="21"/>
      <c r="XM91" s="21"/>
      <c r="XN91" s="21"/>
      <c r="XO91" s="21"/>
      <c r="XP91" s="21"/>
      <c r="XQ91" s="21"/>
      <c r="XR91" s="21"/>
      <c r="XS91" s="21"/>
      <c r="XT91" s="21"/>
      <c r="XU91" s="21"/>
      <c r="XV91" s="21"/>
      <c r="XW91" s="21"/>
      <c r="XX91" s="21"/>
      <c r="XY91" s="21"/>
      <c r="XZ91" s="21"/>
      <c r="YA91" s="21"/>
      <c r="YB91" s="21"/>
      <c r="YC91" s="21"/>
      <c r="YD91" s="21"/>
      <c r="YE91" s="21"/>
      <c r="YF91" s="21"/>
      <c r="YG91" s="21"/>
      <c r="YH91" s="21"/>
      <c r="YI91" s="21"/>
      <c r="YJ91" s="21"/>
      <c r="YK91" s="21"/>
      <c r="YL91" s="21"/>
      <c r="YM91" s="21"/>
      <c r="YN91" s="21"/>
      <c r="YO91" s="21"/>
      <c r="YP91" s="21"/>
      <c r="YQ91" s="21"/>
      <c r="YR91" s="21"/>
      <c r="YS91" s="21"/>
      <c r="YT91" s="21"/>
      <c r="YU91" s="21"/>
      <c r="YV91" s="21"/>
      <c r="YW91" s="21"/>
      <c r="YX91" s="21"/>
      <c r="YY91" s="21"/>
      <c r="YZ91" s="21"/>
      <c r="ZA91" s="21"/>
      <c r="ZB91" s="21"/>
      <c r="ZC91" s="21"/>
      <c r="ZD91" s="21"/>
      <c r="ZE91" s="21"/>
      <c r="ZF91" s="21"/>
      <c r="ZG91" s="21"/>
      <c r="ZH91" s="21"/>
      <c r="ZI91" s="21"/>
      <c r="ZJ91" s="21"/>
      <c r="ZK91" s="21"/>
      <c r="ZL91" s="21"/>
      <c r="ZM91" s="21"/>
      <c r="ZN91" s="21"/>
      <c r="ZO91" s="21"/>
      <c r="ZP91" s="21"/>
      <c r="ZQ91" s="21"/>
      <c r="ZR91" s="21"/>
      <c r="ZS91" s="21"/>
      <c r="ZT91" s="21"/>
      <c r="ZU91" s="21"/>
      <c r="ZV91" s="21"/>
      <c r="ZW91" s="21"/>
      <c r="ZX91" s="21"/>
      <c r="ZY91" s="21"/>
      <c r="ZZ91" s="21"/>
      <c r="AAA91" s="21"/>
      <c r="AAB91" s="21"/>
      <c r="AAC91" s="21"/>
      <c r="AAD91" s="21"/>
      <c r="AAE91" s="21"/>
      <c r="AAF91" s="21"/>
      <c r="AAG91" s="21"/>
      <c r="AAH91" s="21"/>
      <c r="AAI91" s="21"/>
      <c r="AAJ91" s="21"/>
      <c r="AAK91" s="21"/>
      <c r="AAL91" s="21"/>
      <c r="AAM91" s="21"/>
      <c r="AAN91" s="21"/>
      <c r="AAO91" s="21"/>
      <c r="AAP91" s="21"/>
      <c r="AAQ91" s="21"/>
      <c r="AAR91" s="21"/>
      <c r="AAS91" s="21"/>
      <c r="AAT91" s="21"/>
      <c r="AAU91" s="21"/>
      <c r="AAV91" s="21"/>
      <c r="AAW91" s="21"/>
      <c r="AAX91" s="21"/>
      <c r="AAY91" s="21"/>
      <c r="AAZ91" s="21"/>
      <c r="ABA91" s="21"/>
      <c r="ABB91" s="21"/>
      <c r="ABC91" s="21"/>
      <c r="ABD91" s="21"/>
      <c r="ABE91" s="21"/>
      <c r="ABF91" s="21"/>
      <c r="ABG91" s="21"/>
      <c r="ABH91" s="21"/>
      <c r="ABI91" s="21"/>
      <c r="ABJ91" s="21"/>
      <c r="ABK91" s="21"/>
      <c r="ABL91" s="21"/>
      <c r="ABM91" s="21"/>
      <c r="ABN91" s="21"/>
      <c r="ABO91" s="21"/>
      <c r="ABP91" s="21"/>
      <c r="ABQ91" s="21"/>
      <c r="ABR91" s="21"/>
      <c r="ABS91" s="21"/>
      <c r="ABT91" s="21"/>
      <c r="ABU91" s="21"/>
      <c r="ABV91" s="21"/>
      <c r="ABW91" s="21"/>
      <c r="ABX91" s="21"/>
      <c r="ABY91" s="21"/>
      <c r="ABZ91" s="21"/>
      <c r="ACA91" s="21"/>
      <c r="ACB91" s="21"/>
      <c r="ACC91" s="21"/>
      <c r="ACD91" s="21"/>
      <c r="ACE91" s="21"/>
      <c r="ACF91" s="21"/>
      <c r="ACG91" s="21"/>
      <c r="ACH91" s="21"/>
      <c r="ACI91" s="21"/>
      <c r="ACJ91" s="21"/>
      <c r="ACK91" s="21"/>
      <c r="ACL91" s="21"/>
      <c r="ACM91" s="21"/>
      <c r="ACN91" s="21"/>
      <c r="ACO91" s="21"/>
      <c r="ACP91" s="21"/>
      <c r="ACQ91" s="21"/>
      <c r="ACR91" s="21"/>
      <c r="ACS91" s="21"/>
      <c r="ACT91" s="21"/>
      <c r="ACU91" s="21"/>
      <c r="ACV91" s="21"/>
      <c r="ACW91" s="21"/>
      <c r="ACX91" s="21"/>
      <c r="ACY91" s="21"/>
      <c r="ACZ91" s="21"/>
      <c r="ADA91" s="21"/>
      <c r="ADB91" s="21"/>
      <c r="ADC91" s="21"/>
      <c r="ADD91" s="21"/>
      <c r="ADE91" s="21"/>
      <c r="ADF91" s="21"/>
      <c r="ADG91" s="21"/>
      <c r="ADH91" s="21"/>
      <c r="ADI91" s="21"/>
      <c r="ADJ91" s="21"/>
      <c r="ADK91" s="21"/>
      <c r="ADL91" s="21"/>
      <c r="ADM91" s="21"/>
      <c r="ADN91" s="21"/>
      <c r="ADO91" s="21"/>
      <c r="ADP91" s="21"/>
      <c r="ADQ91" s="21"/>
      <c r="ADR91" s="21"/>
      <c r="ADS91" s="21"/>
      <c r="ADT91" s="21"/>
      <c r="ADU91" s="21"/>
      <c r="ADV91" s="21"/>
      <c r="ADW91" s="21"/>
      <c r="ADX91" s="21"/>
      <c r="ADY91" s="21"/>
      <c r="ADZ91" s="21"/>
      <c r="AEA91" s="21"/>
      <c r="AEB91" s="21"/>
      <c r="AEC91" s="21"/>
      <c r="AED91" s="21"/>
      <c r="AEE91" s="21"/>
      <c r="AEF91" s="21"/>
      <c r="AEG91" s="21"/>
      <c r="AEH91" s="21"/>
      <c r="AEI91" s="21"/>
      <c r="AEJ91" s="21"/>
      <c r="AEK91" s="21"/>
      <c r="AEL91" s="21"/>
      <c r="AEM91" s="21"/>
      <c r="AEN91" s="21"/>
      <c r="AEO91" s="21"/>
      <c r="AEP91" s="21"/>
      <c r="AEQ91" s="21"/>
      <c r="AER91" s="21"/>
      <c r="AES91" s="21"/>
      <c r="AET91" s="21"/>
      <c r="AEU91" s="21"/>
      <c r="AEV91" s="21"/>
      <c r="AEW91" s="21"/>
      <c r="AEX91" s="21"/>
      <c r="AEY91" s="21"/>
      <c r="AEZ91" s="21"/>
      <c r="AFA91" s="21"/>
      <c r="AFB91" s="21"/>
      <c r="AFC91" s="21"/>
      <c r="AFD91" s="21"/>
      <c r="AFE91" s="21"/>
      <c r="AFF91" s="21"/>
      <c r="AFG91" s="21"/>
      <c r="AFH91" s="21"/>
      <c r="AFI91" s="21"/>
      <c r="AFJ91" s="21"/>
      <c r="AFK91" s="21"/>
      <c r="AFL91" s="21"/>
      <c r="AFM91" s="21"/>
      <c r="AFN91" s="21"/>
      <c r="AFO91" s="21"/>
      <c r="AFP91" s="21"/>
      <c r="AFQ91" s="21"/>
      <c r="AFR91" s="21"/>
      <c r="AFS91" s="21"/>
      <c r="AFT91" s="21"/>
      <c r="AFU91" s="21"/>
      <c r="AFV91" s="21"/>
      <c r="AFW91" s="21"/>
      <c r="AFX91" s="21"/>
      <c r="AFY91" s="21"/>
      <c r="AFZ91" s="21"/>
      <c r="AGA91" s="21"/>
      <c r="AGB91" s="21"/>
      <c r="AGC91" s="21"/>
      <c r="AGD91" s="21"/>
      <c r="AGE91" s="21"/>
      <c r="AGF91" s="21"/>
      <c r="AGG91" s="21"/>
      <c r="AGH91" s="21"/>
      <c r="AGI91" s="21"/>
      <c r="AGJ91" s="21"/>
      <c r="AGK91" s="21"/>
      <c r="AGL91" s="21"/>
      <c r="AGM91" s="21"/>
      <c r="AGN91" s="21"/>
      <c r="AGO91" s="21"/>
      <c r="AGP91" s="21"/>
      <c r="AGQ91" s="21"/>
      <c r="AGR91" s="21"/>
      <c r="AGS91" s="21"/>
    </row>
    <row r="92" spans="1:877" ht="13">
      <c r="A92" s="12"/>
      <c r="B92" s="70" t="s">
        <v>59</v>
      </c>
      <c r="C92" s="71">
        <f>750000*12</f>
        <v>9000000</v>
      </c>
      <c r="D92" s="72">
        <v>47665</v>
      </c>
      <c r="E92" s="73">
        <v>9</v>
      </c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>
        <v>9000000</v>
      </c>
      <c r="BP92" s="27">
        <v>9000000</v>
      </c>
      <c r="BQ92" s="27">
        <v>9000000</v>
      </c>
      <c r="BR92" s="27">
        <v>9000000</v>
      </c>
      <c r="BS92" s="27">
        <v>9000000</v>
      </c>
      <c r="BT92" s="27">
        <v>9000000</v>
      </c>
      <c r="BU92" s="27">
        <v>9000000</v>
      </c>
      <c r="BV92" s="27">
        <v>9000000</v>
      </c>
      <c r="BW92" s="27">
        <v>9000000</v>
      </c>
      <c r="BX92" s="27">
        <v>9000000</v>
      </c>
      <c r="BY92" s="27">
        <v>9000000</v>
      </c>
      <c r="BZ92" s="27">
        <v>9000000</v>
      </c>
      <c r="CA92" s="27">
        <v>9000000</v>
      </c>
      <c r="CB92" s="27">
        <v>9000000</v>
      </c>
      <c r="CC92" s="27">
        <v>9000000</v>
      </c>
      <c r="CD92" s="27">
        <v>9000000</v>
      </c>
      <c r="CE92" s="27">
        <v>9000000</v>
      </c>
      <c r="CF92" s="27">
        <v>9000000</v>
      </c>
      <c r="CG92" s="27">
        <v>9000000</v>
      </c>
      <c r="CH92" s="27">
        <v>9000000</v>
      </c>
      <c r="CI92" s="27">
        <v>9000000</v>
      </c>
      <c r="CJ92" s="27">
        <v>9000000</v>
      </c>
      <c r="CK92" s="27">
        <v>9000000</v>
      </c>
      <c r="CL92" s="27">
        <v>9000000</v>
      </c>
      <c r="CM92" s="74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1"/>
      <c r="JV92" s="21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  <c r="KJ92" s="21"/>
      <c r="KK92" s="21"/>
      <c r="KL92" s="21"/>
      <c r="KM92" s="21"/>
      <c r="KN92" s="21"/>
      <c r="KO92" s="21"/>
      <c r="KP92" s="21"/>
      <c r="KQ92" s="21"/>
      <c r="KR92" s="21"/>
      <c r="KS92" s="21"/>
      <c r="KT92" s="21"/>
      <c r="KU92" s="21"/>
      <c r="KV92" s="21"/>
      <c r="KW92" s="21"/>
      <c r="KX92" s="21"/>
      <c r="KY92" s="21"/>
      <c r="KZ92" s="21"/>
      <c r="LA92" s="21"/>
      <c r="LB92" s="21"/>
      <c r="LC92" s="21"/>
      <c r="LD92" s="21"/>
      <c r="LE92" s="21"/>
      <c r="LF92" s="21"/>
      <c r="LG92" s="21"/>
      <c r="LH92" s="21"/>
      <c r="LI92" s="21"/>
      <c r="LJ92" s="21"/>
      <c r="LK92" s="21"/>
      <c r="LL92" s="21"/>
      <c r="LM92" s="21"/>
      <c r="LN92" s="21"/>
      <c r="LO92" s="21"/>
      <c r="LP92" s="21"/>
      <c r="LQ92" s="21"/>
      <c r="LR92" s="21"/>
      <c r="LS92" s="21"/>
      <c r="LT92" s="21"/>
      <c r="LU92" s="21"/>
      <c r="LV92" s="21"/>
      <c r="LW92" s="21"/>
      <c r="LX92" s="21"/>
      <c r="LY92" s="21"/>
      <c r="LZ92" s="21"/>
      <c r="MA92" s="21"/>
      <c r="MB92" s="21"/>
      <c r="MC92" s="21"/>
      <c r="MD92" s="21"/>
      <c r="ME92" s="21"/>
      <c r="MF92" s="21"/>
      <c r="MG92" s="21"/>
      <c r="MH92" s="21"/>
      <c r="MI92" s="21"/>
      <c r="MJ92" s="21"/>
      <c r="MK92" s="21"/>
      <c r="ML92" s="21"/>
      <c r="MM92" s="21"/>
      <c r="MN92" s="21"/>
      <c r="MO92" s="21"/>
      <c r="MP92" s="21"/>
      <c r="MQ92" s="21"/>
      <c r="MR92" s="21"/>
      <c r="MS92" s="21"/>
      <c r="MT92" s="21"/>
      <c r="MU92" s="21"/>
      <c r="MV92" s="21"/>
      <c r="MW92" s="21"/>
      <c r="MX92" s="21"/>
      <c r="MY92" s="21"/>
      <c r="MZ92" s="21"/>
      <c r="NA92" s="21"/>
      <c r="NB92" s="21"/>
      <c r="NC92" s="21"/>
      <c r="ND92" s="21"/>
      <c r="NE92" s="21"/>
      <c r="NF92" s="21"/>
      <c r="NG92" s="21"/>
      <c r="NH92" s="21"/>
      <c r="NI92" s="21"/>
      <c r="NJ92" s="21"/>
      <c r="NK92" s="21"/>
      <c r="NL92" s="21"/>
      <c r="NM92" s="21"/>
      <c r="NN92" s="21"/>
      <c r="NO92" s="21"/>
      <c r="NP92" s="21"/>
      <c r="NQ92" s="21"/>
      <c r="NR92" s="21"/>
      <c r="NS92" s="21"/>
      <c r="NT92" s="21"/>
      <c r="NU92" s="21"/>
      <c r="NV92" s="21"/>
      <c r="NW92" s="21"/>
      <c r="NX92" s="21"/>
      <c r="NY92" s="21"/>
      <c r="NZ92" s="21"/>
      <c r="OA92" s="21"/>
      <c r="OB92" s="21"/>
      <c r="OC92" s="21"/>
      <c r="OD92" s="21"/>
      <c r="OE92" s="21"/>
      <c r="OF92" s="21"/>
      <c r="OG92" s="21"/>
      <c r="OH92" s="21"/>
      <c r="OI92" s="21"/>
      <c r="OJ92" s="21"/>
      <c r="OK92" s="21"/>
      <c r="OL92" s="21"/>
      <c r="OM92" s="21"/>
      <c r="ON92" s="21"/>
      <c r="OO92" s="21"/>
      <c r="OP92" s="21"/>
      <c r="OQ92" s="21"/>
      <c r="OR92" s="21"/>
      <c r="OS92" s="21"/>
      <c r="OT92" s="21"/>
      <c r="OU92" s="21"/>
      <c r="OV92" s="21"/>
      <c r="OW92" s="21"/>
      <c r="OX92" s="21"/>
      <c r="OY92" s="21"/>
      <c r="OZ92" s="21"/>
      <c r="PA92" s="21"/>
      <c r="PB92" s="21"/>
      <c r="PC92" s="21"/>
      <c r="PD92" s="21"/>
      <c r="PE92" s="21"/>
      <c r="PF92" s="21"/>
      <c r="PG92" s="21"/>
      <c r="PH92" s="21"/>
      <c r="PI92" s="21"/>
      <c r="PJ92" s="21"/>
      <c r="PK92" s="21"/>
      <c r="PL92" s="21"/>
      <c r="PM92" s="21"/>
      <c r="PN92" s="21"/>
      <c r="PO92" s="21"/>
      <c r="PP92" s="21"/>
      <c r="PQ92" s="21"/>
      <c r="PR92" s="21"/>
      <c r="PS92" s="21"/>
      <c r="PT92" s="21"/>
      <c r="PU92" s="21"/>
      <c r="PV92" s="21"/>
      <c r="PW92" s="21"/>
      <c r="PX92" s="21"/>
      <c r="PY92" s="21"/>
      <c r="PZ92" s="21"/>
      <c r="QA92" s="21"/>
      <c r="QB92" s="21"/>
      <c r="QC92" s="21"/>
      <c r="QD92" s="21"/>
      <c r="QE92" s="21"/>
      <c r="QF92" s="21"/>
      <c r="QG92" s="21"/>
      <c r="QH92" s="21"/>
      <c r="QI92" s="21"/>
      <c r="QJ92" s="21"/>
      <c r="QK92" s="21"/>
      <c r="QL92" s="21"/>
      <c r="QM92" s="21"/>
      <c r="QN92" s="21"/>
      <c r="QO92" s="21"/>
      <c r="QP92" s="21"/>
      <c r="QQ92" s="21"/>
      <c r="QR92" s="21"/>
      <c r="QS92" s="21"/>
      <c r="QT92" s="21"/>
      <c r="QU92" s="21"/>
      <c r="QV92" s="21"/>
      <c r="QW92" s="21"/>
      <c r="QX92" s="21"/>
      <c r="QY92" s="21"/>
      <c r="QZ92" s="21"/>
      <c r="RA92" s="21"/>
      <c r="RB92" s="21"/>
      <c r="RC92" s="21"/>
      <c r="RD92" s="21"/>
      <c r="RE92" s="21"/>
      <c r="RF92" s="21"/>
      <c r="RG92" s="21"/>
      <c r="RH92" s="21"/>
      <c r="RI92" s="21"/>
      <c r="RJ92" s="21"/>
      <c r="RK92" s="21"/>
      <c r="RL92" s="21"/>
      <c r="RM92" s="21"/>
      <c r="RN92" s="21"/>
      <c r="RO92" s="21"/>
      <c r="RP92" s="21"/>
      <c r="RQ92" s="21"/>
      <c r="RR92" s="21"/>
      <c r="RS92" s="21"/>
      <c r="RT92" s="21"/>
      <c r="RU92" s="21"/>
      <c r="RV92" s="21"/>
      <c r="RW92" s="21"/>
      <c r="RX92" s="21"/>
      <c r="RY92" s="21"/>
      <c r="RZ92" s="21"/>
      <c r="SA92" s="21"/>
      <c r="SB92" s="21"/>
      <c r="SC92" s="21"/>
      <c r="SD92" s="21"/>
      <c r="SE92" s="21"/>
      <c r="SF92" s="21"/>
      <c r="SG92" s="21"/>
      <c r="SH92" s="21"/>
      <c r="SI92" s="21"/>
      <c r="SJ92" s="21"/>
      <c r="SK92" s="21"/>
      <c r="SL92" s="21"/>
      <c r="SM92" s="21"/>
      <c r="SN92" s="21"/>
      <c r="SO92" s="21"/>
      <c r="SP92" s="21"/>
      <c r="SQ92" s="21"/>
      <c r="SR92" s="21"/>
      <c r="SS92" s="21"/>
      <c r="ST92" s="21"/>
      <c r="SU92" s="21"/>
      <c r="SV92" s="21"/>
      <c r="SW92" s="21"/>
      <c r="SX92" s="21"/>
      <c r="SY92" s="21"/>
      <c r="SZ92" s="21"/>
      <c r="TA92" s="21"/>
      <c r="TB92" s="21"/>
      <c r="TC92" s="21"/>
      <c r="TD92" s="21"/>
      <c r="TE92" s="21"/>
      <c r="TF92" s="21"/>
      <c r="TG92" s="21"/>
      <c r="TH92" s="21"/>
      <c r="TI92" s="21"/>
      <c r="TJ92" s="21"/>
      <c r="TK92" s="21"/>
      <c r="TL92" s="21"/>
      <c r="TM92" s="21"/>
      <c r="TN92" s="21"/>
      <c r="TO92" s="21"/>
      <c r="TP92" s="21"/>
      <c r="TQ92" s="21"/>
      <c r="TR92" s="21"/>
      <c r="TS92" s="21"/>
      <c r="TT92" s="21"/>
      <c r="TU92" s="21"/>
      <c r="TV92" s="21"/>
      <c r="TW92" s="21"/>
      <c r="TX92" s="21"/>
      <c r="TY92" s="21"/>
      <c r="TZ92" s="21"/>
      <c r="UA92" s="21"/>
      <c r="UB92" s="21"/>
      <c r="UC92" s="21"/>
      <c r="UD92" s="21"/>
      <c r="UE92" s="21"/>
      <c r="UF92" s="21"/>
      <c r="UG92" s="21"/>
      <c r="UH92" s="21"/>
      <c r="UI92" s="21"/>
      <c r="UJ92" s="21"/>
      <c r="UK92" s="21"/>
      <c r="UL92" s="21"/>
      <c r="UM92" s="21"/>
      <c r="UN92" s="21"/>
      <c r="UO92" s="21"/>
      <c r="UP92" s="21"/>
      <c r="UQ92" s="21"/>
      <c r="UR92" s="21"/>
      <c r="US92" s="21"/>
      <c r="UT92" s="21"/>
      <c r="UU92" s="21"/>
      <c r="UV92" s="21"/>
      <c r="UW92" s="21"/>
      <c r="UX92" s="21"/>
      <c r="UY92" s="21"/>
      <c r="UZ92" s="21"/>
      <c r="VA92" s="21"/>
      <c r="VB92" s="21"/>
      <c r="VC92" s="21"/>
      <c r="VD92" s="21"/>
      <c r="VE92" s="21"/>
      <c r="VF92" s="21"/>
      <c r="VG92" s="21"/>
      <c r="VH92" s="21"/>
      <c r="VI92" s="21"/>
      <c r="VJ92" s="21"/>
      <c r="VK92" s="21"/>
      <c r="VL92" s="21"/>
      <c r="VM92" s="21"/>
      <c r="VN92" s="21"/>
      <c r="VO92" s="21"/>
      <c r="VP92" s="21"/>
      <c r="VQ92" s="21"/>
      <c r="VR92" s="21"/>
      <c r="VS92" s="21"/>
      <c r="VT92" s="21"/>
      <c r="VU92" s="21"/>
      <c r="VV92" s="21"/>
      <c r="VW92" s="21"/>
      <c r="VX92" s="21"/>
      <c r="VY92" s="21"/>
      <c r="VZ92" s="21"/>
      <c r="WA92" s="21"/>
      <c r="WB92" s="21"/>
      <c r="WC92" s="21"/>
      <c r="WD92" s="21"/>
      <c r="WE92" s="21"/>
      <c r="WF92" s="21"/>
      <c r="WG92" s="21"/>
      <c r="WH92" s="21"/>
      <c r="WI92" s="21"/>
      <c r="WJ92" s="21"/>
      <c r="WK92" s="21"/>
      <c r="WL92" s="21"/>
      <c r="WM92" s="21"/>
      <c r="WN92" s="21"/>
      <c r="WO92" s="21"/>
      <c r="WP92" s="21"/>
      <c r="WQ92" s="21"/>
      <c r="WR92" s="21"/>
      <c r="WS92" s="21"/>
      <c r="WT92" s="21"/>
      <c r="WU92" s="21"/>
      <c r="WV92" s="21"/>
      <c r="WW92" s="21"/>
      <c r="WX92" s="21"/>
      <c r="WY92" s="21"/>
      <c r="WZ92" s="21"/>
      <c r="XA92" s="21"/>
      <c r="XB92" s="21"/>
      <c r="XC92" s="21"/>
      <c r="XD92" s="21"/>
      <c r="XE92" s="21"/>
      <c r="XF92" s="21"/>
      <c r="XG92" s="21"/>
      <c r="XH92" s="21"/>
      <c r="XI92" s="21"/>
      <c r="XJ92" s="21"/>
      <c r="XK92" s="21"/>
      <c r="XL92" s="21"/>
      <c r="XM92" s="21"/>
      <c r="XN92" s="21"/>
      <c r="XO92" s="21"/>
      <c r="XP92" s="21"/>
      <c r="XQ92" s="21"/>
      <c r="XR92" s="21"/>
      <c r="XS92" s="21"/>
      <c r="XT92" s="21"/>
      <c r="XU92" s="21"/>
      <c r="XV92" s="21"/>
      <c r="XW92" s="21"/>
      <c r="XX92" s="21"/>
      <c r="XY92" s="21"/>
      <c r="XZ92" s="21"/>
      <c r="YA92" s="21"/>
      <c r="YB92" s="21"/>
      <c r="YC92" s="21"/>
      <c r="YD92" s="21"/>
      <c r="YE92" s="21"/>
      <c r="YF92" s="21"/>
      <c r="YG92" s="21"/>
      <c r="YH92" s="21"/>
      <c r="YI92" s="21"/>
      <c r="YJ92" s="21"/>
      <c r="YK92" s="21"/>
      <c r="YL92" s="21"/>
      <c r="YM92" s="21"/>
      <c r="YN92" s="21"/>
      <c r="YO92" s="21"/>
      <c r="YP92" s="21"/>
      <c r="YQ92" s="21"/>
      <c r="YR92" s="21"/>
      <c r="YS92" s="21"/>
      <c r="YT92" s="21"/>
      <c r="YU92" s="21"/>
      <c r="YV92" s="21"/>
      <c r="YW92" s="21"/>
      <c r="YX92" s="21"/>
      <c r="YY92" s="21"/>
      <c r="YZ92" s="21"/>
      <c r="ZA92" s="21"/>
      <c r="ZB92" s="21"/>
      <c r="ZC92" s="21"/>
      <c r="ZD92" s="21"/>
      <c r="ZE92" s="21"/>
      <c r="ZF92" s="21"/>
      <c r="ZG92" s="21"/>
      <c r="ZH92" s="21"/>
      <c r="ZI92" s="21"/>
      <c r="ZJ92" s="21"/>
      <c r="ZK92" s="21"/>
      <c r="ZL92" s="21"/>
      <c r="ZM92" s="21"/>
      <c r="ZN92" s="21"/>
      <c r="ZO92" s="21"/>
      <c r="ZP92" s="21"/>
      <c r="ZQ92" s="21"/>
      <c r="ZR92" s="21"/>
      <c r="ZS92" s="21"/>
      <c r="ZT92" s="21"/>
      <c r="ZU92" s="21"/>
      <c r="ZV92" s="21"/>
      <c r="ZW92" s="21"/>
      <c r="ZX92" s="21"/>
      <c r="ZY92" s="21"/>
      <c r="ZZ92" s="21"/>
      <c r="AAA92" s="21"/>
      <c r="AAB92" s="21"/>
      <c r="AAC92" s="21"/>
      <c r="AAD92" s="21"/>
      <c r="AAE92" s="21"/>
      <c r="AAF92" s="21"/>
      <c r="AAG92" s="21"/>
      <c r="AAH92" s="21"/>
      <c r="AAI92" s="21"/>
      <c r="AAJ92" s="21"/>
      <c r="AAK92" s="21"/>
      <c r="AAL92" s="21"/>
      <c r="AAM92" s="21"/>
      <c r="AAN92" s="21"/>
      <c r="AAO92" s="21"/>
      <c r="AAP92" s="21"/>
      <c r="AAQ92" s="21"/>
      <c r="AAR92" s="21"/>
      <c r="AAS92" s="21"/>
      <c r="AAT92" s="21"/>
      <c r="AAU92" s="21"/>
      <c r="AAV92" s="21"/>
      <c r="AAW92" s="21"/>
      <c r="AAX92" s="21"/>
      <c r="AAY92" s="21"/>
      <c r="AAZ92" s="21"/>
      <c r="ABA92" s="21"/>
      <c r="ABB92" s="21"/>
      <c r="ABC92" s="21"/>
      <c r="ABD92" s="21"/>
      <c r="ABE92" s="21"/>
      <c r="ABF92" s="21"/>
      <c r="ABG92" s="21"/>
      <c r="ABH92" s="21"/>
      <c r="ABI92" s="21"/>
      <c r="ABJ92" s="21"/>
      <c r="ABK92" s="21"/>
      <c r="ABL92" s="21"/>
      <c r="ABM92" s="21"/>
      <c r="ABN92" s="21"/>
      <c r="ABO92" s="21"/>
      <c r="ABP92" s="21"/>
      <c r="ABQ92" s="21"/>
      <c r="ABR92" s="21"/>
      <c r="ABS92" s="21"/>
      <c r="ABT92" s="21"/>
      <c r="ABU92" s="21"/>
      <c r="ABV92" s="21"/>
      <c r="ABW92" s="21"/>
      <c r="ABX92" s="21"/>
      <c r="ABY92" s="21"/>
      <c r="ABZ92" s="21"/>
      <c r="ACA92" s="21"/>
      <c r="ACB92" s="21"/>
      <c r="ACC92" s="21"/>
      <c r="ACD92" s="21"/>
      <c r="ACE92" s="21"/>
      <c r="ACF92" s="21"/>
      <c r="ACG92" s="21"/>
      <c r="ACH92" s="21"/>
      <c r="ACI92" s="21"/>
      <c r="ACJ92" s="21"/>
      <c r="ACK92" s="21"/>
      <c r="ACL92" s="21"/>
      <c r="ACM92" s="21"/>
      <c r="ACN92" s="21"/>
      <c r="ACO92" s="21"/>
      <c r="ACP92" s="21"/>
      <c r="ACQ92" s="21"/>
      <c r="ACR92" s="21"/>
      <c r="ACS92" s="21"/>
      <c r="ACT92" s="21"/>
      <c r="ACU92" s="21"/>
      <c r="ACV92" s="21"/>
      <c r="ACW92" s="21"/>
      <c r="ACX92" s="21"/>
      <c r="ACY92" s="21"/>
      <c r="ACZ92" s="21"/>
      <c r="ADA92" s="21"/>
      <c r="ADB92" s="21"/>
      <c r="ADC92" s="21"/>
      <c r="ADD92" s="21"/>
      <c r="ADE92" s="21"/>
      <c r="ADF92" s="21"/>
      <c r="ADG92" s="21"/>
      <c r="ADH92" s="21"/>
      <c r="ADI92" s="21"/>
      <c r="ADJ92" s="21"/>
      <c r="ADK92" s="21"/>
      <c r="ADL92" s="21"/>
      <c r="ADM92" s="21"/>
      <c r="ADN92" s="21"/>
      <c r="ADO92" s="21"/>
      <c r="ADP92" s="21"/>
      <c r="ADQ92" s="21"/>
      <c r="ADR92" s="21"/>
      <c r="ADS92" s="21"/>
      <c r="ADT92" s="21"/>
      <c r="ADU92" s="21"/>
      <c r="ADV92" s="21"/>
      <c r="ADW92" s="21"/>
      <c r="ADX92" s="21"/>
      <c r="ADY92" s="21"/>
      <c r="ADZ92" s="21"/>
      <c r="AEA92" s="21"/>
      <c r="AEB92" s="21"/>
      <c r="AEC92" s="21"/>
      <c r="AED92" s="21"/>
      <c r="AEE92" s="21"/>
      <c r="AEF92" s="21"/>
      <c r="AEG92" s="21"/>
      <c r="AEH92" s="21"/>
      <c r="AEI92" s="21"/>
      <c r="AEJ92" s="21"/>
      <c r="AEK92" s="21"/>
      <c r="AEL92" s="21"/>
      <c r="AEM92" s="21"/>
      <c r="AEN92" s="21"/>
      <c r="AEO92" s="21"/>
      <c r="AEP92" s="21"/>
      <c r="AEQ92" s="21"/>
      <c r="AER92" s="21"/>
      <c r="AES92" s="21"/>
      <c r="AET92" s="21"/>
      <c r="AEU92" s="21"/>
      <c r="AEV92" s="21"/>
      <c r="AEW92" s="21"/>
      <c r="AEX92" s="21"/>
      <c r="AEY92" s="21"/>
      <c r="AEZ92" s="21"/>
      <c r="AFA92" s="21"/>
      <c r="AFB92" s="21"/>
      <c r="AFC92" s="21"/>
      <c r="AFD92" s="21"/>
      <c r="AFE92" s="21"/>
      <c r="AFF92" s="21"/>
      <c r="AFG92" s="21"/>
      <c r="AFH92" s="21"/>
      <c r="AFI92" s="21"/>
      <c r="AFJ92" s="21"/>
      <c r="AFK92" s="21"/>
      <c r="AFL92" s="21"/>
      <c r="AFM92" s="21"/>
      <c r="AFN92" s="21"/>
      <c r="AFO92" s="21"/>
      <c r="AFP92" s="21"/>
      <c r="AFQ92" s="21"/>
      <c r="AFR92" s="21"/>
      <c r="AFS92" s="21"/>
      <c r="AFT92" s="21"/>
      <c r="AFU92" s="21"/>
      <c r="AFV92" s="21"/>
      <c r="AFW92" s="21"/>
      <c r="AFX92" s="21"/>
      <c r="AFY92" s="21"/>
      <c r="AFZ92" s="21"/>
      <c r="AGA92" s="21"/>
      <c r="AGB92" s="21"/>
      <c r="AGC92" s="21"/>
      <c r="AGD92" s="21"/>
      <c r="AGE92" s="21"/>
      <c r="AGF92" s="21"/>
      <c r="AGG92" s="21"/>
      <c r="AGH92" s="21"/>
      <c r="AGI92" s="21"/>
      <c r="AGJ92" s="21"/>
      <c r="AGK92" s="21"/>
      <c r="AGL92" s="21"/>
      <c r="AGM92" s="21"/>
      <c r="AGN92" s="21"/>
      <c r="AGO92" s="21"/>
      <c r="AGP92" s="21"/>
      <c r="AGQ92" s="21"/>
      <c r="AGR92" s="21"/>
      <c r="AGS92" s="21"/>
    </row>
    <row r="93" spans="1:877" ht="13">
      <c r="A93" s="12"/>
      <c r="B93" s="12"/>
      <c r="C93" s="12"/>
      <c r="D93" s="12"/>
      <c r="E93" s="12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5"/>
      <c r="BJ93" s="55"/>
      <c r="BK93" s="55"/>
      <c r="BL93" s="55"/>
      <c r="BM93" s="55"/>
      <c r="BN93" s="55"/>
      <c r="BO93" s="55"/>
      <c r="BP93" s="55"/>
      <c r="BQ93" s="55"/>
      <c r="BR93" s="55"/>
      <c r="BS93" s="55"/>
      <c r="BT93" s="55"/>
      <c r="BU93" s="55"/>
      <c r="BV93" s="55"/>
      <c r="BW93" s="55"/>
      <c r="BX93" s="55"/>
      <c r="BY93" s="55"/>
      <c r="BZ93" s="55"/>
      <c r="CA93" s="55"/>
      <c r="CB93" s="55"/>
      <c r="CC93" s="55"/>
      <c r="CD93" s="55"/>
      <c r="CE93" s="55"/>
      <c r="CF93" s="55"/>
      <c r="CG93" s="55"/>
      <c r="CH93" s="55"/>
      <c r="CI93" s="55"/>
      <c r="CJ93" s="55"/>
      <c r="CK93" s="55"/>
      <c r="CL93" s="55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1"/>
      <c r="JV93" s="21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  <c r="KJ93" s="21"/>
      <c r="KK93" s="21"/>
      <c r="KL93" s="21"/>
      <c r="KM93" s="21"/>
      <c r="KN93" s="21"/>
      <c r="KO93" s="21"/>
      <c r="KP93" s="21"/>
      <c r="KQ93" s="21"/>
      <c r="KR93" s="21"/>
      <c r="KS93" s="21"/>
      <c r="KT93" s="21"/>
      <c r="KU93" s="21"/>
      <c r="KV93" s="21"/>
      <c r="KW93" s="21"/>
      <c r="KX93" s="21"/>
      <c r="KY93" s="21"/>
      <c r="KZ93" s="21"/>
      <c r="LA93" s="21"/>
      <c r="LB93" s="21"/>
      <c r="LC93" s="21"/>
      <c r="LD93" s="21"/>
      <c r="LE93" s="21"/>
      <c r="LF93" s="21"/>
      <c r="LG93" s="21"/>
      <c r="LH93" s="21"/>
      <c r="LI93" s="21"/>
      <c r="LJ93" s="21"/>
      <c r="LK93" s="21"/>
      <c r="LL93" s="21"/>
      <c r="LM93" s="21"/>
      <c r="LN93" s="21"/>
      <c r="LO93" s="21"/>
      <c r="LP93" s="21"/>
      <c r="LQ93" s="21"/>
      <c r="LR93" s="21"/>
      <c r="LS93" s="21"/>
      <c r="LT93" s="21"/>
      <c r="LU93" s="21"/>
      <c r="LV93" s="21"/>
      <c r="LW93" s="21"/>
      <c r="LX93" s="21"/>
      <c r="LY93" s="21"/>
      <c r="LZ93" s="21"/>
      <c r="MA93" s="21"/>
      <c r="MB93" s="21"/>
      <c r="MC93" s="21"/>
      <c r="MD93" s="21"/>
      <c r="ME93" s="21"/>
      <c r="MF93" s="21"/>
      <c r="MG93" s="21"/>
      <c r="MH93" s="21"/>
      <c r="MI93" s="21"/>
      <c r="MJ93" s="21"/>
      <c r="MK93" s="21"/>
      <c r="ML93" s="21"/>
      <c r="MM93" s="21"/>
      <c r="MN93" s="21"/>
      <c r="MO93" s="21"/>
      <c r="MP93" s="21"/>
      <c r="MQ93" s="21"/>
      <c r="MR93" s="21"/>
      <c r="MS93" s="21"/>
      <c r="MT93" s="21"/>
      <c r="MU93" s="21"/>
      <c r="MV93" s="21"/>
      <c r="MW93" s="21"/>
      <c r="MX93" s="21"/>
      <c r="MY93" s="21"/>
      <c r="MZ93" s="21"/>
      <c r="NA93" s="21"/>
      <c r="NB93" s="21"/>
      <c r="NC93" s="21"/>
      <c r="ND93" s="21"/>
      <c r="NE93" s="21"/>
      <c r="NF93" s="21"/>
      <c r="NG93" s="21"/>
      <c r="NH93" s="21"/>
      <c r="NI93" s="21"/>
      <c r="NJ93" s="21"/>
      <c r="NK93" s="21"/>
      <c r="NL93" s="21"/>
      <c r="NM93" s="21"/>
      <c r="NN93" s="21"/>
      <c r="NO93" s="21"/>
      <c r="NP93" s="21"/>
      <c r="NQ93" s="21"/>
      <c r="NR93" s="21"/>
      <c r="NS93" s="21"/>
      <c r="NT93" s="21"/>
      <c r="NU93" s="21"/>
      <c r="NV93" s="21"/>
      <c r="NW93" s="21"/>
      <c r="NX93" s="21"/>
      <c r="NY93" s="21"/>
      <c r="NZ93" s="21"/>
      <c r="OA93" s="21"/>
      <c r="OB93" s="21"/>
      <c r="OC93" s="21"/>
      <c r="OD93" s="21"/>
      <c r="OE93" s="21"/>
      <c r="OF93" s="21"/>
      <c r="OG93" s="21"/>
      <c r="OH93" s="21"/>
      <c r="OI93" s="21"/>
      <c r="OJ93" s="21"/>
      <c r="OK93" s="21"/>
      <c r="OL93" s="21"/>
      <c r="OM93" s="21"/>
      <c r="ON93" s="21"/>
      <c r="OO93" s="21"/>
      <c r="OP93" s="21"/>
      <c r="OQ93" s="21"/>
      <c r="OR93" s="21"/>
      <c r="OS93" s="21"/>
      <c r="OT93" s="21"/>
      <c r="OU93" s="21"/>
      <c r="OV93" s="21"/>
      <c r="OW93" s="21"/>
      <c r="OX93" s="21"/>
      <c r="OY93" s="21"/>
      <c r="OZ93" s="21"/>
      <c r="PA93" s="21"/>
      <c r="PB93" s="21"/>
      <c r="PC93" s="21"/>
      <c r="PD93" s="21"/>
      <c r="PE93" s="21"/>
      <c r="PF93" s="21"/>
      <c r="PG93" s="21"/>
      <c r="PH93" s="21"/>
      <c r="PI93" s="21"/>
      <c r="PJ93" s="21"/>
      <c r="PK93" s="21"/>
      <c r="PL93" s="21"/>
      <c r="PM93" s="21"/>
      <c r="PN93" s="21"/>
      <c r="PO93" s="21"/>
      <c r="PP93" s="21"/>
      <c r="PQ93" s="21"/>
      <c r="PR93" s="21"/>
      <c r="PS93" s="21"/>
      <c r="PT93" s="21"/>
      <c r="PU93" s="21"/>
      <c r="PV93" s="21"/>
      <c r="PW93" s="21"/>
      <c r="PX93" s="21"/>
      <c r="PY93" s="21"/>
      <c r="PZ93" s="21"/>
      <c r="QA93" s="21"/>
      <c r="QB93" s="21"/>
      <c r="QC93" s="21"/>
      <c r="QD93" s="21"/>
      <c r="QE93" s="21"/>
      <c r="QF93" s="21"/>
      <c r="QG93" s="21"/>
      <c r="QH93" s="21"/>
      <c r="QI93" s="21"/>
      <c r="QJ93" s="21"/>
      <c r="QK93" s="21"/>
      <c r="QL93" s="21"/>
      <c r="QM93" s="21"/>
      <c r="QN93" s="21"/>
      <c r="QO93" s="21"/>
      <c r="QP93" s="21"/>
      <c r="QQ93" s="21"/>
      <c r="QR93" s="21"/>
      <c r="QS93" s="21"/>
      <c r="QT93" s="21"/>
      <c r="QU93" s="21"/>
      <c r="QV93" s="21"/>
      <c r="QW93" s="21"/>
      <c r="QX93" s="21"/>
      <c r="QY93" s="21"/>
      <c r="QZ93" s="21"/>
      <c r="RA93" s="21"/>
      <c r="RB93" s="21"/>
      <c r="RC93" s="21"/>
      <c r="RD93" s="21"/>
      <c r="RE93" s="21"/>
      <c r="RF93" s="21"/>
      <c r="RG93" s="21"/>
      <c r="RH93" s="21"/>
      <c r="RI93" s="21"/>
      <c r="RJ93" s="21"/>
      <c r="RK93" s="21"/>
      <c r="RL93" s="21"/>
      <c r="RM93" s="21"/>
      <c r="RN93" s="21"/>
      <c r="RO93" s="21"/>
      <c r="RP93" s="21"/>
      <c r="RQ93" s="21"/>
      <c r="RR93" s="21"/>
      <c r="RS93" s="21"/>
      <c r="RT93" s="21"/>
      <c r="RU93" s="21"/>
      <c r="RV93" s="21"/>
      <c r="RW93" s="21"/>
      <c r="RX93" s="21"/>
      <c r="RY93" s="21"/>
      <c r="RZ93" s="21"/>
      <c r="SA93" s="21"/>
      <c r="SB93" s="21"/>
      <c r="SC93" s="21"/>
      <c r="SD93" s="21"/>
      <c r="SE93" s="21"/>
      <c r="SF93" s="21"/>
      <c r="SG93" s="21"/>
      <c r="SH93" s="21"/>
      <c r="SI93" s="21"/>
      <c r="SJ93" s="21"/>
      <c r="SK93" s="21"/>
      <c r="SL93" s="21"/>
      <c r="SM93" s="21"/>
      <c r="SN93" s="21"/>
      <c r="SO93" s="21"/>
      <c r="SP93" s="21"/>
      <c r="SQ93" s="21"/>
      <c r="SR93" s="21"/>
      <c r="SS93" s="21"/>
      <c r="ST93" s="21"/>
      <c r="SU93" s="21"/>
      <c r="SV93" s="21"/>
      <c r="SW93" s="21"/>
      <c r="SX93" s="21"/>
      <c r="SY93" s="21"/>
      <c r="SZ93" s="21"/>
      <c r="TA93" s="21"/>
      <c r="TB93" s="21"/>
      <c r="TC93" s="21"/>
      <c r="TD93" s="21"/>
      <c r="TE93" s="21"/>
      <c r="TF93" s="21"/>
      <c r="TG93" s="21"/>
      <c r="TH93" s="21"/>
      <c r="TI93" s="21"/>
      <c r="TJ93" s="21"/>
      <c r="TK93" s="21"/>
      <c r="TL93" s="21"/>
      <c r="TM93" s="21"/>
      <c r="TN93" s="21"/>
      <c r="TO93" s="21"/>
      <c r="TP93" s="21"/>
      <c r="TQ93" s="21"/>
      <c r="TR93" s="21"/>
      <c r="TS93" s="21"/>
      <c r="TT93" s="21"/>
      <c r="TU93" s="21"/>
      <c r="TV93" s="21"/>
      <c r="TW93" s="21"/>
      <c r="TX93" s="21"/>
      <c r="TY93" s="21"/>
      <c r="TZ93" s="21"/>
      <c r="UA93" s="21"/>
      <c r="UB93" s="21"/>
      <c r="UC93" s="21"/>
      <c r="UD93" s="21"/>
      <c r="UE93" s="21"/>
      <c r="UF93" s="21"/>
      <c r="UG93" s="21"/>
      <c r="UH93" s="21"/>
      <c r="UI93" s="21"/>
      <c r="UJ93" s="21"/>
      <c r="UK93" s="21"/>
      <c r="UL93" s="21"/>
      <c r="UM93" s="21"/>
      <c r="UN93" s="21"/>
      <c r="UO93" s="21"/>
      <c r="UP93" s="21"/>
      <c r="UQ93" s="21"/>
      <c r="UR93" s="21"/>
      <c r="US93" s="21"/>
      <c r="UT93" s="21"/>
      <c r="UU93" s="21"/>
      <c r="UV93" s="21"/>
      <c r="UW93" s="21"/>
      <c r="UX93" s="21"/>
      <c r="UY93" s="21"/>
      <c r="UZ93" s="21"/>
      <c r="VA93" s="21"/>
      <c r="VB93" s="21"/>
      <c r="VC93" s="21"/>
      <c r="VD93" s="21"/>
      <c r="VE93" s="21"/>
      <c r="VF93" s="21"/>
      <c r="VG93" s="21"/>
      <c r="VH93" s="21"/>
      <c r="VI93" s="21"/>
      <c r="VJ93" s="21"/>
      <c r="VK93" s="21"/>
      <c r="VL93" s="21"/>
      <c r="VM93" s="21"/>
      <c r="VN93" s="21"/>
      <c r="VO93" s="21"/>
      <c r="VP93" s="21"/>
      <c r="VQ93" s="21"/>
      <c r="VR93" s="21"/>
      <c r="VS93" s="21"/>
      <c r="VT93" s="21"/>
      <c r="VU93" s="21"/>
      <c r="VV93" s="21"/>
      <c r="VW93" s="21"/>
      <c r="VX93" s="21"/>
      <c r="VY93" s="21"/>
      <c r="VZ93" s="21"/>
      <c r="WA93" s="21"/>
      <c r="WB93" s="21"/>
      <c r="WC93" s="21"/>
      <c r="WD93" s="21"/>
      <c r="WE93" s="21"/>
      <c r="WF93" s="21"/>
      <c r="WG93" s="21"/>
      <c r="WH93" s="21"/>
      <c r="WI93" s="21"/>
      <c r="WJ93" s="21"/>
      <c r="WK93" s="21"/>
      <c r="WL93" s="21"/>
      <c r="WM93" s="21"/>
      <c r="WN93" s="21"/>
      <c r="WO93" s="21"/>
      <c r="WP93" s="21"/>
      <c r="WQ93" s="21"/>
      <c r="WR93" s="21"/>
      <c r="WS93" s="21"/>
      <c r="WT93" s="21"/>
      <c r="WU93" s="21"/>
      <c r="WV93" s="21"/>
      <c r="WW93" s="21"/>
      <c r="WX93" s="21"/>
      <c r="WY93" s="21"/>
      <c r="WZ93" s="21"/>
      <c r="XA93" s="21"/>
      <c r="XB93" s="21"/>
      <c r="XC93" s="21"/>
      <c r="XD93" s="21"/>
      <c r="XE93" s="21"/>
      <c r="XF93" s="21"/>
      <c r="XG93" s="21"/>
      <c r="XH93" s="21"/>
      <c r="XI93" s="21"/>
      <c r="XJ93" s="21"/>
      <c r="XK93" s="21"/>
      <c r="XL93" s="21"/>
      <c r="XM93" s="21"/>
      <c r="XN93" s="21"/>
      <c r="XO93" s="21"/>
      <c r="XP93" s="21"/>
      <c r="XQ93" s="21"/>
      <c r="XR93" s="21"/>
      <c r="XS93" s="21"/>
      <c r="XT93" s="21"/>
      <c r="XU93" s="21"/>
      <c r="XV93" s="21"/>
      <c r="XW93" s="21"/>
      <c r="XX93" s="21"/>
      <c r="XY93" s="21"/>
      <c r="XZ93" s="21"/>
      <c r="YA93" s="21"/>
      <c r="YB93" s="21"/>
      <c r="YC93" s="21"/>
      <c r="YD93" s="21"/>
      <c r="YE93" s="21"/>
      <c r="YF93" s="21"/>
      <c r="YG93" s="21"/>
      <c r="YH93" s="21"/>
      <c r="YI93" s="21"/>
      <c r="YJ93" s="21"/>
      <c r="YK93" s="21"/>
      <c r="YL93" s="21"/>
      <c r="YM93" s="21"/>
      <c r="YN93" s="21"/>
      <c r="YO93" s="21"/>
      <c r="YP93" s="21"/>
      <c r="YQ93" s="21"/>
      <c r="YR93" s="21"/>
      <c r="YS93" s="21"/>
      <c r="YT93" s="21"/>
      <c r="YU93" s="21"/>
      <c r="YV93" s="21"/>
      <c r="YW93" s="21"/>
      <c r="YX93" s="21"/>
      <c r="YY93" s="21"/>
      <c r="YZ93" s="21"/>
      <c r="ZA93" s="21"/>
      <c r="ZB93" s="21"/>
      <c r="ZC93" s="21"/>
      <c r="ZD93" s="21"/>
      <c r="ZE93" s="21"/>
      <c r="ZF93" s="21"/>
      <c r="ZG93" s="21"/>
      <c r="ZH93" s="21"/>
      <c r="ZI93" s="21"/>
      <c r="ZJ93" s="21"/>
      <c r="ZK93" s="21"/>
      <c r="ZL93" s="21"/>
      <c r="ZM93" s="21"/>
      <c r="ZN93" s="21"/>
      <c r="ZO93" s="21"/>
      <c r="ZP93" s="21"/>
      <c r="ZQ93" s="21"/>
      <c r="ZR93" s="21"/>
      <c r="ZS93" s="21"/>
      <c r="ZT93" s="21"/>
      <c r="ZU93" s="21"/>
      <c r="ZV93" s="21"/>
      <c r="ZW93" s="21"/>
      <c r="ZX93" s="21"/>
      <c r="ZY93" s="21"/>
      <c r="ZZ93" s="21"/>
      <c r="AAA93" s="21"/>
      <c r="AAB93" s="21"/>
      <c r="AAC93" s="21"/>
      <c r="AAD93" s="21"/>
      <c r="AAE93" s="21"/>
      <c r="AAF93" s="21"/>
      <c r="AAG93" s="21"/>
      <c r="AAH93" s="21"/>
      <c r="AAI93" s="21"/>
      <c r="AAJ93" s="21"/>
      <c r="AAK93" s="21"/>
      <c r="AAL93" s="21"/>
      <c r="AAM93" s="21"/>
      <c r="AAN93" s="21"/>
      <c r="AAO93" s="21"/>
      <c r="AAP93" s="21"/>
      <c r="AAQ93" s="21"/>
      <c r="AAR93" s="21"/>
      <c r="AAS93" s="21"/>
      <c r="AAT93" s="21"/>
      <c r="AAU93" s="21"/>
      <c r="AAV93" s="21"/>
      <c r="AAW93" s="21"/>
      <c r="AAX93" s="21"/>
      <c r="AAY93" s="21"/>
      <c r="AAZ93" s="21"/>
      <c r="ABA93" s="21"/>
      <c r="ABB93" s="21"/>
      <c r="ABC93" s="21"/>
      <c r="ABD93" s="21"/>
      <c r="ABE93" s="21"/>
      <c r="ABF93" s="21"/>
      <c r="ABG93" s="21"/>
      <c r="ABH93" s="21"/>
      <c r="ABI93" s="21"/>
      <c r="ABJ93" s="21"/>
      <c r="ABK93" s="21"/>
      <c r="ABL93" s="21"/>
      <c r="ABM93" s="21"/>
      <c r="ABN93" s="21"/>
      <c r="ABO93" s="21"/>
      <c r="ABP93" s="21"/>
      <c r="ABQ93" s="21"/>
      <c r="ABR93" s="21"/>
      <c r="ABS93" s="21"/>
      <c r="ABT93" s="21"/>
      <c r="ABU93" s="21"/>
      <c r="ABV93" s="21"/>
      <c r="ABW93" s="21"/>
      <c r="ABX93" s="21"/>
      <c r="ABY93" s="21"/>
      <c r="ABZ93" s="21"/>
      <c r="ACA93" s="21"/>
      <c r="ACB93" s="21"/>
      <c r="ACC93" s="21"/>
      <c r="ACD93" s="21"/>
      <c r="ACE93" s="21"/>
      <c r="ACF93" s="21"/>
      <c r="ACG93" s="21"/>
      <c r="ACH93" s="21"/>
      <c r="ACI93" s="21"/>
      <c r="ACJ93" s="21"/>
      <c r="ACK93" s="21"/>
      <c r="ACL93" s="21"/>
      <c r="ACM93" s="21"/>
      <c r="ACN93" s="21"/>
      <c r="ACO93" s="21"/>
      <c r="ACP93" s="21"/>
      <c r="ACQ93" s="21"/>
      <c r="ACR93" s="21"/>
      <c r="ACS93" s="21"/>
      <c r="ACT93" s="21"/>
      <c r="ACU93" s="21"/>
      <c r="ACV93" s="21"/>
      <c r="ACW93" s="21"/>
      <c r="ACX93" s="21"/>
      <c r="ACY93" s="21"/>
      <c r="ACZ93" s="21"/>
      <c r="ADA93" s="21"/>
      <c r="ADB93" s="21"/>
      <c r="ADC93" s="21"/>
      <c r="ADD93" s="21"/>
      <c r="ADE93" s="21"/>
      <c r="ADF93" s="21"/>
      <c r="ADG93" s="21"/>
      <c r="ADH93" s="21"/>
      <c r="ADI93" s="21"/>
      <c r="ADJ93" s="21"/>
      <c r="ADK93" s="21"/>
      <c r="ADL93" s="21"/>
      <c r="ADM93" s="21"/>
      <c r="ADN93" s="21"/>
      <c r="ADO93" s="21"/>
      <c r="ADP93" s="21"/>
      <c r="ADQ93" s="21"/>
      <c r="ADR93" s="21"/>
      <c r="ADS93" s="21"/>
      <c r="ADT93" s="21"/>
      <c r="ADU93" s="21"/>
      <c r="ADV93" s="21"/>
      <c r="ADW93" s="21"/>
      <c r="ADX93" s="21"/>
      <c r="ADY93" s="21"/>
      <c r="ADZ93" s="21"/>
      <c r="AEA93" s="21"/>
      <c r="AEB93" s="21"/>
      <c r="AEC93" s="21"/>
      <c r="AED93" s="21"/>
      <c r="AEE93" s="21"/>
      <c r="AEF93" s="21"/>
      <c r="AEG93" s="21"/>
      <c r="AEH93" s="21"/>
      <c r="AEI93" s="21"/>
      <c r="AEJ93" s="21"/>
      <c r="AEK93" s="21"/>
      <c r="AEL93" s="21"/>
      <c r="AEM93" s="21"/>
      <c r="AEN93" s="21"/>
      <c r="AEO93" s="21"/>
      <c r="AEP93" s="21"/>
      <c r="AEQ93" s="21"/>
      <c r="AER93" s="21"/>
      <c r="AES93" s="21"/>
      <c r="AET93" s="21"/>
      <c r="AEU93" s="21"/>
      <c r="AEV93" s="21"/>
      <c r="AEW93" s="21"/>
      <c r="AEX93" s="21"/>
      <c r="AEY93" s="21"/>
      <c r="AEZ93" s="21"/>
      <c r="AFA93" s="21"/>
      <c r="AFB93" s="21"/>
      <c r="AFC93" s="21"/>
      <c r="AFD93" s="21"/>
      <c r="AFE93" s="21"/>
      <c r="AFF93" s="21"/>
      <c r="AFG93" s="21"/>
      <c r="AFH93" s="21"/>
      <c r="AFI93" s="21"/>
      <c r="AFJ93" s="21"/>
      <c r="AFK93" s="21"/>
      <c r="AFL93" s="21"/>
      <c r="AFM93" s="21"/>
      <c r="AFN93" s="21"/>
      <c r="AFO93" s="21"/>
      <c r="AFP93" s="21"/>
      <c r="AFQ93" s="21"/>
      <c r="AFR93" s="21"/>
      <c r="AFS93" s="21"/>
      <c r="AFT93" s="21"/>
      <c r="AFU93" s="21"/>
      <c r="AFV93" s="21"/>
      <c r="AFW93" s="21"/>
      <c r="AFX93" s="21"/>
      <c r="AFY93" s="21"/>
      <c r="AFZ93" s="21"/>
      <c r="AGA93" s="21"/>
      <c r="AGB93" s="21"/>
      <c r="AGC93" s="21"/>
      <c r="AGD93" s="21"/>
      <c r="AGE93" s="21"/>
      <c r="AGF93" s="21"/>
      <c r="AGG93" s="21"/>
      <c r="AGH93" s="21"/>
      <c r="AGI93" s="21"/>
      <c r="AGJ93" s="21"/>
      <c r="AGK93" s="21"/>
      <c r="AGL93" s="21"/>
      <c r="AGM93" s="21"/>
      <c r="AGN93" s="21"/>
      <c r="AGO93" s="21"/>
      <c r="AGP93" s="21"/>
      <c r="AGQ93" s="21"/>
      <c r="AGR93" s="21"/>
      <c r="AGS93" s="21"/>
    </row>
    <row r="94" spans="1:877" ht="13">
      <c r="A94" s="12"/>
      <c r="B94" s="12"/>
      <c r="C94" s="12"/>
      <c r="D94" s="12"/>
      <c r="E94" s="12"/>
      <c r="F94" s="69"/>
      <c r="G94" s="69" t="s">
        <v>60</v>
      </c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55"/>
      <c r="BJ94" s="55"/>
      <c r="BK94" s="55"/>
      <c r="BL94" s="55"/>
      <c r="BM94" s="55"/>
      <c r="BN94" s="55"/>
      <c r="BO94" s="55"/>
      <c r="BP94" s="55"/>
      <c r="BQ94" s="55"/>
      <c r="BR94" s="55"/>
      <c r="BS94" s="55"/>
      <c r="BT94" s="55"/>
      <c r="BU94" s="55"/>
      <c r="BV94" s="55"/>
      <c r="BW94" s="55"/>
      <c r="BX94" s="55"/>
      <c r="BY94" s="55"/>
      <c r="BZ94" s="55"/>
      <c r="CA94" s="55"/>
      <c r="CB94" s="55"/>
      <c r="CC94" s="55"/>
      <c r="CD94" s="55"/>
      <c r="CE94" s="55"/>
      <c r="CF94" s="55"/>
      <c r="CG94" s="55"/>
      <c r="CH94" s="55"/>
      <c r="CI94" s="55"/>
      <c r="CJ94" s="55"/>
      <c r="CK94" s="55"/>
      <c r="CL94" s="55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1"/>
      <c r="JV94" s="21"/>
      <c r="JW94" s="21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  <c r="KJ94" s="21"/>
      <c r="KK94" s="21"/>
      <c r="KL94" s="21"/>
      <c r="KM94" s="21"/>
      <c r="KN94" s="21"/>
      <c r="KO94" s="21"/>
      <c r="KP94" s="21"/>
      <c r="KQ94" s="21"/>
      <c r="KR94" s="21"/>
      <c r="KS94" s="21"/>
      <c r="KT94" s="21"/>
      <c r="KU94" s="21"/>
      <c r="KV94" s="21"/>
      <c r="KW94" s="21"/>
      <c r="KX94" s="21"/>
      <c r="KY94" s="21"/>
      <c r="KZ94" s="21"/>
      <c r="LA94" s="21"/>
      <c r="LB94" s="21"/>
      <c r="LC94" s="21"/>
      <c r="LD94" s="21"/>
      <c r="LE94" s="21"/>
      <c r="LF94" s="21"/>
      <c r="LG94" s="21"/>
      <c r="LH94" s="21"/>
      <c r="LI94" s="21"/>
      <c r="LJ94" s="21"/>
      <c r="LK94" s="21"/>
      <c r="LL94" s="21"/>
      <c r="LM94" s="21"/>
      <c r="LN94" s="21"/>
      <c r="LO94" s="21"/>
      <c r="LP94" s="21"/>
      <c r="LQ94" s="21"/>
      <c r="LR94" s="21"/>
      <c r="LS94" s="21"/>
      <c r="LT94" s="21"/>
      <c r="LU94" s="21"/>
      <c r="LV94" s="21"/>
      <c r="LW94" s="21"/>
      <c r="LX94" s="21"/>
      <c r="LY94" s="21"/>
      <c r="LZ94" s="21"/>
      <c r="MA94" s="21"/>
      <c r="MB94" s="21"/>
      <c r="MC94" s="21"/>
      <c r="MD94" s="21"/>
      <c r="ME94" s="21"/>
      <c r="MF94" s="21"/>
      <c r="MG94" s="21"/>
      <c r="MH94" s="21"/>
      <c r="MI94" s="21"/>
      <c r="MJ94" s="21"/>
      <c r="MK94" s="21"/>
      <c r="ML94" s="21"/>
      <c r="MM94" s="21"/>
      <c r="MN94" s="21"/>
      <c r="MO94" s="21"/>
      <c r="MP94" s="21"/>
      <c r="MQ94" s="21"/>
      <c r="MR94" s="21"/>
      <c r="MS94" s="21"/>
      <c r="MT94" s="21"/>
      <c r="MU94" s="21"/>
      <c r="MV94" s="21"/>
      <c r="MW94" s="21"/>
      <c r="MX94" s="21"/>
      <c r="MY94" s="21"/>
      <c r="MZ94" s="21"/>
      <c r="NA94" s="21"/>
      <c r="NB94" s="21"/>
      <c r="NC94" s="21"/>
      <c r="ND94" s="21"/>
      <c r="NE94" s="21"/>
      <c r="NF94" s="21"/>
      <c r="NG94" s="21"/>
      <c r="NH94" s="21"/>
      <c r="NI94" s="21"/>
      <c r="NJ94" s="21"/>
      <c r="NK94" s="21"/>
      <c r="NL94" s="21"/>
      <c r="NM94" s="21"/>
      <c r="NN94" s="21"/>
      <c r="NO94" s="21"/>
      <c r="NP94" s="21"/>
      <c r="NQ94" s="21"/>
      <c r="NR94" s="21"/>
      <c r="NS94" s="21"/>
      <c r="NT94" s="21"/>
      <c r="NU94" s="21"/>
      <c r="NV94" s="21"/>
      <c r="NW94" s="21"/>
      <c r="NX94" s="21"/>
      <c r="NY94" s="21"/>
      <c r="NZ94" s="21"/>
      <c r="OA94" s="21"/>
      <c r="OB94" s="21"/>
      <c r="OC94" s="21"/>
      <c r="OD94" s="21"/>
      <c r="OE94" s="21"/>
      <c r="OF94" s="21"/>
      <c r="OG94" s="21"/>
      <c r="OH94" s="21"/>
      <c r="OI94" s="21"/>
      <c r="OJ94" s="21"/>
      <c r="OK94" s="21"/>
      <c r="OL94" s="21"/>
      <c r="OM94" s="21"/>
      <c r="ON94" s="21"/>
      <c r="OO94" s="21"/>
      <c r="OP94" s="21"/>
      <c r="OQ94" s="21"/>
      <c r="OR94" s="21"/>
      <c r="OS94" s="21"/>
      <c r="OT94" s="21"/>
      <c r="OU94" s="21"/>
      <c r="OV94" s="21"/>
      <c r="OW94" s="21"/>
      <c r="OX94" s="21"/>
      <c r="OY94" s="21"/>
      <c r="OZ94" s="21"/>
      <c r="PA94" s="21"/>
      <c r="PB94" s="21"/>
      <c r="PC94" s="21"/>
      <c r="PD94" s="21"/>
      <c r="PE94" s="21"/>
      <c r="PF94" s="21"/>
      <c r="PG94" s="21"/>
      <c r="PH94" s="21"/>
      <c r="PI94" s="21"/>
      <c r="PJ94" s="21"/>
      <c r="PK94" s="21"/>
      <c r="PL94" s="21"/>
      <c r="PM94" s="21"/>
      <c r="PN94" s="21"/>
      <c r="PO94" s="21"/>
      <c r="PP94" s="21"/>
      <c r="PQ94" s="21"/>
      <c r="PR94" s="21"/>
      <c r="PS94" s="21"/>
      <c r="PT94" s="21"/>
      <c r="PU94" s="21"/>
      <c r="PV94" s="21"/>
      <c r="PW94" s="21"/>
      <c r="PX94" s="21"/>
      <c r="PY94" s="21"/>
      <c r="PZ94" s="21"/>
      <c r="QA94" s="21"/>
      <c r="QB94" s="21"/>
      <c r="QC94" s="21"/>
      <c r="QD94" s="21"/>
      <c r="QE94" s="21"/>
      <c r="QF94" s="21"/>
      <c r="QG94" s="21"/>
      <c r="QH94" s="21"/>
      <c r="QI94" s="21"/>
      <c r="QJ94" s="21"/>
      <c r="QK94" s="21"/>
      <c r="QL94" s="21"/>
      <c r="QM94" s="21"/>
      <c r="QN94" s="21"/>
      <c r="QO94" s="21"/>
      <c r="QP94" s="21"/>
      <c r="QQ94" s="21"/>
      <c r="QR94" s="21"/>
      <c r="QS94" s="21"/>
      <c r="QT94" s="21"/>
      <c r="QU94" s="21"/>
      <c r="QV94" s="21"/>
      <c r="QW94" s="21"/>
      <c r="QX94" s="21"/>
      <c r="QY94" s="21"/>
      <c r="QZ94" s="21"/>
      <c r="RA94" s="21"/>
      <c r="RB94" s="21"/>
      <c r="RC94" s="21"/>
      <c r="RD94" s="21"/>
      <c r="RE94" s="21"/>
      <c r="RF94" s="21"/>
      <c r="RG94" s="21"/>
      <c r="RH94" s="21"/>
      <c r="RI94" s="21"/>
      <c r="RJ94" s="21"/>
      <c r="RK94" s="21"/>
      <c r="RL94" s="21"/>
      <c r="RM94" s="21"/>
      <c r="RN94" s="21"/>
      <c r="RO94" s="21"/>
      <c r="RP94" s="21"/>
      <c r="RQ94" s="21"/>
      <c r="RR94" s="21"/>
      <c r="RS94" s="21"/>
      <c r="RT94" s="21"/>
      <c r="RU94" s="21"/>
      <c r="RV94" s="21"/>
      <c r="RW94" s="21"/>
      <c r="RX94" s="21"/>
      <c r="RY94" s="21"/>
      <c r="RZ94" s="21"/>
      <c r="SA94" s="21"/>
      <c r="SB94" s="21"/>
      <c r="SC94" s="21"/>
      <c r="SD94" s="21"/>
      <c r="SE94" s="21"/>
      <c r="SF94" s="21"/>
      <c r="SG94" s="21"/>
      <c r="SH94" s="21"/>
      <c r="SI94" s="21"/>
      <c r="SJ94" s="21"/>
      <c r="SK94" s="21"/>
      <c r="SL94" s="21"/>
      <c r="SM94" s="21"/>
      <c r="SN94" s="21"/>
      <c r="SO94" s="21"/>
      <c r="SP94" s="21"/>
      <c r="SQ94" s="21"/>
      <c r="SR94" s="21"/>
      <c r="SS94" s="21"/>
      <c r="ST94" s="21"/>
      <c r="SU94" s="21"/>
      <c r="SV94" s="21"/>
      <c r="SW94" s="21"/>
      <c r="SX94" s="21"/>
      <c r="SY94" s="21"/>
      <c r="SZ94" s="21"/>
      <c r="TA94" s="21"/>
      <c r="TB94" s="21"/>
      <c r="TC94" s="21"/>
      <c r="TD94" s="21"/>
      <c r="TE94" s="21"/>
      <c r="TF94" s="21"/>
      <c r="TG94" s="21"/>
      <c r="TH94" s="21"/>
      <c r="TI94" s="21"/>
      <c r="TJ94" s="21"/>
      <c r="TK94" s="21"/>
      <c r="TL94" s="21"/>
      <c r="TM94" s="21"/>
      <c r="TN94" s="21"/>
      <c r="TO94" s="21"/>
      <c r="TP94" s="21"/>
      <c r="TQ94" s="21"/>
      <c r="TR94" s="21"/>
      <c r="TS94" s="21"/>
      <c r="TT94" s="21"/>
      <c r="TU94" s="21"/>
      <c r="TV94" s="21"/>
      <c r="TW94" s="21"/>
      <c r="TX94" s="21"/>
      <c r="TY94" s="21"/>
      <c r="TZ94" s="21"/>
      <c r="UA94" s="21"/>
      <c r="UB94" s="21"/>
      <c r="UC94" s="21"/>
      <c r="UD94" s="21"/>
      <c r="UE94" s="21"/>
      <c r="UF94" s="21"/>
      <c r="UG94" s="21"/>
      <c r="UH94" s="21"/>
      <c r="UI94" s="21"/>
      <c r="UJ94" s="21"/>
      <c r="UK94" s="21"/>
      <c r="UL94" s="21"/>
      <c r="UM94" s="21"/>
      <c r="UN94" s="21"/>
      <c r="UO94" s="21"/>
      <c r="UP94" s="21"/>
      <c r="UQ94" s="21"/>
      <c r="UR94" s="21"/>
      <c r="US94" s="21"/>
      <c r="UT94" s="21"/>
      <c r="UU94" s="21"/>
      <c r="UV94" s="21"/>
      <c r="UW94" s="21"/>
      <c r="UX94" s="21"/>
      <c r="UY94" s="21"/>
      <c r="UZ94" s="21"/>
      <c r="VA94" s="21"/>
      <c r="VB94" s="21"/>
      <c r="VC94" s="21"/>
      <c r="VD94" s="21"/>
      <c r="VE94" s="21"/>
      <c r="VF94" s="21"/>
      <c r="VG94" s="21"/>
      <c r="VH94" s="21"/>
      <c r="VI94" s="21"/>
      <c r="VJ94" s="21"/>
      <c r="VK94" s="21"/>
      <c r="VL94" s="21"/>
      <c r="VM94" s="21"/>
      <c r="VN94" s="21"/>
      <c r="VO94" s="21"/>
      <c r="VP94" s="21"/>
      <c r="VQ94" s="21"/>
      <c r="VR94" s="21"/>
      <c r="VS94" s="21"/>
      <c r="VT94" s="21"/>
      <c r="VU94" s="21"/>
      <c r="VV94" s="21"/>
      <c r="VW94" s="21"/>
      <c r="VX94" s="21"/>
      <c r="VY94" s="21"/>
      <c r="VZ94" s="21"/>
      <c r="WA94" s="21"/>
      <c r="WB94" s="21"/>
      <c r="WC94" s="21"/>
      <c r="WD94" s="21"/>
      <c r="WE94" s="21"/>
      <c r="WF94" s="21"/>
      <c r="WG94" s="21"/>
      <c r="WH94" s="21"/>
      <c r="WI94" s="21"/>
      <c r="WJ94" s="21"/>
      <c r="WK94" s="21"/>
      <c r="WL94" s="21"/>
      <c r="WM94" s="21"/>
      <c r="WN94" s="21"/>
      <c r="WO94" s="21"/>
      <c r="WP94" s="21"/>
      <c r="WQ94" s="21"/>
      <c r="WR94" s="21"/>
      <c r="WS94" s="21"/>
      <c r="WT94" s="21"/>
      <c r="WU94" s="21"/>
      <c r="WV94" s="21"/>
      <c r="WW94" s="21"/>
      <c r="WX94" s="21"/>
      <c r="WY94" s="21"/>
      <c r="WZ94" s="21"/>
      <c r="XA94" s="21"/>
      <c r="XB94" s="21"/>
      <c r="XC94" s="21"/>
      <c r="XD94" s="21"/>
      <c r="XE94" s="21"/>
      <c r="XF94" s="21"/>
      <c r="XG94" s="21"/>
      <c r="XH94" s="21"/>
      <c r="XI94" s="21"/>
      <c r="XJ94" s="21"/>
      <c r="XK94" s="21"/>
      <c r="XL94" s="21"/>
      <c r="XM94" s="21"/>
      <c r="XN94" s="21"/>
      <c r="XO94" s="21"/>
      <c r="XP94" s="21"/>
      <c r="XQ94" s="21"/>
      <c r="XR94" s="21"/>
      <c r="XS94" s="21"/>
      <c r="XT94" s="21"/>
      <c r="XU94" s="21"/>
      <c r="XV94" s="21"/>
      <c r="XW94" s="21"/>
      <c r="XX94" s="21"/>
      <c r="XY94" s="21"/>
      <c r="XZ94" s="21"/>
      <c r="YA94" s="21"/>
      <c r="YB94" s="21"/>
      <c r="YC94" s="21"/>
      <c r="YD94" s="21"/>
      <c r="YE94" s="21"/>
      <c r="YF94" s="21"/>
      <c r="YG94" s="21"/>
      <c r="YH94" s="21"/>
      <c r="YI94" s="21"/>
      <c r="YJ94" s="21"/>
      <c r="YK94" s="21"/>
      <c r="YL94" s="21"/>
      <c r="YM94" s="21"/>
      <c r="YN94" s="21"/>
      <c r="YO94" s="21"/>
      <c r="YP94" s="21"/>
      <c r="YQ94" s="21"/>
      <c r="YR94" s="21"/>
      <c r="YS94" s="21"/>
      <c r="YT94" s="21"/>
      <c r="YU94" s="21"/>
      <c r="YV94" s="21"/>
      <c r="YW94" s="21"/>
      <c r="YX94" s="21"/>
      <c r="YY94" s="21"/>
      <c r="YZ94" s="21"/>
      <c r="ZA94" s="21"/>
      <c r="ZB94" s="21"/>
      <c r="ZC94" s="21"/>
      <c r="ZD94" s="21"/>
      <c r="ZE94" s="21"/>
      <c r="ZF94" s="21"/>
      <c r="ZG94" s="21"/>
      <c r="ZH94" s="21"/>
      <c r="ZI94" s="21"/>
      <c r="ZJ94" s="21"/>
      <c r="ZK94" s="21"/>
      <c r="ZL94" s="21"/>
      <c r="ZM94" s="21"/>
      <c r="ZN94" s="21"/>
      <c r="ZO94" s="21"/>
      <c r="ZP94" s="21"/>
      <c r="ZQ94" s="21"/>
      <c r="ZR94" s="21"/>
      <c r="ZS94" s="21"/>
      <c r="ZT94" s="21"/>
      <c r="ZU94" s="21"/>
      <c r="ZV94" s="21"/>
      <c r="ZW94" s="21"/>
      <c r="ZX94" s="21"/>
      <c r="ZY94" s="21"/>
      <c r="ZZ94" s="21"/>
      <c r="AAA94" s="21"/>
      <c r="AAB94" s="21"/>
      <c r="AAC94" s="21"/>
      <c r="AAD94" s="21"/>
      <c r="AAE94" s="21"/>
      <c r="AAF94" s="21"/>
      <c r="AAG94" s="21"/>
      <c r="AAH94" s="21"/>
      <c r="AAI94" s="21"/>
      <c r="AAJ94" s="21"/>
      <c r="AAK94" s="21"/>
      <c r="AAL94" s="21"/>
      <c r="AAM94" s="21"/>
      <c r="AAN94" s="21"/>
      <c r="AAO94" s="21"/>
      <c r="AAP94" s="21"/>
      <c r="AAQ94" s="21"/>
      <c r="AAR94" s="21"/>
      <c r="AAS94" s="21"/>
      <c r="AAT94" s="21"/>
      <c r="AAU94" s="21"/>
      <c r="AAV94" s="21"/>
      <c r="AAW94" s="21"/>
      <c r="AAX94" s="21"/>
      <c r="AAY94" s="21"/>
      <c r="AAZ94" s="21"/>
      <c r="ABA94" s="21"/>
      <c r="ABB94" s="21"/>
      <c r="ABC94" s="21"/>
      <c r="ABD94" s="21"/>
      <c r="ABE94" s="21"/>
      <c r="ABF94" s="21"/>
      <c r="ABG94" s="21"/>
      <c r="ABH94" s="21"/>
      <c r="ABI94" s="21"/>
      <c r="ABJ94" s="21"/>
      <c r="ABK94" s="21"/>
      <c r="ABL94" s="21"/>
      <c r="ABM94" s="21"/>
      <c r="ABN94" s="21"/>
      <c r="ABO94" s="21"/>
      <c r="ABP94" s="21"/>
      <c r="ABQ94" s="21"/>
      <c r="ABR94" s="21"/>
      <c r="ABS94" s="21"/>
      <c r="ABT94" s="21"/>
      <c r="ABU94" s="21"/>
      <c r="ABV94" s="21"/>
      <c r="ABW94" s="21"/>
      <c r="ABX94" s="21"/>
      <c r="ABY94" s="21"/>
      <c r="ABZ94" s="21"/>
      <c r="ACA94" s="21"/>
      <c r="ACB94" s="21"/>
      <c r="ACC94" s="21"/>
      <c r="ACD94" s="21"/>
      <c r="ACE94" s="21"/>
      <c r="ACF94" s="21"/>
      <c r="ACG94" s="21"/>
      <c r="ACH94" s="21"/>
      <c r="ACI94" s="21"/>
      <c r="ACJ94" s="21"/>
      <c r="ACK94" s="21"/>
      <c r="ACL94" s="21"/>
      <c r="ACM94" s="21"/>
      <c r="ACN94" s="21"/>
      <c r="ACO94" s="21"/>
      <c r="ACP94" s="21"/>
      <c r="ACQ94" s="21"/>
      <c r="ACR94" s="21"/>
      <c r="ACS94" s="21"/>
      <c r="ACT94" s="21"/>
      <c r="ACU94" s="21"/>
      <c r="ACV94" s="21"/>
      <c r="ACW94" s="21"/>
      <c r="ACX94" s="21"/>
      <c r="ACY94" s="21"/>
      <c r="ACZ94" s="21"/>
      <c r="ADA94" s="21"/>
      <c r="ADB94" s="21"/>
      <c r="ADC94" s="21"/>
      <c r="ADD94" s="21"/>
      <c r="ADE94" s="21"/>
      <c r="ADF94" s="21"/>
      <c r="ADG94" s="21"/>
      <c r="ADH94" s="21"/>
      <c r="ADI94" s="21"/>
      <c r="ADJ94" s="21"/>
      <c r="ADK94" s="21"/>
      <c r="ADL94" s="21"/>
      <c r="ADM94" s="21"/>
      <c r="ADN94" s="21"/>
      <c r="ADO94" s="21"/>
      <c r="ADP94" s="21"/>
      <c r="ADQ94" s="21"/>
      <c r="ADR94" s="21"/>
      <c r="ADS94" s="21"/>
      <c r="ADT94" s="21"/>
      <c r="ADU94" s="21"/>
      <c r="ADV94" s="21"/>
      <c r="ADW94" s="21"/>
      <c r="ADX94" s="21"/>
      <c r="ADY94" s="21"/>
      <c r="ADZ94" s="21"/>
      <c r="AEA94" s="21"/>
      <c r="AEB94" s="21"/>
      <c r="AEC94" s="21"/>
      <c r="AED94" s="21"/>
      <c r="AEE94" s="21"/>
      <c r="AEF94" s="21"/>
      <c r="AEG94" s="21"/>
      <c r="AEH94" s="21"/>
      <c r="AEI94" s="21"/>
      <c r="AEJ94" s="21"/>
      <c r="AEK94" s="21"/>
      <c r="AEL94" s="21"/>
      <c r="AEM94" s="21"/>
      <c r="AEN94" s="21"/>
      <c r="AEO94" s="21"/>
      <c r="AEP94" s="21"/>
      <c r="AEQ94" s="21"/>
      <c r="AER94" s="21"/>
      <c r="AES94" s="21"/>
      <c r="AET94" s="21"/>
      <c r="AEU94" s="21"/>
      <c r="AEV94" s="21"/>
      <c r="AEW94" s="21"/>
      <c r="AEX94" s="21"/>
      <c r="AEY94" s="21"/>
      <c r="AEZ94" s="21"/>
      <c r="AFA94" s="21"/>
      <c r="AFB94" s="21"/>
      <c r="AFC94" s="21"/>
      <c r="AFD94" s="21"/>
      <c r="AFE94" s="21"/>
      <c r="AFF94" s="21"/>
      <c r="AFG94" s="21"/>
      <c r="AFH94" s="21"/>
      <c r="AFI94" s="21"/>
      <c r="AFJ94" s="21"/>
      <c r="AFK94" s="21"/>
      <c r="AFL94" s="21"/>
      <c r="AFM94" s="21"/>
      <c r="AFN94" s="21"/>
      <c r="AFO94" s="21"/>
      <c r="AFP94" s="21"/>
      <c r="AFQ94" s="21"/>
      <c r="AFR94" s="21"/>
      <c r="AFS94" s="21"/>
      <c r="AFT94" s="21"/>
      <c r="AFU94" s="21"/>
      <c r="AFV94" s="21"/>
      <c r="AFW94" s="21"/>
      <c r="AFX94" s="21"/>
      <c r="AFY94" s="21"/>
      <c r="AFZ94" s="21"/>
      <c r="AGA94" s="21"/>
      <c r="AGB94" s="21"/>
      <c r="AGC94" s="21"/>
      <c r="AGD94" s="21"/>
      <c r="AGE94" s="21"/>
      <c r="AGF94" s="21"/>
      <c r="AGG94" s="21"/>
      <c r="AGH94" s="21"/>
      <c r="AGI94" s="21"/>
      <c r="AGJ94" s="21"/>
      <c r="AGK94" s="21"/>
      <c r="AGL94" s="21"/>
      <c r="AGM94" s="21"/>
      <c r="AGN94" s="21"/>
      <c r="AGO94" s="21"/>
      <c r="AGP94" s="21"/>
      <c r="AGQ94" s="21"/>
      <c r="AGR94" s="21"/>
      <c r="AGS94" s="21"/>
    </row>
    <row r="95" spans="1:877" ht="13">
      <c r="A95" s="61"/>
      <c r="B95" s="62" t="str">
        <f t="shared" ref="B95:B109" si="35">B78</f>
        <v>Facility 1 Assets</v>
      </c>
      <c r="C95" s="61"/>
      <c r="D95" s="61"/>
      <c r="E95" s="61"/>
      <c r="F95" s="27"/>
      <c r="G95" s="27">
        <f t="shared" ref="G95:CL95" si="36">MIN(F95+ IF(G$4&gt;=$D78,$C78/($E78*12),0),$C78)</f>
        <v>29629.629629629631</v>
      </c>
      <c r="H95" s="27">
        <f t="shared" si="36"/>
        <v>59259.259259259263</v>
      </c>
      <c r="I95" s="27">
        <f t="shared" si="36"/>
        <v>88888.888888888891</v>
      </c>
      <c r="J95" s="27">
        <f t="shared" si="36"/>
        <v>118518.51851851853</v>
      </c>
      <c r="K95" s="27">
        <f t="shared" si="36"/>
        <v>148148.14814814815</v>
      </c>
      <c r="L95" s="27">
        <f t="shared" si="36"/>
        <v>177777.77777777778</v>
      </c>
      <c r="M95" s="27">
        <f t="shared" si="36"/>
        <v>207407.40740740742</v>
      </c>
      <c r="N95" s="27">
        <f t="shared" si="36"/>
        <v>237037.03703703705</v>
      </c>
      <c r="O95" s="27">
        <f t="shared" si="36"/>
        <v>266666.66666666669</v>
      </c>
      <c r="P95" s="27">
        <f t="shared" si="36"/>
        <v>296296.29629629629</v>
      </c>
      <c r="Q95" s="27">
        <f t="shared" si="36"/>
        <v>325925.9259259259</v>
      </c>
      <c r="R95" s="27">
        <f t="shared" si="36"/>
        <v>355555.5555555555</v>
      </c>
      <c r="S95" s="27">
        <f t="shared" si="36"/>
        <v>385185.18518518511</v>
      </c>
      <c r="T95" s="27">
        <f t="shared" si="36"/>
        <v>414814.81481481472</v>
      </c>
      <c r="U95" s="27">
        <f t="shared" si="36"/>
        <v>444444.44444444432</v>
      </c>
      <c r="V95" s="27">
        <f t="shared" si="36"/>
        <v>474074.07407407393</v>
      </c>
      <c r="W95" s="27">
        <f t="shared" si="36"/>
        <v>503703.70370370353</v>
      </c>
      <c r="X95" s="27">
        <f t="shared" si="36"/>
        <v>533333.33333333314</v>
      </c>
      <c r="Y95" s="27">
        <f t="shared" si="36"/>
        <v>562962.9629629628</v>
      </c>
      <c r="Z95" s="27">
        <f t="shared" si="36"/>
        <v>592592.59259259247</v>
      </c>
      <c r="AA95" s="27">
        <f t="shared" si="36"/>
        <v>622222.22222222213</v>
      </c>
      <c r="AB95" s="27">
        <f t="shared" si="36"/>
        <v>651851.8518518518</v>
      </c>
      <c r="AC95" s="27">
        <f t="shared" si="36"/>
        <v>681481.48148148146</v>
      </c>
      <c r="AD95" s="27">
        <f t="shared" si="36"/>
        <v>711111.11111111112</v>
      </c>
      <c r="AE95" s="27">
        <f t="shared" si="36"/>
        <v>740740.74074074079</v>
      </c>
      <c r="AF95" s="27">
        <f t="shared" si="36"/>
        <v>770370.37037037045</v>
      </c>
      <c r="AG95" s="27">
        <f t="shared" si="36"/>
        <v>800000.00000000012</v>
      </c>
      <c r="AH95" s="27">
        <f t="shared" si="36"/>
        <v>829629.62962962978</v>
      </c>
      <c r="AI95" s="27">
        <f t="shared" si="36"/>
        <v>859259.25925925944</v>
      </c>
      <c r="AJ95" s="27">
        <f t="shared" si="36"/>
        <v>888888.88888888911</v>
      </c>
      <c r="AK95" s="27">
        <f t="shared" si="36"/>
        <v>918518.51851851877</v>
      </c>
      <c r="AL95" s="27">
        <f t="shared" si="36"/>
        <v>948148.14814814844</v>
      </c>
      <c r="AM95" s="27">
        <f t="shared" si="36"/>
        <v>977777.7777777781</v>
      </c>
      <c r="AN95" s="27">
        <f t="shared" si="36"/>
        <v>1007407.4074074078</v>
      </c>
      <c r="AO95" s="27">
        <f t="shared" si="36"/>
        <v>1037037.0370370374</v>
      </c>
      <c r="AP95" s="27">
        <f t="shared" si="36"/>
        <v>1066666.666666667</v>
      </c>
      <c r="AQ95" s="27">
        <f t="shared" si="36"/>
        <v>1096296.2962962966</v>
      </c>
      <c r="AR95" s="27">
        <f t="shared" si="36"/>
        <v>1125925.9259259263</v>
      </c>
      <c r="AS95" s="27">
        <f t="shared" si="36"/>
        <v>1155555.555555556</v>
      </c>
      <c r="AT95" s="27">
        <f t="shared" si="36"/>
        <v>1185185.1851851856</v>
      </c>
      <c r="AU95" s="27">
        <f t="shared" si="36"/>
        <v>1214814.8148148153</v>
      </c>
      <c r="AV95" s="27">
        <f t="shared" si="36"/>
        <v>1244444.444444445</v>
      </c>
      <c r="AW95" s="27">
        <f t="shared" si="36"/>
        <v>1274074.0740740746</v>
      </c>
      <c r="AX95" s="27">
        <f t="shared" si="36"/>
        <v>1303703.7037037043</v>
      </c>
      <c r="AY95" s="27">
        <f t="shared" si="36"/>
        <v>1333333.333333334</v>
      </c>
      <c r="AZ95" s="27">
        <f t="shared" si="36"/>
        <v>1362962.9629629636</v>
      </c>
      <c r="BA95" s="27">
        <f t="shared" si="36"/>
        <v>1392592.5925925933</v>
      </c>
      <c r="BB95" s="27">
        <f t="shared" si="36"/>
        <v>1422222.2222222229</v>
      </c>
      <c r="BC95" s="27">
        <f t="shared" si="36"/>
        <v>1451851.8518518526</v>
      </c>
      <c r="BD95" s="27">
        <f t="shared" si="36"/>
        <v>1481481.4814814823</v>
      </c>
      <c r="BE95" s="27">
        <f t="shared" si="36"/>
        <v>1511111.1111111119</v>
      </c>
      <c r="BF95" s="27">
        <f t="shared" si="36"/>
        <v>1540740.7407407416</v>
      </c>
      <c r="BG95" s="27">
        <f t="shared" si="36"/>
        <v>1570370.3703703713</v>
      </c>
      <c r="BH95" s="27">
        <f t="shared" si="36"/>
        <v>1600000.0000000009</v>
      </c>
      <c r="BI95" s="27">
        <f t="shared" si="36"/>
        <v>1629629.6296296306</v>
      </c>
      <c r="BJ95" s="27">
        <f t="shared" si="36"/>
        <v>1659259.2592592603</v>
      </c>
      <c r="BK95" s="27">
        <f t="shared" si="36"/>
        <v>1688888.8888888899</v>
      </c>
      <c r="BL95" s="27">
        <f t="shared" si="36"/>
        <v>1718518.5185185196</v>
      </c>
      <c r="BM95" s="27">
        <f t="shared" si="36"/>
        <v>1748148.1481481493</v>
      </c>
      <c r="BN95" s="27">
        <f t="shared" si="36"/>
        <v>1777777.7777777789</v>
      </c>
      <c r="BO95" s="27">
        <f t="shared" si="36"/>
        <v>1807407.4074074086</v>
      </c>
      <c r="BP95" s="27">
        <f t="shared" si="36"/>
        <v>1837037.0370370382</v>
      </c>
      <c r="BQ95" s="27">
        <f t="shared" si="36"/>
        <v>1866666.6666666679</v>
      </c>
      <c r="BR95" s="27">
        <f t="shared" si="36"/>
        <v>1896296.2962962976</v>
      </c>
      <c r="BS95" s="27">
        <f t="shared" si="36"/>
        <v>1925925.9259259272</v>
      </c>
      <c r="BT95" s="27">
        <f t="shared" si="36"/>
        <v>1955555.5555555569</v>
      </c>
      <c r="BU95" s="27">
        <f t="shared" si="36"/>
        <v>1985185.1851851866</v>
      </c>
      <c r="BV95" s="27">
        <f t="shared" si="36"/>
        <v>2014814.8148148162</v>
      </c>
      <c r="BW95" s="27">
        <f t="shared" si="36"/>
        <v>2044444.4444444459</v>
      </c>
      <c r="BX95" s="27">
        <f t="shared" si="36"/>
        <v>2074074.0740740756</v>
      </c>
      <c r="BY95" s="27">
        <f t="shared" si="36"/>
        <v>2103703.7037037052</v>
      </c>
      <c r="BZ95" s="27">
        <f t="shared" si="36"/>
        <v>2133333.3333333349</v>
      </c>
      <c r="CA95" s="27">
        <f t="shared" si="36"/>
        <v>2162962.9629629645</v>
      </c>
      <c r="CB95" s="27">
        <f t="shared" si="36"/>
        <v>2192592.5925925942</v>
      </c>
      <c r="CC95" s="27">
        <f t="shared" si="36"/>
        <v>2222222.2222222239</v>
      </c>
      <c r="CD95" s="27">
        <f t="shared" si="36"/>
        <v>2251851.8518518535</v>
      </c>
      <c r="CE95" s="27">
        <f t="shared" si="36"/>
        <v>2281481.4814814832</v>
      </c>
      <c r="CF95" s="27">
        <f t="shared" si="36"/>
        <v>2311111.1111111129</v>
      </c>
      <c r="CG95" s="27">
        <f t="shared" si="36"/>
        <v>2340740.7407407425</v>
      </c>
      <c r="CH95" s="27">
        <f t="shared" si="36"/>
        <v>2370370.3703703722</v>
      </c>
      <c r="CI95" s="27">
        <f t="shared" si="36"/>
        <v>2400000.0000000019</v>
      </c>
      <c r="CJ95" s="27">
        <f t="shared" si="36"/>
        <v>2429629.6296296315</v>
      </c>
      <c r="CK95" s="27">
        <f t="shared" si="36"/>
        <v>2459259.2592592612</v>
      </c>
      <c r="CL95" s="27">
        <f t="shared" si="36"/>
        <v>2488888.8888888909</v>
      </c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1"/>
      <c r="JV95" s="21"/>
      <c r="JW95" s="21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  <c r="KJ95" s="21"/>
      <c r="KK95" s="21"/>
      <c r="KL95" s="21"/>
      <c r="KM95" s="21"/>
      <c r="KN95" s="21"/>
      <c r="KO95" s="21"/>
      <c r="KP95" s="21"/>
      <c r="KQ95" s="21"/>
      <c r="KR95" s="21"/>
      <c r="KS95" s="21"/>
      <c r="KT95" s="21"/>
      <c r="KU95" s="21"/>
      <c r="KV95" s="21"/>
      <c r="KW95" s="21"/>
      <c r="KX95" s="21"/>
      <c r="KY95" s="21"/>
      <c r="KZ95" s="21"/>
      <c r="LA95" s="21"/>
      <c r="LB95" s="21"/>
      <c r="LC95" s="21"/>
      <c r="LD95" s="21"/>
      <c r="LE95" s="21"/>
      <c r="LF95" s="21"/>
      <c r="LG95" s="21"/>
      <c r="LH95" s="21"/>
      <c r="LI95" s="21"/>
      <c r="LJ95" s="21"/>
      <c r="LK95" s="21"/>
      <c r="LL95" s="21"/>
      <c r="LM95" s="21"/>
      <c r="LN95" s="21"/>
      <c r="LO95" s="21"/>
      <c r="LP95" s="21"/>
      <c r="LQ95" s="21"/>
      <c r="LR95" s="21"/>
      <c r="LS95" s="21"/>
      <c r="LT95" s="21"/>
      <c r="LU95" s="21"/>
      <c r="LV95" s="21"/>
      <c r="LW95" s="21"/>
      <c r="LX95" s="21"/>
      <c r="LY95" s="21"/>
      <c r="LZ95" s="21"/>
      <c r="MA95" s="21"/>
      <c r="MB95" s="21"/>
      <c r="MC95" s="21"/>
      <c r="MD95" s="21"/>
      <c r="ME95" s="21"/>
      <c r="MF95" s="21"/>
      <c r="MG95" s="21"/>
      <c r="MH95" s="21"/>
      <c r="MI95" s="21"/>
      <c r="MJ95" s="21"/>
      <c r="MK95" s="21"/>
      <c r="ML95" s="21"/>
      <c r="MM95" s="21"/>
      <c r="MN95" s="21"/>
      <c r="MO95" s="21"/>
      <c r="MP95" s="21"/>
      <c r="MQ95" s="21"/>
      <c r="MR95" s="21"/>
      <c r="MS95" s="21"/>
      <c r="MT95" s="21"/>
      <c r="MU95" s="21"/>
      <c r="MV95" s="21"/>
      <c r="MW95" s="21"/>
      <c r="MX95" s="21"/>
      <c r="MY95" s="21"/>
      <c r="MZ95" s="21"/>
      <c r="NA95" s="21"/>
      <c r="NB95" s="21"/>
      <c r="NC95" s="21"/>
      <c r="ND95" s="21"/>
      <c r="NE95" s="21"/>
      <c r="NF95" s="21"/>
      <c r="NG95" s="21"/>
      <c r="NH95" s="21"/>
      <c r="NI95" s="21"/>
      <c r="NJ95" s="21"/>
      <c r="NK95" s="21"/>
      <c r="NL95" s="21"/>
      <c r="NM95" s="21"/>
      <c r="NN95" s="21"/>
      <c r="NO95" s="21"/>
      <c r="NP95" s="21"/>
      <c r="NQ95" s="21"/>
      <c r="NR95" s="21"/>
      <c r="NS95" s="21"/>
      <c r="NT95" s="21"/>
      <c r="NU95" s="21"/>
      <c r="NV95" s="21"/>
      <c r="NW95" s="21"/>
      <c r="NX95" s="21"/>
      <c r="NY95" s="21"/>
      <c r="NZ95" s="21"/>
      <c r="OA95" s="21"/>
      <c r="OB95" s="21"/>
      <c r="OC95" s="21"/>
      <c r="OD95" s="21"/>
      <c r="OE95" s="21"/>
      <c r="OF95" s="21"/>
      <c r="OG95" s="21"/>
      <c r="OH95" s="21"/>
      <c r="OI95" s="21"/>
      <c r="OJ95" s="21"/>
      <c r="OK95" s="21"/>
      <c r="OL95" s="21"/>
      <c r="OM95" s="21"/>
      <c r="ON95" s="21"/>
      <c r="OO95" s="21"/>
      <c r="OP95" s="21"/>
      <c r="OQ95" s="21"/>
      <c r="OR95" s="21"/>
      <c r="OS95" s="21"/>
      <c r="OT95" s="21"/>
      <c r="OU95" s="21"/>
      <c r="OV95" s="21"/>
      <c r="OW95" s="21"/>
      <c r="OX95" s="21"/>
      <c r="OY95" s="21"/>
      <c r="OZ95" s="21"/>
      <c r="PA95" s="21"/>
      <c r="PB95" s="21"/>
      <c r="PC95" s="21"/>
      <c r="PD95" s="21"/>
      <c r="PE95" s="21"/>
      <c r="PF95" s="21"/>
      <c r="PG95" s="21"/>
      <c r="PH95" s="21"/>
      <c r="PI95" s="21"/>
      <c r="PJ95" s="21"/>
      <c r="PK95" s="21"/>
      <c r="PL95" s="21"/>
      <c r="PM95" s="21"/>
      <c r="PN95" s="21"/>
      <c r="PO95" s="21"/>
      <c r="PP95" s="21"/>
      <c r="PQ95" s="21"/>
      <c r="PR95" s="21"/>
      <c r="PS95" s="21"/>
      <c r="PT95" s="21"/>
      <c r="PU95" s="21"/>
      <c r="PV95" s="21"/>
      <c r="PW95" s="21"/>
      <c r="PX95" s="21"/>
      <c r="PY95" s="21"/>
      <c r="PZ95" s="21"/>
      <c r="QA95" s="21"/>
      <c r="QB95" s="21"/>
      <c r="QC95" s="21"/>
      <c r="QD95" s="21"/>
      <c r="QE95" s="21"/>
      <c r="QF95" s="21"/>
      <c r="QG95" s="21"/>
      <c r="QH95" s="21"/>
      <c r="QI95" s="21"/>
      <c r="QJ95" s="21"/>
      <c r="QK95" s="21"/>
      <c r="QL95" s="21"/>
      <c r="QM95" s="21"/>
      <c r="QN95" s="21"/>
      <c r="QO95" s="21"/>
      <c r="QP95" s="21"/>
      <c r="QQ95" s="21"/>
      <c r="QR95" s="21"/>
      <c r="QS95" s="21"/>
      <c r="QT95" s="21"/>
      <c r="QU95" s="21"/>
      <c r="QV95" s="21"/>
      <c r="QW95" s="21"/>
      <c r="QX95" s="21"/>
      <c r="QY95" s="21"/>
      <c r="QZ95" s="21"/>
      <c r="RA95" s="21"/>
      <c r="RB95" s="21"/>
      <c r="RC95" s="21"/>
      <c r="RD95" s="21"/>
      <c r="RE95" s="21"/>
      <c r="RF95" s="21"/>
      <c r="RG95" s="21"/>
      <c r="RH95" s="21"/>
      <c r="RI95" s="21"/>
      <c r="RJ95" s="21"/>
      <c r="RK95" s="21"/>
      <c r="RL95" s="21"/>
      <c r="RM95" s="21"/>
      <c r="RN95" s="21"/>
      <c r="RO95" s="21"/>
      <c r="RP95" s="21"/>
      <c r="RQ95" s="21"/>
      <c r="RR95" s="21"/>
      <c r="RS95" s="21"/>
      <c r="RT95" s="21"/>
      <c r="RU95" s="21"/>
      <c r="RV95" s="21"/>
      <c r="RW95" s="21"/>
      <c r="RX95" s="21"/>
      <c r="RY95" s="21"/>
      <c r="RZ95" s="21"/>
      <c r="SA95" s="21"/>
      <c r="SB95" s="21"/>
      <c r="SC95" s="21"/>
      <c r="SD95" s="21"/>
      <c r="SE95" s="21"/>
      <c r="SF95" s="21"/>
      <c r="SG95" s="21"/>
      <c r="SH95" s="21"/>
      <c r="SI95" s="21"/>
      <c r="SJ95" s="21"/>
      <c r="SK95" s="21"/>
      <c r="SL95" s="21"/>
      <c r="SM95" s="21"/>
      <c r="SN95" s="21"/>
      <c r="SO95" s="21"/>
      <c r="SP95" s="21"/>
      <c r="SQ95" s="21"/>
      <c r="SR95" s="21"/>
      <c r="SS95" s="21"/>
      <c r="ST95" s="21"/>
      <c r="SU95" s="21"/>
      <c r="SV95" s="21"/>
      <c r="SW95" s="21"/>
      <c r="SX95" s="21"/>
      <c r="SY95" s="21"/>
      <c r="SZ95" s="21"/>
      <c r="TA95" s="21"/>
      <c r="TB95" s="21"/>
      <c r="TC95" s="21"/>
      <c r="TD95" s="21"/>
      <c r="TE95" s="21"/>
      <c r="TF95" s="21"/>
      <c r="TG95" s="21"/>
      <c r="TH95" s="21"/>
      <c r="TI95" s="21"/>
      <c r="TJ95" s="21"/>
      <c r="TK95" s="21"/>
      <c r="TL95" s="21"/>
      <c r="TM95" s="21"/>
      <c r="TN95" s="21"/>
      <c r="TO95" s="21"/>
      <c r="TP95" s="21"/>
      <c r="TQ95" s="21"/>
      <c r="TR95" s="21"/>
      <c r="TS95" s="21"/>
      <c r="TT95" s="21"/>
      <c r="TU95" s="21"/>
      <c r="TV95" s="21"/>
      <c r="TW95" s="21"/>
      <c r="TX95" s="21"/>
      <c r="TY95" s="21"/>
      <c r="TZ95" s="21"/>
      <c r="UA95" s="21"/>
      <c r="UB95" s="21"/>
      <c r="UC95" s="21"/>
      <c r="UD95" s="21"/>
      <c r="UE95" s="21"/>
      <c r="UF95" s="21"/>
      <c r="UG95" s="21"/>
      <c r="UH95" s="21"/>
      <c r="UI95" s="21"/>
      <c r="UJ95" s="21"/>
      <c r="UK95" s="21"/>
      <c r="UL95" s="21"/>
      <c r="UM95" s="21"/>
      <c r="UN95" s="21"/>
      <c r="UO95" s="21"/>
      <c r="UP95" s="21"/>
      <c r="UQ95" s="21"/>
      <c r="UR95" s="21"/>
      <c r="US95" s="21"/>
      <c r="UT95" s="21"/>
      <c r="UU95" s="21"/>
      <c r="UV95" s="21"/>
      <c r="UW95" s="21"/>
      <c r="UX95" s="21"/>
      <c r="UY95" s="21"/>
      <c r="UZ95" s="21"/>
      <c r="VA95" s="21"/>
      <c r="VB95" s="21"/>
      <c r="VC95" s="21"/>
      <c r="VD95" s="21"/>
      <c r="VE95" s="21"/>
      <c r="VF95" s="21"/>
      <c r="VG95" s="21"/>
      <c r="VH95" s="21"/>
      <c r="VI95" s="21"/>
      <c r="VJ95" s="21"/>
      <c r="VK95" s="21"/>
      <c r="VL95" s="21"/>
      <c r="VM95" s="21"/>
      <c r="VN95" s="21"/>
      <c r="VO95" s="21"/>
      <c r="VP95" s="21"/>
      <c r="VQ95" s="21"/>
      <c r="VR95" s="21"/>
      <c r="VS95" s="21"/>
      <c r="VT95" s="21"/>
      <c r="VU95" s="21"/>
      <c r="VV95" s="21"/>
      <c r="VW95" s="21"/>
      <c r="VX95" s="21"/>
      <c r="VY95" s="21"/>
      <c r="VZ95" s="21"/>
      <c r="WA95" s="21"/>
      <c r="WB95" s="21"/>
      <c r="WC95" s="21"/>
      <c r="WD95" s="21"/>
      <c r="WE95" s="21"/>
      <c r="WF95" s="21"/>
      <c r="WG95" s="21"/>
      <c r="WH95" s="21"/>
      <c r="WI95" s="21"/>
      <c r="WJ95" s="21"/>
      <c r="WK95" s="21"/>
      <c r="WL95" s="21"/>
      <c r="WM95" s="21"/>
      <c r="WN95" s="21"/>
      <c r="WO95" s="21"/>
      <c r="WP95" s="21"/>
      <c r="WQ95" s="21"/>
      <c r="WR95" s="21"/>
      <c r="WS95" s="21"/>
      <c r="WT95" s="21"/>
      <c r="WU95" s="21"/>
      <c r="WV95" s="21"/>
      <c r="WW95" s="21"/>
      <c r="WX95" s="21"/>
      <c r="WY95" s="21"/>
      <c r="WZ95" s="21"/>
      <c r="XA95" s="21"/>
      <c r="XB95" s="21"/>
      <c r="XC95" s="21"/>
      <c r="XD95" s="21"/>
      <c r="XE95" s="21"/>
      <c r="XF95" s="21"/>
      <c r="XG95" s="21"/>
      <c r="XH95" s="21"/>
      <c r="XI95" s="21"/>
      <c r="XJ95" s="21"/>
      <c r="XK95" s="21"/>
      <c r="XL95" s="21"/>
      <c r="XM95" s="21"/>
      <c r="XN95" s="21"/>
      <c r="XO95" s="21"/>
      <c r="XP95" s="21"/>
      <c r="XQ95" s="21"/>
      <c r="XR95" s="21"/>
      <c r="XS95" s="21"/>
      <c r="XT95" s="21"/>
      <c r="XU95" s="21"/>
      <c r="XV95" s="21"/>
      <c r="XW95" s="21"/>
      <c r="XX95" s="21"/>
      <c r="XY95" s="21"/>
      <c r="XZ95" s="21"/>
      <c r="YA95" s="21"/>
      <c r="YB95" s="21"/>
      <c r="YC95" s="21"/>
      <c r="YD95" s="21"/>
      <c r="YE95" s="21"/>
      <c r="YF95" s="21"/>
      <c r="YG95" s="21"/>
      <c r="YH95" s="21"/>
      <c r="YI95" s="21"/>
      <c r="YJ95" s="21"/>
      <c r="YK95" s="21"/>
      <c r="YL95" s="21"/>
      <c r="YM95" s="21"/>
      <c r="YN95" s="21"/>
      <c r="YO95" s="21"/>
      <c r="YP95" s="21"/>
      <c r="YQ95" s="21"/>
      <c r="YR95" s="21"/>
      <c r="YS95" s="21"/>
      <c r="YT95" s="21"/>
      <c r="YU95" s="21"/>
      <c r="YV95" s="21"/>
      <c r="YW95" s="21"/>
      <c r="YX95" s="21"/>
      <c r="YY95" s="21"/>
      <c r="YZ95" s="21"/>
      <c r="ZA95" s="21"/>
      <c r="ZB95" s="21"/>
      <c r="ZC95" s="21"/>
      <c r="ZD95" s="21"/>
      <c r="ZE95" s="21"/>
      <c r="ZF95" s="21"/>
      <c r="ZG95" s="21"/>
      <c r="ZH95" s="21"/>
      <c r="ZI95" s="21"/>
      <c r="ZJ95" s="21"/>
      <c r="ZK95" s="21"/>
      <c r="ZL95" s="21"/>
      <c r="ZM95" s="21"/>
      <c r="ZN95" s="21"/>
      <c r="ZO95" s="21"/>
      <c r="ZP95" s="21"/>
      <c r="ZQ95" s="21"/>
      <c r="ZR95" s="21"/>
      <c r="ZS95" s="21"/>
      <c r="ZT95" s="21"/>
      <c r="ZU95" s="21"/>
      <c r="ZV95" s="21"/>
      <c r="ZW95" s="21"/>
      <c r="ZX95" s="21"/>
      <c r="ZY95" s="21"/>
      <c r="ZZ95" s="21"/>
      <c r="AAA95" s="21"/>
      <c r="AAB95" s="21"/>
      <c r="AAC95" s="21"/>
      <c r="AAD95" s="21"/>
      <c r="AAE95" s="21"/>
      <c r="AAF95" s="21"/>
      <c r="AAG95" s="21"/>
      <c r="AAH95" s="21"/>
      <c r="AAI95" s="21"/>
      <c r="AAJ95" s="21"/>
      <c r="AAK95" s="21"/>
      <c r="AAL95" s="21"/>
      <c r="AAM95" s="21"/>
      <c r="AAN95" s="21"/>
      <c r="AAO95" s="21"/>
      <c r="AAP95" s="21"/>
      <c r="AAQ95" s="21"/>
      <c r="AAR95" s="21"/>
      <c r="AAS95" s="21"/>
      <c r="AAT95" s="21"/>
      <c r="AAU95" s="21"/>
      <c r="AAV95" s="21"/>
      <c r="AAW95" s="21"/>
      <c r="AAX95" s="21"/>
      <c r="AAY95" s="21"/>
      <c r="AAZ95" s="21"/>
      <c r="ABA95" s="21"/>
      <c r="ABB95" s="21"/>
      <c r="ABC95" s="21"/>
      <c r="ABD95" s="21"/>
      <c r="ABE95" s="21"/>
      <c r="ABF95" s="21"/>
      <c r="ABG95" s="21"/>
      <c r="ABH95" s="21"/>
      <c r="ABI95" s="21"/>
      <c r="ABJ95" s="21"/>
      <c r="ABK95" s="21"/>
      <c r="ABL95" s="21"/>
      <c r="ABM95" s="21"/>
      <c r="ABN95" s="21"/>
      <c r="ABO95" s="21"/>
      <c r="ABP95" s="21"/>
      <c r="ABQ95" s="21"/>
      <c r="ABR95" s="21"/>
      <c r="ABS95" s="21"/>
      <c r="ABT95" s="21"/>
      <c r="ABU95" s="21"/>
      <c r="ABV95" s="21"/>
      <c r="ABW95" s="21"/>
      <c r="ABX95" s="21"/>
      <c r="ABY95" s="21"/>
      <c r="ABZ95" s="21"/>
      <c r="ACA95" s="21"/>
      <c r="ACB95" s="21"/>
      <c r="ACC95" s="21"/>
      <c r="ACD95" s="21"/>
      <c r="ACE95" s="21"/>
      <c r="ACF95" s="21"/>
      <c r="ACG95" s="21"/>
      <c r="ACH95" s="21"/>
      <c r="ACI95" s="21"/>
      <c r="ACJ95" s="21"/>
      <c r="ACK95" s="21"/>
      <c r="ACL95" s="21"/>
      <c r="ACM95" s="21"/>
      <c r="ACN95" s="21"/>
      <c r="ACO95" s="21"/>
      <c r="ACP95" s="21"/>
      <c r="ACQ95" s="21"/>
      <c r="ACR95" s="21"/>
      <c r="ACS95" s="21"/>
      <c r="ACT95" s="21"/>
      <c r="ACU95" s="21"/>
      <c r="ACV95" s="21"/>
      <c r="ACW95" s="21"/>
      <c r="ACX95" s="21"/>
      <c r="ACY95" s="21"/>
      <c r="ACZ95" s="21"/>
      <c r="ADA95" s="21"/>
      <c r="ADB95" s="21"/>
      <c r="ADC95" s="21"/>
      <c r="ADD95" s="21"/>
      <c r="ADE95" s="21"/>
      <c r="ADF95" s="21"/>
      <c r="ADG95" s="21"/>
      <c r="ADH95" s="21"/>
      <c r="ADI95" s="21"/>
      <c r="ADJ95" s="21"/>
      <c r="ADK95" s="21"/>
      <c r="ADL95" s="21"/>
      <c r="ADM95" s="21"/>
      <c r="ADN95" s="21"/>
      <c r="ADO95" s="21"/>
      <c r="ADP95" s="21"/>
      <c r="ADQ95" s="21"/>
      <c r="ADR95" s="21"/>
      <c r="ADS95" s="21"/>
      <c r="ADT95" s="21"/>
      <c r="ADU95" s="21"/>
      <c r="ADV95" s="21"/>
      <c r="ADW95" s="21"/>
      <c r="ADX95" s="21"/>
      <c r="ADY95" s="21"/>
      <c r="ADZ95" s="21"/>
      <c r="AEA95" s="21"/>
      <c r="AEB95" s="21"/>
      <c r="AEC95" s="21"/>
      <c r="AED95" s="21"/>
      <c r="AEE95" s="21"/>
      <c r="AEF95" s="21"/>
      <c r="AEG95" s="21"/>
      <c r="AEH95" s="21"/>
      <c r="AEI95" s="21"/>
      <c r="AEJ95" s="21"/>
      <c r="AEK95" s="21"/>
      <c r="AEL95" s="21"/>
      <c r="AEM95" s="21"/>
      <c r="AEN95" s="21"/>
      <c r="AEO95" s="21"/>
      <c r="AEP95" s="21"/>
      <c r="AEQ95" s="21"/>
      <c r="AER95" s="21"/>
      <c r="AES95" s="21"/>
      <c r="AET95" s="21"/>
      <c r="AEU95" s="21"/>
      <c r="AEV95" s="21"/>
      <c r="AEW95" s="21"/>
      <c r="AEX95" s="21"/>
      <c r="AEY95" s="21"/>
      <c r="AEZ95" s="21"/>
      <c r="AFA95" s="21"/>
      <c r="AFB95" s="21"/>
      <c r="AFC95" s="21"/>
      <c r="AFD95" s="21"/>
      <c r="AFE95" s="21"/>
      <c r="AFF95" s="21"/>
      <c r="AFG95" s="21"/>
      <c r="AFH95" s="21"/>
      <c r="AFI95" s="21"/>
      <c r="AFJ95" s="21"/>
      <c r="AFK95" s="21"/>
      <c r="AFL95" s="21"/>
      <c r="AFM95" s="21"/>
      <c r="AFN95" s="21"/>
      <c r="AFO95" s="21"/>
      <c r="AFP95" s="21"/>
      <c r="AFQ95" s="21"/>
      <c r="AFR95" s="21"/>
      <c r="AFS95" s="21"/>
      <c r="AFT95" s="21"/>
      <c r="AFU95" s="21"/>
      <c r="AFV95" s="21"/>
      <c r="AFW95" s="21"/>
      <c r="AFX95" s="21"/>
      <c r="AFY95" s="21"/>
      <c r="AFZ95" s="21"/>
      <c r="AGA95" s="21"/>
      <c r="AGB95" s="21"/>
      <c r="AGC95" s="21"/>
      <c r="AGD95" s="21"/>
      <c r="AGE95" s="21"/>
      <c r="AGF95" s="21"/>
      <c r="AGG95" s="21"/>
      <c r="AGH95" s="21"/>
      <c r="AGI95" s="21"/>
      <c r="AGJ95" s="21"/>
      <c r="AGK95" s="21"/>
      <c r="AGL95" s="21"/>
      <c r="AGM95" s="21"/>
      <c r="AGN95" s="21"/>
      <c r="AGO95" s="21"/>
      <c r="AGP95" s="21"/>
      <c r="AGQ95" s="21"/>
      <c r="AGR95" s="21"/>
      <c r="AGS95" s="21"/>
    </row>
    <row r="96" spans="1:877" ht="13">
      <c r="A96" s="61"/>
      <c r="B96" s="62" t="str">
        <f t="shared" si="35"/>
        <v>Facility 1 Assets Expansion 1</v>
      </c>
      <c r="C96" s="61"/>
      <c r="D96" s="61"/>
      <c r="E96" s="61"/>
      <c r="F96" s="27"/>
      <c r="G96" s="27">
        <f t="shared" ref="G96:CL96" si="37">MIN(F96+ IF(G$4&gt;=$D79,$C79/($E79*12),0),$C79)</f>
        <v>0</v>
      </c>
      <c r="H96" s="27">
        <f t="shared" si="37"/>
        <v>0</v>
      </c>
      <c r="I96" s="27">
        <f t="shared" si="37"/>
        <v>0</v>
      </c>
      <c r="J96" s="27">
        <f t="shared" si="37"/>
        <v>0</v>
      </c>
      <c r="K96" s="27">
        <f t="shared" si="37"/>
        <v>0</v>
      </c>
      <c r="L96" s="27">
        <f t="shared" si="37"/>
        <v>0</v>
      </c>
      <c r="M96" s="27">
        <f t="shared" si="37"/>
        <v>0</v>
      </c>
      <c r="N96" s="27">
        <f t="shared" si="37"/>
        <v>0</v>
      </c>
      <c r="O96" s="27">
        <f t="shared" si="37"/>
        <v>0</v>
      </c>
      <c r="P96" s="27">
        <f t="shared" si="37"/>
        <v>0</v>
      </c>
      <c r="Q96" s="27">
        <f t="shared" si="37"/>
        <v>0</v>
      </c>
      <c r="R96" s="27">
        <f t="shared" si="37"/>
        <v>0</v>
      </c>
      <c r="S96" s="27">
        <f t="shared" si="37"/>
        <v>9259.2592592592591</v>
      </c>
      <c r="T96" s="27">
        <f t="shared" si="37"/>
        <v>18518.518518518518</v>
      </c>
      <c r="U96" s="27">
        <f t="shared" si="37"/>
        <v>27777.777777777777</v>
      </c>
      <c r="V96" s="27">
        <f t="shared" si="37"/>
        <v>37037.037037037036</v>
      </c>
      <c r="W96" s="27">
        <f t="shared" si="37"/>
        <v>46296.296296296292</v>
      </c>
      <c r="X96" s="27">
        <f t="shared" si="37"/>
        <v>55555.555555555547</v>
      </c>
      <c r="Y96" s="27">
        <f t="shared" si="37"/>
        <v>64814.814814814803</v>
      </c>
      <c r="Z96" s="27">
        <f t="shared" si="37"/>
        <v>74074.074074074058</v>
      </c>
      <c r="AA96" s="27">
        <f t="shared" si="37"/>
        <v>83333.333333333314</v>
      </c>
      <c r="AB96" s="27">
        <f t="shared" si="37"/>
        <v>92592.592592592569</v>
      </c>
      <c r="AC96" s="27">
        <f t="shared" si="37"/>
        <v>101851.85185185182</v>
      </c>
      <c r="AD96" s="27">
        <f t="shared" si="37"/>
        <v>111111.11111111108</v>
      </c>
      <c r="AE96" s="27">
        <f t="shared" si="37"/>
        <v>120370.37037037034</v>
      </c>
      <c r="AF96" s="27">
        <f t="shared" si="37"/>
        <v>129629.62962962959</v>
      </c>
      <c r="AG96" s="27">
        <f t="shared" si="37"/>
        <v>138888.88888888885</v>
      </c>
      <c r="AH96" s="27">
        <f t="shared" si="37"/>
        <v>148148.14814814812</v>
      </c>
      <c r="AI96" s="27">
        <f t="shared" si="37"/>
        <v>157407.40740740739</v>
      </c>
      <c r="AJ96" s="27">
        <f t="shared" si="37"/>
        <v>166666.66666666666</v>
      </c>
      <c r="AK96" s="27">
        <f t="shared" si="37"/>
        <v>175925.92592592593</v>
      </c>
      <c r="AL96" s="27">
        <f t="shared" si="37"/>
        <v>185185.1851851852</v>
      </c>
      <c r="AM96" s="27">
        <f t="shared" si="37"/>
        <v>194444.44444444447</v>
      </c>
      <c r="AN96" s="27">
        <f t="shared" si="37"/>
        <v>203703.70370370374</v>
      </c>
      <c r="AO96" s="27">
        <f t="shared" si="37"/>
        <v>212962.96296296301</v>
      </c>
      <c r="AP96" s="27">
        <f t="shared" si="37"/>
        <v>222222.22222222228</v>
      </c>
      <c r="AQ96" s="27">
        <f t="shared" si="37"/>
        <v>231481.48148148155</v>
      </c>
      <c r="AR96" s="27">
        <f t="shared" si="37"/>
        <v>240740.74074074082</v>
      </c>
      <c r="AS96" s="27">
        <f t="shared" si="37"/>
        <v>250000.00000000009</v>
      </c>
      <c r="AT96" s="27">
        <f t="shared" si="37"/>
        <v>259259.25925925936</v>
      </c>
      <c r="AU96" s="27">
        <f t="shared" si="37"/>
        <v>268518.5185185186</v>
      </c>
      <c r="AV96" s="27">
        <f t="shared" si="37"/>
        <v>277777.77777777787</v>
      </c>
      <c r="AW96" s="27">
        <f t="shared" si="37"/>
        <v>287037.03703703714</v>
      </c>
      <c r="AX96" s="27">
        <f t="shared" si="37"/>
        <v>296296.29629629641</v>
      </c>
      <c r="AY96" s="27">
        <f t="shared" si="37"/>
        <v>305555.55555555568</v>
      </c>
      <c r="AZ96" s="27">
        <f t="shared" si="37"/>
        <v>314814.81481481495</v>
      </c>
      <c r="BA96" s="27">
        <f t="shared" si="37"/>
        <v>324074.07407407422</v>
      </c>
      <c r="BB96" s="27">
        <f t="shared" si="37"/>
        <v>333333.33333333349</v>
      </c>
      <c r="BC96" s="27">
        <f t="shared" si="37"/>
        <v>342592.59259259276</v>
      </c>
      <c r="BD96" s="27">
        <f t="shared" si="37"/>
        <v>351851.85185185203</v>
      </c>
      <c r="BE96" s="27">
        <f t="shared" si="37"/>
        <v>361111.1111111113</v>
      </c>
      <c r="BF96" s="27">
        <f t="shared" si="37"/>
        <v>370370.37037037057</v>
      </c>
      <c r="BG96" s="27">
        <f t="shared" si="37"/>
        <v>379629.62962962984</v>
      </c>
      <c r="BH96" s="27">
        <f t="shared" si="37"/>
        <v>388888.88888888911</v>
      </c>
      <c r="BI96" s="27">
        <f t="shared" si="37"/>
        <v>398148.14814814838</v>
      </c>
      <c r="BJ96" s="27">
        <f t="shared" si="37"/>
        <v>407407.40740740765</v>
      </c>
      <c r="BK96" s="27">
        <f t="shared" si="37"/>
        <v>416666.66666666692</v>
      </c>
      <c r="BL96" s="27">
        <f t="shared" si="37"/>
        <v>425925.92592592619</v>
      </c>
      <c r="BM96" s="27">
        <f t="shared" si="37"/>
        <v>435185.18518518546</v>
      </c>
      <c r="BN96" s="27">
        <f t="shared" si="37"/>
        <v>444444.44444444473</v>
      </c>
      <c r="BO96" s="27">
        <f t="shared" si="37"/>
        <v>453703.703703704</v>
      </c>
      <c r="BP96" s="27">
        <f t="shared" si="37"/>
        <v>462962.96296296327</v>
      </c>
      <c r="BQ96" s="27">
        <f t="shared" si="37"/>
        <v>472222.22222222254</v>
      </c>
      <c r="BR96" s="27">
        <f t="shared" si="37"/>
        <v>481481.48148148181</v>
      </c>
      <c r="BS96" s="27">
        <f t="shared" si="37"/>
        <v>490740.74074074108</v>
      </c>
      <c r="BT96" s="27">
        <f t="shared" si="37"/>
        <v>500000.00000000035</v>
      </c>
      <c r="BU96" s="27">
        <f t="shared" si="37"/>
        <v>509259.25925925962</v>
      </c>
      <c r="BV96" s="27">
        <f t="shared" si="37"/>
        <v>518518.51851851889</v>
      </c>
      <c r="BW96" s="27">
        <f t="shared" si="37"/>
        <v>527777.7777777781</v>
      </c>
      <c r="BX96" s="27">
        <f t="shared" si="37"/>
        <v>537037.03703703731</v>
      </c>
      <c r="BY96" s="27">
        <f t="shared" si="37"/>
        <v>546296.29629629652</v>
      </c>
      <c r="BZ96" s="27">
        <f t="shared" si="37"/>
        <v>555555.55555555574</v>
      </c>
      <c r="CA96" s="27">
        <f t="shared" si="37"/>
        <v>564814.81481481495</v>
      </c>
      <c r="CB96" s="27">
        <f t="shared" si="37"/>
        <v>574074.07407407416</v>
      </c>
      <c r="CC96" s="27">
        <f t="shared" si="37"/>
        <v>583333.33333333337</v>
      </c>
      <c r="CD96" s="27">
        <f t="shared" si="37"/>
        <v>592592.59259259258</v>
      </c>
      <c r="CE96" s="27">
        <f t="shared" si="37"/>
        <v>601851.8518518518</v>
      </c>
      <c r="CF96" s="27">
        <f t="shared" si="37"/>
        <v>611111.11111111101</v>
      </c>
      <c r="CG96" s="27">
        <f t="shared" si="37"/>
        <v>620370.37037037022</v>
      </c>
      <c r="CH96" s="27">
        <f t="shared" si="37"/>
        <v>629629.62962962943</v>
      </c>
      <c r="CI96" s="27">
        <f t="shared" si="37"/>
        <v>638888.88888888864</v>
      </c>
      <c r="CJ96" s="27">
        <f t="shared" si="37"/>
        <v>648148.14814814785</v>
      </c>
      <c r="CK96" s="27">
        <f t="shared" si="37"/>
        <v>657407.40740740707</v>
      </c>
      <c r="CL96" s="27">
        <f t="shared" si="37"/>
        <v>666666.66666666628</v>
      </c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1"/>
      <c r="JV96" s="21"/>
      <c r="JW96" s="21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  <c r="KJ96" s="21"/>
      <c r="KK96" s="21"/>
      <c r="KL96" s="21"/>
      <c r="KM96" s="21"/>
      <c r="KN96" s="21"/>
      <c r="KO96" s="21"/>
      <c r="KP96" s="21"/>
      <c r="KQ96" s="21"/>
      <c r="KR96" s="21"/>
      <c r="KS96" s="21"/>
      <c r="KT96" s="21"/>
      <c r="KU96" s="21"/>
      <c r="KV96" s="21"/>
      <c r="KW96" s="21"/>
      <c r="KX96" s="21"/>
      <c r="KY96" s="21"/>
      <c r="KZ96" s="21"/>
      <c r="LA96" s="21"/>
      <c r="LB96" s="21"/>
      <c r="LC96" s="21"/>
      <c r="LD96" s="21"/>
      <c r="LE96" s="21"/>
      <c r="LF96" s="21"/>
      <c r="LG96" s="21"/>
      <c r="LH96" s="21"/>
      <c r="LI96" s="21"/>
      <c r="LJ96" s="21"/>
      <c r="LK96" s="21"/>
      <c r="LL96" s="21"/>
      <c r="LM96" s="21"/>
      <c r="LN96" s="21"/>
      <c r="LO96" s="21"/>
      <c r="LP96" s="21"/>
      <c r="LQ96" s="21"/>
      <c r="LR96" s="21"/>
      <c r="LS96" s="21"/>
      <c r="LT96" s="21"/>
      <c r="LU96" s="21"/>
      <c r="LV96" s="21"/>
      <c r="LW96" s="21"/>
      <c r="LX96" s="21"/>
      <c r="LY96" s="21"/>
      <c r="LZ96" s="21"/>
      <c r="MA96" s="21"/>
      <c r="MB96" s="21"/>
      <c r="MC96" s="21"/>
      <c r="MD96" s="21"/>
      <c r="ME96" s="21"/>
      <c r="MF96" s="21"/>
      <c r="MG96" s="21"/>
      <c r="MH96" s="21"/>
      <c r="MI96" s="21"/>
      <c r="MJ96" s="21"/>
      <c r="MK96" s="21"/>
      <c r="ML96" s="21"/>
      <c r="MM96" s="21"/>
      <c r="MN96" s="21"/>
      <c r="MO96" s="21"/>
      <c r="MP96" s="21"/>
      <c r="MQ96" s="21"/>
      <c r="MR96" s="21"/>
      <c r="MS96" s="21"/>
      <c r="MT96" s="21"/>
      <c r="MU96" s="21"/>
      <c r="MV96" s="21"/>
      <c r="MW96" s="21"/>
      <c r="MX96" s="21"/>
      <c r="MY96" s="21"/>
      <c r="MZ96" s="21"/>
      <c r="NA96" s="21"/>
      <c r="NB96" s="21"/>
      <c r="NC96" s="21"/>
      <c r="ND96" s="21"/>
      <c r="NE96" s="21"/>
      <c r="NF96" s="21"/>
      <c r="NG96" s="21"/>
      <c r="NH96" s="21"/>
      <c r="NI96" s="21"/>
      <c r="NJ96" s="21"/>
      <c r="NK96" s="21"/>
      <c r="NL96" s="21"/>
      <c r="NM96" s="21"/>
      <c r="NN96" s="21"/>
      <c r="NO96" s="21"/>
      <c r="NP96" s="21"/>
      <c r="NQ96" s="21"/>
      <c r="NR96" s="21"/>
      <c r="NS96" s="21"/>
      <c r="NT96" s="21"/>
      <c r="NU96" s="21"/>
      <c r="NV96" s="21"/>
      <c r="NW96" s="21"/>
      <c r="NX96" s="21"/>
      <c r="NY96" s="21"/>
      <c r="NZ96" s="21"/>
      <c r="OA96" s="21"/>
      <c r="OB96" s="21"/>
      <c r="OC96" s="21"/>
      <c r="OD96" s="21"/>
      <c r="OE96" s="21"/>
      <c r="OF96" s="21"/>
      <c r="OG96" s="21"/>
      <c r="OH96" s="21"/>
      <c r="OI96" s="21"/>
      <c r="OJ96" s="21"/>
      <c r="OK96" s="21"/>
      <c r="OL96" s="21"/>
      <c r="OM96" s="21"/>
      <c r="ON96" s="21"/>
      <c r="OO96" s="21"/>
      <c r="OP96" s="21"/>
      <c r="OQ96" s="21"/>
      <c r="OR96" s="21"/>
      <c r="OS96" s="21"/>
      <c r="OT96" s="21"/>
      <c r="OU96" s="21"/>
      <c r="OV96" s="21"/>
      <c r="OW96" s="21"/>
      <c r="OX96" s="21"/>
      <c r="OY96" s="21"/>
      <c r="OZ96" s="21"/>
      <c r="PA96" s="21"/>
      <c r="PB96" s="21"/>
      <c r="PC96" s="21"/>
      <c r="PD96" s="21"/>
      <c r="PE96" s="21"/>
      <c r="PF96" s="21"/>
      <c r="PG96" s="21"/>
      <c r="PH96" s="21"/>
      <c r="PI96" s="21"/>
      <c r="PJ96" s="21"/>
      <c r="PK96" s="21"/>
      <c r="PL96" s="21"/>
      <c r="PM96" s="21"/>
      <c r="PN96" s="21"/>
      <c r="PO96" s="21"/>
      <c r="PP96" s="21"/>
      <c r="PQ96" s="21"/>
      <c r="PR96" s="21"/>
      <c r="PS96" s="21"/>
      <c r="PT96" s="21"/>
      <c r="PU96" s="21"/>
      <c r="PV96" s="21"/>
      <c r="PW96" s="21"/>
      <c r="PX96" s="21"/>
      <c r="PY96" s="21"/>
      <c r="PZ96" s="21"/>
      <c r="QA96" s="21"/>
      <c r="QB96" s="21"/>
      <c r="QC96" s="21"/>
      <c r="QD96" s="21"/>
      <c r="QE96" s="21"/>
      <c r="QF96" s="21"/>
      <c r="QG96" s="21"/>
      <c r="QH96" s="21"/>
      <c r="QI96" s="21"/>
      <c r="QJ96" s="21"/>
      <c r="QK96" s="21"/>
      <c r="QL96" s="21"/>
      <c r="QM96" s="21"/>
      <c r="QN96" s="21"/>
      <c r="QO96" s="21"/>
      <c r="QP96" s="21"/>
      <c r="QQ96" s="21"/>
      <c r="QR96" s="21"/>
      <c r="QS96" s="21"/>
      <c r="QT96" s="21"/>
      <c r="QU96" s="21"/>
      <c r="QV96" s="21"/>
      <c r="QW96" s="21"/>
      <c r="QX96" s="21"/>
      <c r="QY96" s="21"/>
      <c r="QZ96" s="21"/>
      <c r="RA96" s="21"/>
      <c r="RB96" s="21"/>
      <c r="RC96" s="21"/>
      <c r="RD96" s="21"/>
      <c r="RE96" s="21"/>
      <c r="RF96" s="21"/>
      <c r="RG96" s="21"/>
      <c r="RH96" s="21"/>
      <c r="RI96" s="21"/>
      <c r="RJ96" s="21"/>
      <c r="RK96" s="21"/>
      <c r="RL96" s="21"/>
      <c r="RM96" s="21"/>
      <c r="RN96" s="21"/>
      <c r="RO96" s="21"/>
      <c r="RP96" s="21"/>
      <c r="RQ96" s="21"/>
      <c r="RR96" s="21"/>
      <c r="RS96" s="21"/>
      <c r="RT96" s="21"/>
      <c r="RU96" s="21"/>
      <c r="RV96" s="21"/>
      <c r="RW96" s="21"/>
      <c r="RX96" s="21"/>
      <c r="RY96" s="21"/>
      <c r="RZ96" s="21"/>
      <c r="SA96" s="21"/>
      <c r="SB96" s="21"/>
      <c r="SC96" s="21"/>
      <c r="SD96" s="21"/>
      <c r="SE96" s="21"/>
      <c r="SF96" s="21"/>
      <c r="SG96" s="21"/>
      <c r="SH96" s="21"/>
      <c r="SI96" s="21"/>
      <c r="SJ96" s="21"/>
      <c r="SK96" s="21"/>
      <c r="SL96" s="21"/>
      <c r="SM96" s="21"/>
      <c r="SN96" s="21"/>
      <c r="SO96" s="21"/>
      <c r="SP96" s="21"/>
      <c r="SQ96" s="21"/>
      <c r="SR96" s="21"/>
      <c r="SS96" s="21"/>
      <c r="ST96" s="21"/>
      <c r="SU96" s="21"/>
      <c r="SV96" s="21"/>
      <c r="SW96" s="21"/>
      <c r="SX96" s="21"/>
      <c r="SY96" s="21"/>
      <c r="SZ96" s="21"/>
      <c r="TA96" s="21"/>
      <c r="TB96" s="21"/>
      <c r="TC96" s="21"/>
      <c r="TD96" s="21"/>
      <c r="TE96" s="21"/>
      <c r="TF96" s="21"/>
      <c r="TG96" s="21"/>
      <c r="TH96" s="21"/>
      <c r="TI96" s="21"/>
      <c r="TJ96" s="21"/>
      <c r="TK96" s="21"/>
      <c r="TL96" s="21"/>
      <c r="TM96" s="21"/>
      <c r="TN96" s="21"/>
      <c r="TO96" s="21"/>
      <c r="TP96" s="21"/>
      <c r="TQ96" s="21"/>
      <c r="TR96" s="21"/>
      <c r="TS96" s="21"/>
      <c r="TT96" s="21"/>
      <c r="TU96" s="21"/>
      <c r="TV96" s="21"/>
      <c r="TW96" s="21"/>
      <c r="TX96" s="21"/>
      <c r="TY96" s="21"/>
      <c r="TZ96" s="21"/>
      <c r="UA96" s="21"/>
      <c r="UB96" s="21"/>
      <c r="UC96" s="21"/>
      <c r="UD96" s="21"/>
      <c r="UE96" s="21"/>
      <c r="UF96" s="21"/>
      <c r="UG96" s="21"/>
      <c r="UH96" s="21"/>
      <c r="UI96" s="21"/>
      <c r="UJ96" s="21"/>
      <c r="UK96" s="21"/>
      <c r="UL96" s="21"/>
      <c r="UM96" s="21"/>
      <c r="UN96" s="21"/>
      <c r="UO96" s="21"/>
      <c r="UP96" s="21"/>
      <c r="UQ96" s="21"/>
      <c r="UR96" s="21"/>
      <c r="US96" s="21"/>
      <c r="UT96" s="21"/>
      <c r="UU96" s="21"/>
      <c r="UV96" s="21"/>
      <c r="UW96" s="21"/>
      <c r="UX96" s="21"/>
      <c r="UY96" s="21"/>
      <c r="UZ96" s="21"/>
      <c r="VA96" s="21"/>
      <c r="VB96" s="21"/>
      <c r="VC96" s="21"/>
      <c r="VD96" s="21"/>
      <c r="VE96" s="21"/>
      <c r="VF96" s="21"/>
      <c r="VG96" s="21"/>
      <c r="VH96" s="21"/>
      <c r="VI96" s="21"/>
      <c r="VJ96" s="21"/>
      <c r="VK96" s="21"/>
      <c r="VL96" s="21"/>
      <c r="VM96" s="21"/>
      <c r="VN96" s="21"/>
      <c r="VO96" s="21"/>
      <c r="VP96" s="21"/>
      <c r="VQ96" s="21"/>
      <c r="VR96" s="21"/>
      <c r="VS96" s="21"/>
      <c r="VT96" s="21"/>
      <c r="VU96" s="21"/>
      <c r="VV96" s="21"/>
      <c r="VW96" s="21"/>
      <c r="VX96" s="21"/>
      <c r="VY96" s="21"/>
      <c r="VZ96" s="21"/>
      <c r="WA96" s="21"/>
      <c r="WB96" s="21"/>
      <c r="WC96" s="21"/>
      <c r="WD96" s="21"/>
      <c r="WE96" s="21"/>
      <c r="WF96" s="21"/>
      <c r="WG96" s="21"/>
      <c r="WH96" s="21"/>
      <c r="WI96" s="21"/>
      <c r="WJ96" s="21"/>
      <c r="WK96" s="21"/>
      <c r="WL96" s="21"/>
      <c r="WM96" s="21"/>
      <c r="WN96" s="21"/>
      <c r="WO96" s="21"/>
      <c r="WP96" s="21"/>
      <c r="WQ96" s="21"/>
      <c r="WR96" s="21"/>
      <c r="WS96" s="21"/>
      <c r="WT96" s="21"/>
      <c r="WU96" s="21"/>
      <c r="WV96" s="21"/>
      <c r="WW96" s="21"/>
      <c r="WX96" s="21"/>
      <c r="WY96" s="21"/>
      <c r="WZ96" s="21"/>
      <c r="XA96" s="21"/>
      <c r="XB96" s="21"/>
      <c r="XC96" s="21"/>
      <c r="XD96" s="21"/>
      <c r="XE96" s="21"/>
      <c r="XF96" s="21"/>
      <c r="XG96" s="21"/>
      <c r="XH96" s="21"/>
      <c r="XI96" s="21"/>
      <c r="XJ96" s="21"/>
      <c r="XK96" s="21"/>
      <c r="XL96" s="21"/>
      <c r="XM96" s="21"/>
      <c r="XN96" s="21"/>
      <c r="XO96" s="21"/>
      <c r="XP96" s="21"/>
      <c r="XQ96" s="21"/>
      <c r="XR96" s="21"/>
      <c r="XS96" s="21"/>
      <c r="XT96" s="21"/>
      <c r="XU96" s="21"/>
      <c r="XV96" s="21"/>
      <c r="XW96" s="21"/>
      <c r="XX96" s="21"/>
      <c r="XY96" s="21"/>
      <c r="XZ96" s="21"/>
      <c r="YA96" s="21"/>
      <c r="YB96" s="21"/>
      <c r="YC96" s="21"/>
      <c r="YD96" s="21"/>
      <c r="YE96" s="21"/>
      <c r="YF96" s="21"/>
      <c r="YG96" s="21"/>
      <c r="YH96" s="21"/>
      <c r="YI96" s="21"/>
      <c r="YJ96" s="21"/>
      <c r="YK96" s="21"/>
      <c r="YL96" s="21"/>
      <c r="YM96" s="21"/>
      <c r="YN96" s="21"/>
      <c r="YO96" s="21"/>
      <c r="YP96" s="21"/>
      <c r="YQ96" s="21"/>
      <c r="YR96" s="21"/>
      <c r="YS96" s="21"/>
      <c r="YT96" s="21"/>
      <c r="YU96" s="21"/>
      <c r="YV96" s="21"/>
      <c r="YW96" s="21"/>
      <c r="YX96" s="21"/>
      <c r="YY96" s="21"/>
      <c r="YZ96" s="21"/>
      <c r="ZA96" s="21"/>
      <c r="ZB96" s="21"/>
      <c r="ZC96" s="21"/>
      <c r="ZD96" s="21"/>
      <c r="ZE96" s="21"/>
      <c r="ZF96" s="21"/>
      <c r="ZG96" s="21"/>
      <c r="ZH96" s="21"/>
      <c r="ZI96" s="21"/>
      <c r="ZJ96" s="21"/>
      <c r="ZK96" s="21"/>
      <c r="ZL96" s="21"/>
      <c r="ZM96" s="21"/>
      <c r="ZN96" s="21"/>
      <c r="ZO96" s="21"/>
      <c r="ZP96" s="21"/>
      <c r="ZQ96" s="21"/>
      <c r="ZR96" s="21"/>
      <c r="ZS96" s="21"/>
      <c r="ZT96" s="21"/>
      <c r="ZU96" s="21"/>
      <c r="ZV96" s="21"/>
      <c r="ZW96" s="21"/>
      <c r="ZX96" s="21"/>
      <c r="ZY96" s="21"/>
      <c r="ZZ96" s="21"/>
      <c r="AAA96" s="21"/>
      <c r="AAB96" s="21"/>
      <c r="AAC96" s="21"/>
      <c r="AAD96" s="21"/>
      <c r="AAE96" s="21"/>
      <c r="AAF96" s="21"/>
      <c r="AAG96" s="21"/>
      <c r="AAH96" s="21"/>
      <c r="AAI96" s="21"/>
      <c r="AAJ96" s="21"/>
      <c r="AAK96" s="21"/>
      <c r="AAL96" s="21"/>
      <c r="AAM96" s="21"/>
      <c r="AAN96" s="21"/>
      <c r="AAO96" s="21"/>
      <c r="AAP96" s="21"/>
      <c r="AAQ96" s="21"/>
      <c r="AAR96" s="21"/>
      <c r="AAS96" s="21"/>
      <c r="AAT96" s="21"/>
      <c r="AAU96" s="21"/>
      <c r="AAV96" s="21"/>
      <c r="AAW96" s="21"/>
      <c r="AAX96" s="21"/>
      <c r="AAY96" s="21"/>
      <c r="AAZ96" s="21"/>
      <c r="ABA96" s="21"/>
      <c r="ABB96" s="21"/>
      <c r="ABC96" s="21"/>
      <c r="ABD96" s="21"/>
      <c r="ABE96" s="21"/>
      <c r="ABF96" s="21"/>
      <c r="ABG96" s="21"/>
      <c r="ABH96" s="21"/>
      <c r="ABI96" s="21"/>
      <c r="ABJ96" s="21"/>
      <c r="ABK96" s="21"/>
      <c r="ABL96" s="21"/>
      <c r="ABM96" s="21"/>
      <c r="ABN96" s="21"/>
      <c r="ABO96" s="21"/>
      <c r="ABP96" s="21"/>
      <c r="ABQ96" s="21"/>
      <c r="ABR96" s="21"/>
      <c r="ABS96" s="21"/>
      <c r="ABT96" s="21"/>
      <c r="ABU96" s="21"/>
      <c r="ABV96" s="21"/>
      <c r="ABW96" s="21"/>
      <c r="ABX96" s="21"/>
      <c r="ABY96" s="21"/>
      <c r="ABZ96" s="21"/>
      <c r="ACA96" s="21"/>
      <c r="ACB96" s="21"/>
      <c r="ACC96" s="21"/>
      <c r="ACD96" s="21"/>
      <c r="ACE96" s="21"/>
      <c r="ACF96" s="21"/>
      <c r="ACG96" s="21"/>
      <c r="ACH96" s="21"/>
      <c r="ACI96" s="21"/>
      <c r="ACJ96" s="21"/>
      <c r="ACK96" s="21"/>
      <c r="ACL96" s="21"/>
      <c r="ACM96" s="21"/>
      <c r="ACN96" s="21"/>
      <c r="ACO96" s="21"/>
      <c r="ACP96" s="21"/>
      <c r="ACQ96" s="21"/>
      <c r="ACR96" s="21"/>
      <c r="ACS96" s="21"/>
      <c r="ACT96" s="21"/>
      <c r="ACU96" s="21"/>
      <c r="ACV96" s="21"/>
      <c r="ACW96" s="21"/>
      <c r="ACX96" s="21"/>
      <c r="ACY96" s="21"/>
      <c r="ACZ96" s="21"/>
      <c r="ADA96" s="21"/>
      <c r="ADB96" s="21"/>
      <c r="ADC96" s="21"/>
      <c r="ADD96" s="21"/>
      <c r="ADE96" s="21"/>
      <c r="ADF96" s="21"/>
      <c r="ADG96" s="21"/>
      <c r="ADH96" s="21"/>
      <c r="ADI96" s="21"/>
      <c r="ADJ96" s="21"/>
      <c r="ADK96" s="21"/>
      <c r="ADL96" s="21"/>
      <c r="ADM96" s="21"/>
      <c r="ADN96" s="21"/>
      <c r="ADO96" s="21"/>
      <c r="ADP96" s="21"/>
      <c r="ADQ96" s="21"/>
      <c r="ADR96" s="21"/>
      <c r="ADS96" s="21"/>
      <c r="ADT96" s="21"/>
      <c r="ADU96" s="21"/>
      <c r="ADV96" s="21"/>
      <c r="ADW96" s="21"/>
      <c r="ADX96" s="21"/>
      <c r="ADY96" s="21"/>
      <c r="ADZ96" s="21"/>
      <c r="AEA96" s="21"/>
      <c r="AEB96" s="21"/>
      <c r="AEC96" s="21"/>
      <c r="AED96" s="21"/>
      <c r="AEE96" s="21"/>
      <c r="AEF96" s="21"/>
      <c r="AEG96" s="21"/>
      <c r="AEH96" s="21"/>
      <c r="AEI96" s="21"/>
      <c r="AEJ96" s="21"/>
      <c r="AEK96" s="21"/>
      <c r="AEL96" s="21"/>
      <c r="AEM96" s="21"/>
      <c r="AEN96" s="21"/>
      <c r="AEO96" s="21"/>
      <c r="AEP96" s="21"/>
      <c r="AEQ96" s="21"/>
      <c r="AER96" s="21"/>
      <c r="AES96" s="21"/>
      <c r="AET96" s="21"/>
      <c r="AEU96" s="21"/>
      <c r="AEV96" s="21"/>
      <c r="AEW96" s="21"/>
      <c r="AEX96" s="21"/>
      <c r="AEY96" s="21"/>
      <c r="AEZ96" s="21"/>
      <c r="AFA96" s="21"/>
      <c r="AFB96" s="21"/>
      <c r="AFC96" s="21"/>
      <c r="AFD96" s="21"/>
      <c r="AFE96" s="21"/>
      <c r="AFF96" s="21"/>
      <c r="AFG96" s="21"/>
      <c r="AFH96" s="21"/>
      <c r="AFI96" s="21"/>
      <c r="AFJ96" s="21"/>
      <c r="AFK96" s="21"/>
      <c r="AFL96" s="21"/>
      <c r="AFM96" s="21"/>
      <c r="AFN96" s="21"/>
      <c r="AFO96" s="21"/>
      <c r="AFP96" s="21"/>
      <c r="AFQ96" s="21"/>
      <c r="AFR96" s="21"/>
      <c r="AFS96" s="21"/>
      <c r="AFT96" s="21"/>
      <c r="AFU96" s="21"/>
      <c r="AFV96" s="21"/>
      <c r="AFW96" s="21"/>
      <c r="AFX96" s="21"/>
      <c r="AFY96" s="21"/>
      <c r="AFZ96" s="21"/>
      <c r="AGA96" s="21"/>
      <c r="AGB96" s="21"/>
      <c r="AGC96" s="21"/>
      <c r="AGD96" s="21"/>
      <c r="AGE96" s="21"/>
      <c r="AGF96" s="21"/>
      <c r="AGG96" s="21"/>
      <c r="AGH96" s="21"/>
      <c r="AGI96" s="21"/>
      <c r="AGJ96" s="21"/>
      <c r="AGK96" s="21"/>
      <c r="AGL96" s="21"/>
      <c r="AGM96" s="21"/>
      <c r="AGN96" s="21"/>
      <c r="AGO96" s="21"/>
      <c r="AGP96" s="21"/>
      <c r="AGQ96" s="21"/>
      <c r="AGR96" s="21"/>
      <c r="AGS96" s="21"/>
    </row>
    <row r="97" spans="1:877" ht="13">
      <c r="A97" s="61"/>
      <c r="B97" s="62" t="str">
        <f t="shared" si="35"/>
        <v>Facility 1 Assets Expansion 2</v>
      </c>
      <c r="C97" s="61"/>
      <c r="D97" s="61"/>
      <c r="E97" s="61"/>
      <c r="F97" s="27"/>
      <c r="G97" s="27">
        <f t="shared" ref="G97:CL97" si="38">MIN(F97+ IF(G$4&gt;=$D80,$C80/($E80*12),0),$C80)</f>
        <v>0</v>
      </c>
      <c r="H97" s="27">
        <f t="shared" si="38"/>
        <v>0</v>
      </c>
      <c r="I97" s="27">
        <f t="shared" si="38"/>
        <v>0</v>
      </c>
      <c r="J97" s="27">
        <f t="shared" si="38"/>
        <v>0</v>
      </c>
      <c r="K97" s="27">
        <f t="shared" si="38"/>
        <v>0</v>
      </c>
      <c r="L97" s="27">
        <f t="shared" si="38"/>
        <v>0</v>
      </c>
      <c r="M97" s="27">
        <f t="shared" si="38"/>
        <v>0</v>
      </c>
      <c r="N97" s="27">
        <f t="shared" si="38"/>
        <v>0</v>
      </c>
      <c r="O97" s="27">
        <f t="shared" si="38"/>
        <v>0</v>
      </c>
      <c r="P97" s="27">
        <f t="shared" si="38"/>
        <v>0</v>
      </c>
      <c r="Q97" s="27">
        <f t="shared" si="38"/>
        <v>0</v>
      </c>
      <c r="R97" s="27">
        <f t="shared" si="38"/>
        <v>0</v>
      </c>
      <c r="S97" s="27">
        <f t="shared" si="38"/>
        <v>0</v>
      </c>
      <c r="T97" s="27">
        <f t="shared" si="38"/>
        <v>0</v>
      </c>
      <c r="U97" s="27">
        <f t="shared" si="38"/>
        <v>0</v>
      </c>
      <c r="V97" s="27">
        <f t="shared" si="38"/>
        <v>0</v>
      </c>
      <c r="W97" s="27">
        <f t="shared" si="38"/>
        <v>0</v>
      </c>
      <c r="X97" s="27">
        <f t="shared" si="38"/>
        <v>0</v>
      </c>
      <c r="Y97" s="27">
        <f t="shared" si="38"/>
        <v>0</v>
      </c>
      <c r="Z97" s="27">
        <f t="shared" si="38"/>
        <v>0</v>
      </c>
      <c r="AA97" s="27">
        <f t="shared" si="38"/>
        <v>0</v>
      </c>
      <c r="AB97" s="27">
        <f t="shared" si="38"/>
        <v>0</v>
      </c>
      <c r="AC97" s="27">
        <f t="shared" si="38"/>
        <v>0</v>
      </c>
      <c r="AD97" s="27">
        <f t="shared" si="38"/>
        <v>0</v>
      </c>
      <c r="AE97" s="27">
        <f t="shared" si="38"/>
        <v>13888.888888888889</v>
      </c>
      <c r="AF97" s="27">
        <f t="shared" si="38"/>
        <v>27777.777777777777</v>
      </c>
      <c r="AG97" s="27">
        <f t="shared" si="38"/>
        <v>41666.666666666664</v>
      </c>
      <c r="AH97" s="27">
        <f t="shared" si="38"/>
        <v>55555.555555555555</v>
      </c>
      <c r="AI97" s="27">
        <f t="shared" si="38"/>
        <v>69444.444444444438</v>
      </c>
      <c r="AJ97" s="27">
        <f t="shared" si="38"/>
        <v>83333.333333333328</v>
      </c>
      <c r="AK97" s="27">
        <f t="shared" si="38"/>
        <v>97222.222222222219</v>
      </c>
      <c r="AL97" s="27">
        <f t="shared" si="38"/>
        <v>111111.11111111111</v>
      </c>
      <c r="AM97" s="27">
        <f t="shared" si="38"/>
        <v>125000</v>
      </c>
      <c r="AN97" s="27">
        <f t="shared" si="38"/>
        <v>138888.88888888888</v>
      </c>
      <c r="AO97" s="27">
        <f t="shared" si="38"/>
        <v>152777.77777777775</v>
      </c>
      <c r="AP97" s="27">
        <f t="shared" si="38"/>
        <v>166666.66666666663</v>
      </c>
      <c r="AQ97" s="27">
        <f t="shared" si="38"/>
        <v>180555.5555555555</v>
      </c>
      <c r="AR97" s="27">
        <f t="shared" si="38"/>
        <v>194444.44444444438</v>
      </c>
      <c r="AS97" s="27">
        <f t="shared" si="38"/>
        <v>208333.33333333326</v>
      </c>
      <c r="AT97" s="27">
        <f t="shared" si="38"/>
        <v>222222.22222222213</v>
      </c>
      <c r="AU97" s="27">
        <f t="shared" si="38"/>
        <v>236111.11111111101</v>
      </c>
      <c r="AV97" s="27">
        <f t="shared" si="38"/>
        <v>249999.99999999988</v>
      </c>
      <c r="AW97" s="27">
        <f t="shared" si="38"/>
        <v>263888.88888888876</v>
      </c>
      <c r="AX97" s="27">
        <f t="shared" si="38"/>
        <v>277777.77777777764</v>
      </c>
      <c r="AY97" s="27">
        <f t="shared" si="38"/>
        <v>291666.66666666651</v>
      </c>
      <c r="AZ97" s="27">
        <f t="shared" si="38"/>
        <v>305555.55555555539</v>
      </c>
      <c r="BA97" s="27">
        <f t="shared" si="38"/>
        <v>319444.44444444426</v>
      </c>
      <c r="BB97" s="27">
        <f t="shared" si="38"/>
        <v>333333.33333333314</v>
      </c>
      <c r="BC97" s="27">
        <f t="shared" si="38"/>
        <v>347222.22222222202</v>
      </c>
      <c r="BD97" s="27">
        <f t="shared" si="38"/>
        <v>361111.11111111089</v>
      </c>
      <c r="BE97" s="27">
        <f t="shared" si="38"/>
        <v>374999.99999999977</v>
      </c>
      <c r="BF97" s="27">
        <f t="shared" si="38"/>
        <v>388888.88888888864</v>
      </c>
      <c r="BG97" s="27">
        <f t="shared" si="38"/>
        <v>402777.77777777752</v>
      </c>
      <c r="BH97" s="27">
        <f t="shared" si="38"/>
        <v>416666.6666666664</v>
      </c>
      <c r="BI97" s="27">
        <f t="shared" si="38"/>
        <v>430555.55555555527</v>
      </c>
      <c r="BJ97" s="27">
        <f t="shared" si="38"/>
        <v>444444.44444444415</v>
      </c>
      <c r="BK97" s="27">
        <f t="shared" si="38"/>
        <v>458333.33333333302</v>
      </c>
      <c r="BL97" s="27">
        <f t="shared" si="38"/>
        <v>472222.2222222219</v>
      </c>
      <c r="BM97" s="27">
        <f t="shared" si="38"/>
        <v>486111.11111111077</v>
      </c>
      <c r="BN97" s="27">
        <f t="shared" si="38"/>
        <v>499999.99999999965</v>
      </c>
      <c r="BO97" s="27">
        <f t="shared" si="38"/>
        <v>513888.88888888853</v>
      </c>
      <c r="BP97" s="27">
        <f t="shared" si="38"/>
        <v>527777.7777777774</v>
      </c>
      <c r="BQ97" s="27">
        <f t="shared" si="38"/>
        <v>541666.66666666628</v>
      </c>
      <c r="BR97" s="27">
        <f t="shared" si="38"/>
        <v>555555.55555555515</v>
      </c>
      <c r="BS97" s="27">
        <f t="shared" si="38"/>
        <v>569444.44444444403</v>
      </c>
      <c r="BT97" s="27">
        <f t="shared" si="38"/>
        <v>583333.33333333291</v>
      </c>
      <c r="BU97" s="27">
        <f t="shared" si="38"/>
        <v>597222.22222222178</v>
      </c>
      <c r="BV97" s="27">
        <f t="shared" si="38"/>
        <v>611111.11111111066</v>
      </c>
      <c r="BW97" s="27">
        <f t="shared" si="38"/>
        <v>624999.99999999953</v>
      </c>
      <c r="BX97" s="27">
        <f t="shared" si="38"/>
        <v>638888.88888888841</v>
      </c>
      <c r="BY97" s="27">
        <f t="shared" si="38"/>
        <v>652777.77777777729</v>
      </c>
      <c r="BZ97" s="27">
        <f t="shared" si="38"/>
        <v>666666.66666666616</v>
      </c>
      <c r="CA97" s="27">
        <f t="shared" si="38"/>
        <v>680555.55555555504</v>
      </c>
      <c r="CB97" s="27">
        <f t="shared" si="38"/>
        <v>694444.44444444391</v>
      </c>
      <c r="CC97" s="27">
        <f t="shared" si="38"/>
        <v>708333.33333333279</v>
      </c>
      <c r="CD97" s="27">
        <f t="shared" si="38"/>
        <v>722222.22222222167</v>
      </c>
      <c r="CE97" s="27">
        <f t="shared" si="38"/>
        <v>736111.11111111054</v>
      </c>
      <c r="CF97" s="27">
        <f t="shared" si="38"/>
        <v>749999.99999999942</v>
      </c>
      <c r="CG97" s="27">
        <f t="shared" si="38"/>
        <v>763888.88888888829</v>
      </c>
      <c r="CH97" s="27">
        <f t="shared" si="38"/>
        <v>777777.77777777717</v>
      </c>
      <c r="CI97" s="27">
        <f t="shared" si="38"/>
        <v>791666.66666666605</v>
      </c>
      <c r="CJ97" s="27">
        <f t="shared" si="38"/>
        <v>805555.55555555492</v>
      </c>
      <c r="CK97" s="27">
        <f t="shared" si="38"/>
        <v>819444.4444444438</v>
      </c>
      <c r="CL97" s="27">
        <f t="shared" si="38"/>
        <v>833333.33333333267</v>
      </c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1"/>
      <c r="JV97" s="21"/>
      <c r="JW97" s="21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  <c r="KJ97" s="21"/>
      <c r="KK97" s="21"/>
      <c r="KL97" s="21"/>
      <c r="KM97" s="21"/>
      <c r="KN97" s="21"/>
      <c r="KO97" s="21"/>
      <c r="KP97" s="21"/>
      <c r="KQ97" s="21"/>
      <c r="KR97" s="21"/>
      <c r="KS97" s="21"/>
      <c r="KT97" s="21"/>
      <c r="KU97" s="21"/>
      <c r="KV97" s="21"/>
      <c r="KW97" s="21"/>
      <c r="KX97" s="21"/>
      <c r="KY97" s="21"/>
      <c r="KZ97" s="21"/>
      <c r="LA97" s="21"/>
      <c r="LB97" s="21"/>
      <c r="LC97" s="21"/>
      <c r="LD97" s="21"/>
      <c r="LE97" s="21"/>
      <c r="LF97" s="21"/>
      <c r="LG97" s="21"/>
      <c r="LH97" s="21"/>
      <c r="LI97" s="21"/>
      <c r="LJ97" s="21"/>
      <c r="LK97" s="21"/>
      <c r="LL97" s="21"/>
      <c r="LM97" s="21"/>
      <c r="LN97" s="21"/>
      <c r="LO97" s="21"/>
      <c r="LP97" s="21"/>
      <c r="LQ97" s="21"/>
      <c r="LR97" s="21"/>
      <c r="LS97" s="21"/>
      <c r="LT97" s="21"/>
      <c r="LU97" s="21"/>
      <c r="LV97" s="21"/>
      <c r="LW97" s="21"/>
      <c r="LX97" s="21"/>
      <c r="LY97" s="21"/>
      <c r="LZ97" s="21"/>
      <c r="MA97" s="21"/>
      <c r="MB97" s="21"/>
      <c r="MC97" s="21"/>
      <c r="MD97" s="21"/>
      <c r="ME97" s="21"/>
      <c r="MF97" s="21"/>
      <c r="MG97" s="21"/>
      <c r="MH97" s="21"/>
      <c r="MI97" s="21"/>
      <c r="MJ97" s="21"/>
      <c r="MK97" s="21"/>
      <c r="ML97" s="21"/>
      <c r="MM97" s="21"/>
      <c r="MN97" s="21"/>
      <c r="MO97" s="21"/>
      <c r="MP97" s="21"/>
      <c r="MQ97" s="21"/>
      <c r="MR97" s="21"/>
      <c r="MS97" s="21"/>
      <c r="MT97" s="21"/>
      <c r="MU97" s="21"/>
      <c r="MV97" s="21"/>
      <c r="MW97" s="21"/>
      <c r="MX97" s="21"/>
      <c r="MY97" s="21"/>
      <c r="MZ97" s="21"/>
      <c r="NA97" s="21"/>
      <c r="NB97" s="21"/>
      <c r="NC97" s="21"/>
      <c r="ND97" s="21"/>
      <c r="NE97" s="21"/>
      <c r="NF97" s="21"/>
      <c r="NG97" s="21"/>
      <c r="NH97" s="21"/>
      <c r="NI97" s="21"/>
      <c r="NJ97" s="21"/>
      <c r="NK97" s="21"/>
      <c r="NL97" s="21"/>
      <c r="NM97" s="21"/>
      <c r="NN97" s="21"/>
      <c r="NO97" s="21"/>
      <c r="NP97" s="21"/>
      <c r="NQ97" s="21"/>
      <c r="NR97" s="21"/>
      <c r="NS97" s="21"/>
      <c r="NT97" s="21"/>
      <c r="NU97" s="21"/>
      <c r="NV97" s="21"/>
      <c r="NW97" s="21"/>
      <c r="NX97" s="21"/>
      <c r="NY97" s="21"/>
      <c r="NZ97" s="21"/>
      <c r="OA97" s="21"/>
      <c r="OB97" s="21"/>
      <c r="OC97" s="21"/>
      <c r="OD97" s="21"/>
      <c r="OE97" s="21"/>
      <c r="OF97" s="21"/>
      <c r="OG97" s="21"/>
      <c r="OH97" s="21"/>
      <c r="OI97" s="21"/>
      <c r="OJ97" s="21"/>
      <c r="OK97" s="21"/>
      <c r="OL97" s="21"/>
      <c r="OM97" s="21"/>
      <c r="ON97" s="21"/>
      <c r="OO97" s="21"/>
      <c r="OP97" s="21"/>
      <c r="OQ97" s="21"/>
      <c r="OR97" s="21"/>
      <c r="OS97" s="21"/>
      <c r="OT97" s="21"/>
      <c r="OU97" s="21"/>
      <c r="OV97" s="21"/>
      <c r="OW97" s="21"/>
      <c r="OX97" s="21"/>
      <c r="OY97" s="21"/>
      <c r="OZ97" s="21"/>
      <c r="PA97" s="21"/>
      <c r="PB97" s="21"/>
      <c r="PC97" s="21"/>
      <c r="PD97" s="21"/>
      <c r="PE97" s="21"/>
      <c r="PF97" s="21"/>
      <c r="PG97" s="21"/>
      <c r="PH97" s="21"/>
      <c r="PI97" s="21"/>
      <c r="PJ97" s="21"/>
      <c r="PK97" s="21"/>
      <c r="PL97" s="21"/>
      <c r="PM97" s="21"/>
      <c r="PN97" s="21"/>
      <c r="PO97" s="21"/>
      <c r="PP97" s="21"/>
      <c r="PQ97" s="21"/>
      <c r="PR97" s="21"/>
      <c r="PS97" s="21"/>
      <c r="PT97" s="21"/>
      <c r="PU97" s="21"/>
      <c r="PV97" s="21"/>
      <c r="PW97" s="21"/>
      <c r="PX97" s="21"/>
      <c r="PY97" s="21"/>
      <c r="PZ97" s="21"/>
      <c r="QA97" s="21"/>
      <c r="QB97" s="21"/>
      <c r="QC97" s="21"/>
      <c r="QD97" s="21"/>
      <c r="QE97" s="21"/>
      <c r="QF97" s="21"/>
      <c r="QG97" s="21"/>
      <c r="QH97" s="21"/>
      <c r="QI97" s="21"/>
      <c r="QJ97" s="21"/>
      <c r="QK97" s="21"/>
      <c r="QL97" s="21"/>
      <c r="QM97" s="21"/>
      <c r="QN97" s="21"/>
      <c r="QO97" s="21"/>
      <c r="QP97" s="21"/>
      <c r="QQ97" s="21"/>
      <c r="QR97" s="21"/>
      <c r="QS97" s="21"/>
      <c r="QT97" s="21"/>
      <c r="QU97" s="21"/>
      <c r="QV97" s="21"/>
      <c r="QW97" s="21"/>
      <c r="QX97" s="21"/>
      <c r="QY97" s="21"/>
      <c r="QZ97" s="21"/>
      <c r="RA97" s="21"/>
      <c r="RB97" s="21"/>
      <c r="RC97" s="21"/>
      <c r="RD97" s="21"/>
      <c r="RE97" s="21"/>
      <c r="RF97" s="21"/>
      <c r="RG97" s="21"/>
      <c r="RH97" s="21"/>
      <c r="RI97" s="21"/>
      <c r="RJ97" s="21"/>
      <c r="RK97" s="21"/>
      <c r="RL97" s="21"/>
      <c r="RM97" s="21"/>
      <c r="RN97" s="21"/>
      <c r="RO97" s="21"/>
      <c r="RP97" s="21"/>
      <c r="RQ97" s="21"/>
      <c r="RR97" s="21"/>
      <c r="RS97" s="21"/>
      <c r="RT97" s="21"/>
      <c r="RU97" s="21"/>
      <c r="RV97" s="21"/>
      <c r="RW97" s="21"/>
      <c r="RX97" s="21"/>
      <c r="RY97" s="21"/>
      <c r="RZ97" s="21"/>
      <c r="SA97" s="21"/>
      <c r="SB97" s="21"/>
      <c r="SC97" s="21"/>
      <c r="SD97" s="21"/>
      <c r="SE97" s="21"/>
      <c r="SF97" s="21"/>
      <c r="SG97" s="21"/>
      <c r="SH97" s="21"/>
      <c r="SI97" s="21"/>
      <c r="SJ97" s="21"/>
      <c r="SK97" s="21"/>
      <c r="SL97" s="21"/>
      <c r="SM97" s="21"/>
      <c r="SN97" s="21"/>
      <c r="SO97" s="21"/>
      <c r="SP97" s="21"/>
      <c r="SQ97" s="21"/>
      <c r="SR97" s="21"/>
      <c r="SS97" s="21"/>
      <c r="ST97" s="21"/>
      <c r="SU97" s="21"/>
      <c r="SV97" s="21"/>
      <c r="SW97" s="21"/>
      <c r="SX97" s="21"/>
      <c r="SY97" s="21"/>
      <c r="SZ97" s="21"/>
      <c r="TA97" s="21"/>
      <c r="TB97" s="21"/>
      <c r="TC97" s="21"/>
      <c r="TD97" s="21"/>
      <c r="TE97" s="21"/>
      <c r="TF97" s="21"/>
      <c r="TG97" s="21"/>
      <c r="TH97" s="21"/>
      <c r="TI97" s="21"/>
      <c r="TJ97" s="21"/>
      <c r="TK97" s="21"/>
      <c r="TL97" s="21"/>
      <c r="TM97" s="21"/>
      <c r="TN97" s="21"/>
      <c r="TO97" s="21"/>
      <c r="TP97" s="21"/>
      <c r="TQ97" s="21"/>
      <c r="TR97" s="21"/>
      <c r="TS97" s="21"/>
      <c r="TT97" s="21"/>
      <c r="TU97" s="21"/>
      <c r="TV97" s="21"/>
      <c r="TW97" s="21"/>
      <c r="TX97" s="21"/>
      <c r="TY97" s="21"/>
      <c r="TZ97" s="21"/>
      <c r="UA97" s="21"/>
      <c r="UB97" s="21"/>
      <c r="UC97" s="21"/>
      <c r="UD97" s="21"/>
      <c r="UE97" s="21"/>
      <c r="UF97" s="21"/>
      <c r="UG97" s="21"/>
      <c r="UH97" s="21"/>
      <c r="UI97" s="21"/>
      <c r="UJ97" s="21"/>
      <c r="UK97" s="21"/>
      <c r="UL97" s="21"/>
      <c r="UM97" s="21"/>
      <c r="UN97" s="21"/>
      <c r="UO97" s="21"/>
      <c r="UP97" s="21"/>
      <c r="UQ97" s="21"/>
      <c r="UR97" s="21"/>
      <c r="US97" s="21"/>
      <c r="UT97" s="21"/>
      <c r="UU97" s="21"/>
      <c r="UV97" s="21"/>
      <c r="UW97" s="21"/>
      <c r="UX97" s="21"/>
      <c r="UY97" s="21"/>
      <c r="UZ97" s="21"/>
      <c r="VA97" s="21"/>
      <c r="VB97" s="21"/>
      <c r="VC97" s="21"/>
      <c r="VD97" s="21"/>
      <c r="VE97" s="21"/>
      <c r="VF97" s="21"/>
      <c r="VG97" s="21"/>
      <c r="VH97" s="21"/>
      <c r="VI97" s="21"/>
      <c r="VJ97" s="21"/>
      <c r="VK97" s="21"/>
      <c r="VL97" s="21"/>
      <c r="VM97" s="21"/>
      <c r="VN97" s="21"/>
      <c r="VO97" s="21"/>
      <c r="VP97" s="21"/>
      <c r="VQ97" s="21"/>
      <c r="VR97" s="21"/>
      <c r="VS97" s="21"/>
      <c r="VT97" s="21"/>
      <c r="VU97" s="21"/>
      <c r="VV97" s="21"/>
      <c r="VW97" s="21"/>
      <c r="VX97" s="21"/>
      <c r="VY97" s="21"/>
      <c r="VZ97" s="21"/>
      <c r="WA97" s="21"/>
      <c r="WB97" s="21"/>
      <c r="WC97" s="21"/>
      <c r="WD97" s="21"/>
      <c r="WE97" s="21"/>
      <c r="WF97" s="21"/>
      <c r="WG97" s="21"/>
      <c r="WH97" s="21"/>
      <c r="WI97" s="21"/>
      <c r="WJ97" s="21"/>
      <c r="WK97" s="21"/>
      <c r="WL97" s="21"/>
      <c r="WM97" s="21"/>
      <c r="WN97" s="21"/>
      <c r="WO97" s="21"/>
      <c r="WP97" s="21"/>
      <c r="WQ97" s="21"/>
      <c r="WR97" s="21"/>
      <c r="WS97" s="21"/>
      <c r="WT97" s="21"/>
      <c r="WU97" s="21"/>
      <c r="WV97" s="21"/>
      <c r="WW97" s="21"/>
      <c r="WX97" s="21"/>
      <c r="WY97" s="21"/>
      <c r="WZ97" s="21"/>
      <c r="XA97" s="21"/>
      <c r="XB97" s="21"/>
      <c r="XC97" s="21"/>
      <c r="XD97" s="21"/>
      <c r="XE97" s="21"/>
      <c r="XF97" s="21"/>
      <c r="XG97" s="21"/>
      <c r="XH97" s="21"/>
      <c r="XI97" s="21"/>
      <c r="XJ97" s="21"/>
      <c r="XK97" s="21"/>
      <c r="XL97" s="21"/>
      <c r="XM97" s="21"/>
      <c r="XN97" s="21"/>
      <c r="XO97" s="21"/>
      <c r="XP97" s="21"/>
      <c r="XQ97" s="21"/>
      <c r="XR97" s="21"/>
      <c r="XS97" s="21"/>
      <c r="XT97" s="21"/>
      <c r="XU97" s="21"/>
      <c r="XV97" s="21"/>
      <c r="XW97" s="21"/>
      <c r="XX97" s="21"/>
      <c r="XY97" s="21"/>
      <c r="XZ97" s="21"/>
      <c r="YA97" s="21"/>
      <c r="YB97" s="21"/>
      <c r="YC97" s="21"/>
      <c r="YD97" s="21"/>
      <c r="YE97" s="21"/>
      <c r="YF97" s="21"/>
      <c r="YG97" s="21"/>
      <c r="YH97" s="21"/>
      <c r="YI97" s="21"/>
      <c r="YJ97" s="21"/>
      <c r="YK97" s="21"/>
      <c r="YL97" s="21"/>
      <c r="YM97" s="21"/>
      <c r="YN97" s="21"/>
      <c r="YO97" s="21"/>
      <c r="YP97" s="21"/>
      <c r="YQ97" s="21"/>
      <c r="YR97" s="21"/>
      <c r="YS97" s="21"/>
      <c r="YT97" s="21"/>
      <c r="YU97" s="21"/>
      <c r="YV97" s="21"/>
      <c r="YW97" s="21"/>
      <c r="YX97" s="21"/>
      <c r="YY97" s="21"/>
      <c r="YZ97" s="21"/>
      <c r="ZA97" s="21"/>
      <c r="ZB97" s="21"/>
      <c r="ZC97" s="21"/>
      <c r="ZD97" s="21"/>
      <c r="ZE97" s="21"/>
      <c r="ZF97" s="21"/>
      <c r="ZG97" s="21"/>
      <c r="ZH97" s="21"/>
      <c r="ZI97" s="21"/>
      <c r="ZJ97" s="21"/>
      <c r="ZK97" s="21"/>
      <c r="ZL97" s="21"/>
      <c r="ZM97" s="21"/>
      <c r="ZN97" s="21"/>
      <c r="ZO97" s="21"/>
      <c r="ZP97" s="21"/>
      <c r="ZQ97" s="21"/>
      <c r="ZR97" s="21"/>
      <c r="ZS97" s="21"/>
      <c r="ZT97" s="21"/>
      <c r="ZU97" s="21"/>
      <c r="ZV97" s="21"/>
      <c r="ZW97" s="21"/>
      <c r="ZX97" s="21"/>
      <c r="ZY97" s="21"/>
      <c r="ZZ97" s="21"/>
      <c r="AAA97" s="21"/>
      <c r="AAB97" s="21"/>
      <c r="AAC97" s="21"/>
      <c r="AAD97" s="21"/>
      <c r="AAE97" s="21"/>
      <c r="AAF97" s="21"/>
      <c r="AAG97" s="21"/>
      <c r="AAH97" s="21"/>
      <c r="AAI97" s="21"/>
      <c r="AAJ97" s="21"/>
      <c r="AAK97" s="21"/>
      <c r="AAL97" s="21"/>
      <c r="AAM97" s="21"/>
      <c r="AAN97" s="21"/>
      <c r="AAO97" s="21"/>
      <c r="AAP97" s="21"/>
      <c r="AAQ97" s="21"/>
      <c r="AAR97" s="21"/>
      <c r="AAS97" s="21"/>
      <c r="AAT97" s="21"/>
      <c r="AAU97" s="21"/>
      <c r="AAV97" s="21"/>
      <c r="AAW97" s="21"/>
      <c r="AAX97" s="21"/>
      <c r="AAY97" s="21"/>
      <c r="AAZ97" s="21"/>
      <c r="ABA97" s="21"/>
      <c r="ABB97" s="21"/>
      <c r="ABC97" s="21"/>
      <c r="ABD97" s="21"/>
      <c r="ABE97" s="21"/>
      <c r="ABF97" s="21"/>
      <c r="ABG97" s="21"/>
      <c r="ABH97" s="21"/>
      <c r="ABI97" s="21"/>
      <c r="ABJ97" s="21"/>
      <c r="ABK97" s="21"/>
      <c r="ABL97" s="21"/>
      <c r="ABM97" s="21"/>
      <c r="ABN97" s="21"/>
      <c r="ABO97" s="21"/>
      <c r="ABP97" s="21"/>
      <c r="ABQ97" s="21"/>
      <c r="ABR97" s="21"/>
      <c r="ABS97" s="21"/>
      <c r="ABT97" s="21"/>
      <c r="ABU97" s="21"/>
      <c r="ABV97" s="21"/>
      <c r="ABW97" s="21"/>
      <c r="ABX97" s="21"/>
      <c r="ABY97" s="21"/>
      <c r="ABZ97" s="21"/>
      <c r="ACA97" s="21"/>
      <c r="ACB97" s="21"/>
      <c r="ACC97" s="21"/>
      <c r="ACD97" s="21"/>
      <c r="ACE97" s="21"/>
      <c r="ACF97" s="21"/>
      <c r="ACG97" s="21"/>
      <c r="ACH97" s="21"/>
      <c r="ACI97" s="21"/>
      <c r="ACJ97" s="21"/>
      <c r="ACK97" s="21"/>
      <c r="ACL97" s="21"/>
      <c r="ACM97" s="21"/>
      <c r="ACN97" s="21"/>
      <c r="ACO97" s="21"/>
      <c r="ACP97" s="21"/>
      <c r="ACQ97" s="21"/>
      <c r="ACR97" s="21"/>
      <c r="ACS97" s="21"/>
      <c r="ACT97" s="21"/>
      <c r="ACU97" s="21"/>
      <c r="ACV97" s="21"/>
      <c r="ACW97" s="21"/>
      <c r="ACX97" s="21"/>
      <c r="ACY97" s="21"/>
      <c r="ACZ97" s="21"/>
      <c r="ADA97" s="21"/>
      <c r="ADB97" s="21"/>
      <c r="ADC97" s="21"/>
      <c r="ADD97" s="21"/>
      <c r="ADE97" s="21"/>
      <c r="ADF97" s="21"/>
      <c r="ADG97" s="21"/>
      <c r="ADH97" s="21"/>
      <c r="ADI97" s="21"/>
      <c r="ADJ97" s="21"/>
      <c r="ADK97" s="21"/>
      <c r="ADL97" s="21"/>
      <c r="ADM97" s="21"/>
      <c r="ADN97" s="21"/>
      <c r="ADO97" s="21"/>
      <c r="ADP97" s="21"/>
      <c r="ADQ97" s="21"/>
      <c r="ADR97" s="21"/>
      <c r="ADS97" s="21"/>
      <c r="ADT97" s="21"/>
      <c r="ADU97" s="21"/>
      <c r="ADV97" s="21"/>
      <c r="ADW97" s="21"/>
      <c r="ADX97" s="21"/>
      <c r="ADY97" s="21"/>
      <c r="ADZ97" s="21"/>
      <c r="AEA97" s="21"/>
      <c r="AEB97" s="21"/>
      <c r="AEC97" s="21"/>
      <c r="AED97" s="21"/>
      <c r="AEE97" s="21"/>
      <c r="AEF97" s="21"/>
      <c r="AEG97" s="21"/>
      <c r="AEH97" s="21"/>
      <c r="AEI97" s="21"/>
      <c r="AEJ97" s="21"/>
      <c r="AEK97" s="21"/>
      <c r="AEL97" s="21"/>
      <c r="AEM97" s="21"/>
      <c r="AEN97" s="21"/>
      <c r="AEO97" s="21"/>
      <c r="AEP97" s="21"/>
      <c r="AEQ97" s="21"/>
      <c r="AER97" s="21"/>
      <c r="AES97" s="21"/>
      <c r="AET97" s="21"/>
      <c r="AEU97" s="21"/>
      <c r="AEV97" s="21"/>
      <c r="AEW97" s="21"/>
      <c r="AEX97" s="21"/>
      <c r="AEY97" s="21"/>
      <c r="AEZ97" s="21"/>
      <c r="AFA97" s="21"/>
      <c r="AFB97" s="21"/>
      <c r="AFC97" s="21"/>
      <c r="AFD97" s="21"/>
      <c r="AFE97" s="21"/>
      <c r="AFF97" s="21"/>
      <c r="AFG97" s="21"/>
      <c r="AFH97" s="21"/>
      <c r="AFI97" s="21"/>
      <c r="AFJ97" s="21"/>
      <c r="AFK97" s="21"/>
      <c r="AFL97" s="21"/>
      <c r="AFM97" s="21"/>
      <c r="AFN97" s="21"/>
      <c r="AFO97" s="21"/>
      <c r="AFP97" s="21"/>
      <c r="AFQ97" s="21"/>
      <c r="AFR97" s="21"/>
      <c r="AFS97" s="21"/>
      <c r="AFT97" s="21"/>
      <c r="AFU97" s="21"/>
      <c r="AFV97" s="21"/>
      <c r="AFW97" s="21"/>
      <c r="AFX97" s="21"/>
      <c r="AFY97" s="21"/>
      <c r="AFZ97" s="21"/>
      <c r="AGA97" s="21"/>
      <c r="AGB97" s="21"/>
      <c r="AGC97" s="21"/>
      <c r="AGD97" s="21"/>
      <c r="AGE97" s="21"/>
      <c r="AGF97" s="21"/>
      <c r="AGG97" s="21"/>
      <c r="AGH97" s="21"/>
      <c r="AGI97" s="21"/>
      <c r="AGJ97" s="21"/>
      <c r="AGK97" s="21"/>
      <c r="AGL97" s="21"/>
      <c r="AGM97" s="21"/>
      <c r="AGN97" s="21"/>
      <c r="AGO97" s="21"/>
      <c r="AGP97" s="21"/>
      <c r="AGQ97" s="21"/>
      <c r="AGR97" s="21"/>
      <c r="AGS97" s="21"/>
    </row>
    <row r="98" spans="1:877" ht="13">
      <c r="A98" s="61"/>
      <c r="B98" s="62" t="str">
        <f t="shared" si="35"/>
        <v>Facility 2 Assets</v>
      </c>
      <c r="C98" s="61"/>
      <c r="D98" s="61"/>
      <c r="E98" s="61"/>
      <c r="F98" s="27"/>
      <c r="G98" s="27">
        <f t="shared" ref="G98:CL98" si="39">MIN(F98+ IF(G$4&gt;=$D81,$C81/($E81*12),0),$C81)</f>
        <v>0</v>
      </c>
      <c r="H98" s="27">
        <f t="shared" si="39"/>
        <v>0</v>
      </c>
      <c r="I98" s="27">
        <f t="shared" si="39"/>
        <v>0</v>
      </c>
      <c r="J98" s="27">
        <f t="shared" si="39"/>
        <v>0</v>
      </c>
      <c r="K98" s="27">
        <f t="shared" si="39"/>
        <v>0</v>
      </c>
      <c r="L98" s="27">
        <f t="shared" si="39"/>
        <v>0</v>
      </c>
      <c r="M98" s="27">
        <f t="shared" si="39"/>
        <v>0</v>
      </c>
      <c r="N98" s="27">
        <f t="shared" si="39"/>
        <v>0</v>
      </c>
      <c r="O98" s="27">
        <f t="shared" si="39"/>
        <v>0</v>
      </c>
      <c r="P98" s="27">
        <f t="shared" si="39"/>
        <v>0</v>
      </c>
      <c r="Q98" s="27">
        <f t="shared" si="39"/>
        <v>0</v>
      </c>
      <c r="R98" s="27">
        <f t="shared" si="39"/>
        <v>0</v>
      </c>
      <c r="S98" s="27">
        <f t="shared" si="39"/>
        <v>30000</v>
      </c>
      <c r="T98" s="27">
        <f t="shared" si="39"/>
        <v>60000</v>
      </c>
      <c r="U98" s="27">
        <f t="shared" si="39"/>
        <v>90000</v>
      </c>
      <c r="V98" s="27">
        <f t="shared" si="39"/>
        <v>120000</v>
      </c>
      <c r="W98" s="27">
        <f t="shared" si="39"/>
        <v>150000</v>
      </c>
      <c r="X98" s="27">
        <f t="shared" si="39"/>
        <v>180000</v>
      </c>
      <c r="Y98" s="27">
        <f t="shared" si="39"/>
        <v>210000</v>
      </c>
      <c r="Z98" s="27">
        <f t="shared" si="39"/>
        <v>240000</v>
      </c>
      <c r="AA98" s="27">
        <f t="shared" si="39"/>
        <v>270000</v>
      </c>
      <c r="AB98" s="27">
        <f t="shared" si="39"/>
        <v>300000</v>
      </c>
      <c r="AC98" s="27">
        <f t="shared" si="39"/>
        <v>330000</v>
      </c>
      <c r="AD98" s="27">
        <f t="shared" si="39"/>
        <v>360000</v>
      </c>
      <c r="AE98" s="27">
        <f t="shared" si="39"/>
        <v>390000</v>
      </c>
      <c r="AF98" s="27">
        <f t="shared" si="39"/>
        <v>420000</v>
      </c>
      <c r="AG98" s="27">
        <f t="shared" si="39"/>
        <v>450000</v>
      </c>
      <c r="AH98" s="27">
        <f t="shared" si="39"/>
        <v>480000</v>
      </c>
      <c r="AI98" s="27">
        <f t="shared" si="39"/>
        <v>510000</v>
      </c>
      <c r="AJ98" s="27">
        <f t="shared" si="39"/>
        <v>540000</v>
      </c>
      <c r="AK98" s="27">
        <f t="shared" si="39"/>
        <v>570000</v>
      </c>
      <c r="AL98" s="27">
        <f t="shared" si="39"/>
        <v>600000</v>
      </c>
      <c r="AM98" s="27">
        <f t="shared" si="39"/>
        <v>630000</v>
      </c>
      <c r="AN98" s="27">
        <f t="shared" si="39"/>
        <v>660000</v>
      </c>
      <c r="AO98" s="27">
        <f t="shared" si="39"/>
        <v>690000</v>
      </c>
      <c r="AP98" s="27">
        <f t="shared" si="39"/>
        <v>720000</v>
      </c>
      <c r="AQ98" s="27">
        <f t="shared" si="39"/>
        <v>750000</v>
      </c>
      <c r="AR98" s="27">
        <f t="shared" si="39"/>
        <v>780000</v>
      </c>
      <c r="AS98" s="27">
        <f t="shared" si="39"/>
        <v>810000</v>
      </c>
      <c r="AT98" s="27">
        <f t="shared" si="39"/>
        <v>840000</v>
      </c>
      <c r="AU98" s="27">
        <f t="shared" si="39"/>
        <v>870000</v>
      </c>
      <c r="AV98" s="27">
        <f t="shared" si="39"/>
        <v>900000</v>
      </c>
      <c r="AW98" s="27">
        <f t="shared" si="39"/>
        <v>930000</v>
      </c>
      <c r="AX98" s="27">
        <f t="shared" si="39"/>
        <v>960000</v>
      </c>
      <c r="AY98" s="27">
        <f t="shared" si="39"/>
        <v>990000</v>
      </c>
      <c r="AZ98" s="27">
        <f t="shared" si="39"/>
        <v>1020000</v>
      </c>
      <c r="BA98" s="27">
        <f t="shared" si="39"/>
        <v>1050000</v>
      </c>
      <c r="BB98" s="27">
        <f t="shared" si="39"/>
        <v>1080000</v>
      </c>
      <c r="BC98" s="27">
        <f t="shared" si="39"/>
        <v>1110000</v>
      </c>
      <c r="BD98" s="27">
        <f t="shared" si="39"/>
        <v>1140000</v>
      </c>
      <c r="BE98" s="27">
        <f t="shared" si="39"/>
        <v>1170000</v>
      </c>
      <c r="BF98" s="27">
        <f t="shared" si="39"/>
        <v>1200000</v>
      </c>
      <c r="BG98" s="27">
        <f t="shared" si="39"/>
        <v>1230000</v>
      </c>
      <c r="BH98" s="27">
        <f t="shared" si="39"/>
        <v>1260000</v>
      </c>
      <c r="BI98" s="27">
        <f t="shared" si="39"/>
        <v>1290000</v>
      </c>
      <c r="BJ98" s="27">
        <f t="shared" si="39"/>
        <v>1320000</v>
      </c>
      <c r="BK98" s="27">
        <f t="shared" si="39"/>
        <v>1350000</v>
      </c>
      <c r="BL98" s="27">
        <f t="shared" si="39"/>
        <v>1380000</v>
      </c>
      <c r="BM98" s="27">
        <f t="shared" si="39"/>
        <v>1410000</v>
      </c>
      <c r="BN98" s="27">
        <f t="shared" si="39"/>
        <v>1440000</v>
      </c>
      <c r="BO98" s="27">
        <f t="shared" si="39"/>
        <v>1470000</v>
      </c>
      <c r="BP98" s="27">
        <f t="shared" si="39"/>
        <v>1500000</v>
      </c>
      <c r="BQ98" s="27">
        <f t="shared" si="39"/>
        <v>1530000</v>
      </c>
      <c r="BR98" s="27">
        <f t="shared" si="39"/>
        <v>1560000</v>
      </c>
      <c r="BS98" s="27">
        <f t="shared" si="39"/>
        <v>1590000</v>
      </c>
      <c r="BT98" s="27">
        <f t="shared" si="39"/>
        <v>1620000</v>
      </c>
      <c r="BU98" s="27">
        <f t="shared" si="39"/>
        <v>1650000</v>
      </c>
      <c r="BV98" s="27">
        <f t="shared" si="39"/>
        <v>1680000</v>
      </c>
      <c r="BW98" s="27">
        <f t="shared" si="39"/>
        <v>1710000</v>
      </c>
      <c r="BX98" s="27">
        <f t="shared" si="39"/>
        <v>1740000</v>
      </c>
      <c r="BY98" s="27">
        <f t="shared" si="39"/>
        <v>1770000</v>
      </c>
      <c r="BZ98" s="27">
        <f t="shared" si="39"/>
        <v>1800000</v>
      </c>
      <c r="CA98" s="27">
        <f t="shared" si="39"/>
        <v>1830000</v>
      </c>
      <c r="CB98" s="27">
        <f t="shared" si="39"/>
        <v>1860000</v>
      </c>
      <c r="CC98" s="27">
        <f t="shared" si="39"/>
        <v>1890000</v>
      </c>
      <c r="CD98" s="27">
        <f t="shared" si="39"/>
        <v>1920000</v>
      </c>
      <c r="CE98" s="27">
        <f t="shared" si="39"/>
        <v>1950000</v>
      </c>
      <c r="CF98" s="27">
        <f t="shared" si="39"/>
        <v>1980000</v>
      </c>
      <c r="CG98" s="27">
        <f t="shared" si="39"/>
        <v>2010000</v>
      </c>
      <c r="CH98" s="27">
        <f t="shared" si="39"/>
        <v>2040000</v>
      </c>
      <c r="CI98" s="27">
        <f t="shared" si="39"/>
        <v>2070000</v>
      </c>
      <c r="CJ98" s="27">
        <f t="shared" si="39"/>
        <v>2100000</v>
      </c>
      <c r="CK98" s="27">
        <f t="shared" si="39"/>
        <v>2130000</v>
      </c>
      <c r="CL98" s="27">
        <f t="shared" si="39"/>
        <v>2160000</v>
      </c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  <c r="JO98" s="21"/>
      <c r="JP98" s="21"/>
      <c r="JQ98" s="21"/>
      <c r="JR98" s="21"/>
      <c r="JS98" s="21"/>
      <c r="JT98" s="21"/>
      <c r="JU98" s="21"/>
      <c r="JV98" s="21"/>
      <c r="JW98" s="21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  <c r="KJ98" s="21"/>
      <c r="KK98" s="21"/>
      <c r="KL98" s="21"/>
      <c r="KM98" s="21"/>
      <c r="KN98" s="21"/>
      <c r="KO98" s="21"/>
      <c r="KP98" s="21"/>
      <c r="KQ98" s="21"/>
      <c r="KR98" s="21"/>
      <c r="KS98" s="21"/>
      <c r="KT98" s="21"/>
      <c r="KU98" s="21"/>
      <c r="KV98" s="21"/>
      <c r="KW98" s="21"/>
      <c r="KX98" s="21"/>
      <c r="KY98" s="21"/>
      <c r="KZ98" s="21"/>
      <c r="LA98" s="21"/>
      <c r="LB98" s="21"/>
      <c r="LC98" s="21"/>
      <c r="LD98" s="21"/>
      <c r="LE98" s="21"/>
      <c r="LF98" s="21"/>
      <c r="LG98" s="21"/>
      <c r="LH98" s="21"/>
      <c r="LI98" s="21"/>
      <c r="LJ98" s="21"/>
      <c r="LK98" s="21"/>
      <c r="LL98" s="21"/>
      <c r="LM98" s="21"/>
      <c r="LN98" s="21"/>
      <c r="LO98" s="21"/>
      <c r="LP98" s="21"/>
      <c r="LQ98" s="21"/>
      <c r="LR98" s="21"/>
      <c r="LS98" s="21"/>
      <c r="LT98" s="21"/>
      <c r="LU98" s="21"/>
      <c r="LV98" s="21"/>
      <c r="LW98" s="21"/>
      <c r="LX98" s="21"/>
      <c r="LY98" s="21"/>
      <c r="LZ98" s="21"/>
      <c r="MA98" s="21"/>
      <c r="MB98" s="21"/>
      <c r="MC98" s="21"/>
      <c r="MD98" s="21"/>
      <c r="ME98" s="21"/>
      <c r="MF98" s="21"/>
      <c r="MG98" s="21"/>
      <c r="MH98" s="21"/>
      <c r="MI98" s="21"/>
      <c r="MJ98" s="21"/>
      <c r="MK98" s="21"/>
      <c r="ML98" s="21"/>
      <c r="MM98" s="21"/>
      <c r="MN98" s="21"/>
      <c r="MO98" s="21"/>
      <c r="MP98" s="21"/>
      <c r="MQ98" s="21"/>
      <c r="MR98" s="21"/>
      <c r="MS98" s="21"/>
      <c r="MT98" s="21"/>
      <c r="MU98" s="21"/>
      <c r="MV98" s="21"/>
      <c r="MW98" s="21"/>
      <c r="MX98" s="21"/>
      <c r="MY98" s="21"/>
      <c r="MZ98" s="21"/>
      <c r="NA98" s="21"/>
      <c r="NB98" s="21"/>
      <c r="NC98" s="21"/>
      <c r="ND98" s="21"/>
      <c r="NE98" s="21"/>
      <c r="NF98" s="21"/>
      <c r="NG98" s="21"/>
      <c r="NH98" s="21"/>
      <c r="NI98" s="21"/>
      <c r="NJ98" s="21"/>
      <c r="NK98" s="21"/>
      <c r="NL98" s="21"/>
      <c r="NM98" s="21"/>
      <c r="NN98" s="21"/>
      <c r="NO98" s="21"/>
      <c r="NP98" s="21"/>
      <c r="NQ98" s="21"/>
      <c r="NR98" s="21"/>
      <c r="NS98" s="21"/>
      <c r="NT98" s="21"/>
      <c r="NU98" s="21"/>
      <c r="NV98" s="21"/>
      <c r="NW98" s="21"/>
      <c r="NX98" s="21"/>
      <c r="NY98" s="21"/>
      <c r="NZ98" s="21"/>
      <c r="OA98" s="21"/>
      <c r="OB98" s="21"/>
      <c r="OC98" s="21"/>
      <c r="OD98" s="21"/>
      <c r="OE98" s="21"/>
      <c r="OF98" s="21"/>
      <c r="OG98" s="21"/>
      <c r="OH98" s="21"/>
      <c r="OI98" s="21"/>
      <c r="OJ98" s="21"/>
      <c r="OK98" s="21"/>
      <c r="OL98" s="21"/>
      <c r="OM98" s="21"/>
      <c r="ON98" s="21"/>
      <c r="OO98" s="21"/>
      <c r="OP98" s="21"/>
      <c r="OQ98" s="21"/>
      <c r="OR98" s="21"/>
      <c r="OS98" s="21"/>
      <c r="OT98" s="21"/>
      <c r="OU98" s="21"/>
      <c r="OV98" s="21"/>
      <c r="OW98" s="21"/>
      <c r="OX98" s="21"/>
      <c r="OY98" s="21"/>
      <c r="OZ98" s="21"/>
      <c r="PA98" s="21"/>
      <c r="PB98" s="21"/>
      <c r="PC98" s="21"/>
      <c r="PD98" s="21"/>
      <c r="PE98" s="21"/>
      <c r="PF98" s="21"/>
      <c r="PG98" s="21"/>
      <c r="PH98" s="21"/>
      <c r="PI98" s="21"/>
      <c r="PJ98" s="21"/>
      <c r="PK98" s="21"/>
      <c r="PL98" s="21"/>
      <c r="PM98" s="21"/>
      <c r="PN98" s="21"/>
      <c r="PO98" s="21"/>
      <c r="PP98" s="21"/>
      <c r="PQ98" s="21"/>
      <c r="PR98" s="21"/>
      <c r="PS98" s="21"/>
      <c r="PT98" s="21"/>
      <c r="PU98" s="21"/>
      <c r="PV98" s="21"/>
      <c r="PW98" s="21"/>
      <c r="PX98" s="21"/>
      <c r="PY98" s="21"/>
      <c r="PZ98" s="21"/>
      <c r="QA98" s="21"/>
      <c r="QB98" s="21"/>
      <c r="QC98" s="21"/>
      <c r="QD98" s="21"/>
      <c r="QE98" s="21"/>
      <c r="QF98" s="21"/>
      <c r="QG98" s="21"/>
      <c r="QH98" s="21"/>
      <c r="QI98" s="21"/>
      <c r="QJ98" s="21"/>
      <c r="QK98" s="21"/>
      <c r="QL98" s="21"/>
      <c r="QM98" s="21"/>
      <c r="QN98" s="21"/>
      <c r="QO98" s="21"/>
      <c r="QP98" s="21"/>
      <c r="QQ98" s="21"/>
      <c r="QR98" s="21"/>
      <c r="QS98" s="21"/>
      <c r="QT98" s="21"/>
      <c r="QU98" s="21"/>
      <c r="QV98" s="21"/>
      <c r="QW98" s="21"/>
      <c r="QX98" s="21"/>
      <c r="QY98" s="21"/>
      <c r="QZ98" s="21"/>
      <c r="RA98" s="21"/>
      <c r="RB98" s="21"/>
      <c r="RC98" s="21"/>
      <c r="RD98" s="21"/>
      <c r="RE98" s="21"/>
      <c r="RF98" s="21"/>
      <c r="RG98" s="21"/>
      <c r="RH98" s="21"/>
      <c r="RI98" s="21"/>
      <c r="RJ98" s="21"/>
      <c r="RK98" s="21"/>
      <c r="RL98" s="21"/>
      <c r="RM98" s="21"/>
      <c r="RN98" s="21"/>
      <c r="RO98" s="21"/>
      <c r="RP98" s="21"/>
      <c r="RQ98" s="21"/>
      <c r="RR98" s="21"/>
      <c r="RS98" s="21"/>
      <c r="RT98" s="21"/>
      <c r="RU98" s="21"/>
      <c r="RV98" s="21"/>
      <c r="RW98" s="21"/>
      <c r="RX98" s="21"/>
      <c r="RY98" s="21"/>
      <c r="RZ98" s="21"/>
      <c r="SA98" s="21"/>
      <c r="SB98" s="21"/>
      <c r="SC98" s="21"/>
      <c r="SD98" s="21"/>
      <c r="SE98" s="21"/>
      <c r="SF98" s="21"/>
      <c r="SG98" s="21"/>
      <c r="SH98" s="21"/>
      <c r="SI98" s="21"/>
      <c r="SJ98" s="21"/>
      <c r="SK98" s="21"/>
      <c r="SL98" s="21"/>
      <c r="SM98" s="21"/>
      <c r="SN98" s="21"/>
      <c r="SO98" s="21"/>
      <c r="SP98" s="21"/>
      <c r="SQ98" s="21"/>
      <c r="SR98" s="21"/>
      <c r="SS98" s="21"/>
      <c r="ST98" s="21"/>
      <c r="SU98" s="21"/>
      <c r="SV98" s="21"/>
      <c r="SW98" s="21"/>
      <c r="SX98" s="21"/>
      <c r="SY98" s="21"/>
      <c r="SZ98" s="21"/>
      <c r="TA98" s="21"/>
      <c r="TB98" s="21"/>
      <c r="TC98" s="21"/>
      <c r="TD98" s="21"/>
      <c r="TE98" s="21"/>
      <c r="TF98" s="21"/>
      <c r="TG98" s="21"/>
      <c r="TH98" s="21"/>
      <c r="TI98" s="21"/>
      <c r="TJ98" s="21"/>
      <c r="TK98" s="21"/>
      <c r="TL98" s="21"/>
      <c r="TM98" s="21"/>
      <c r="TN98" s="21"/>
      <c r="TO98" s="21"/>
      <c r="TP98" s="21"/>
      <c r="TQ98" s="21"/>
      <c r="TR98" s="21"/>
      <c r="TS98" s="21"/>
      <c r="TT98" s="21"/>
      <c r="TU98" s="21"/>
      <c r="TV98" s="21"/>
      <c r="TW98" s="21"/>
      <c r="TX98" s="21"/>
      <c r="TY98" s="21"/>
      <c r="TZ98" s="21"/>
      <c r="UA98" s="21"/>
      <c r="UB98" s="21"/>
      <c r="UC98" s="21"/>
      <c r="UD98" s="21"/>
      <c r="UE98" s="21"/>
      <c r="UF98" s="21"/>
      <c r="UG98" s="21"/>
      <c r="UH98" s="21"/>
      <c r="UI98" s="21"/>
      <c r="UJ98" s="21"/>
      <c r="UK98" s="21"/>
      <c r="UL98" s="21"/>
      <c r="UM98" s="21"/>
      <c r="UN98" s="21"/>
      <c r="UO98" s="21"/>
      <c r="UP98" s="21"/>
      <c r="UQ98" s="21"/>
      <c r="UR98" s="21"/>
      <c r="US98" s="21"/>
      <c r="UT98" s="21"/>
      <c r="UU98" s="21"/>
      <c r="UV98" s="21"/>
      <c r="UW98" s="21"/>
      <c r="UX98" s="21"/>
      <c r="UY98" s="21"/>
      <c r="UZ98" s="21"/>
      <c r="VA98" s="21"/>
      <c r="VB98" s="21"/>
      <c r="VC98" s="21"/>
      <c r="VD98" s="21"/>
      <c r="VE98" s="21"/>
      <c r="VF98" s="21"/>
      <c r="VG98" s="21"/>
      <c r="VH98" s="21"/>
      <c r="VI98" s="21"/>
      <c r="VJ98" s="21"/>
      <c r="VK98" s="21"/>
      <c r="VL98" s="21"/>
      <c r="VM98" s="21"/>
      <c r="VN98" s="21"/>
      <c r="VO98" s="21"/>
      <c r="VP98" s="21"/>
      <c r="VQ98" s="21"/>
      <c r="VR98" s="21"/>
      <c r="VS98" s="21"/>
      <c r="VT98" s="21"/>
      <c r="VU98" s="21"/>
      <c r="VV98" s="21"/>
      <c r="VW98" s="21"/>
      <c r="VX98" s="21"/>
      <c r="VY98" s="21"/>
      <c r="VZ98" s="21"/>
      <c r="WA98" s="21"/>
      <c r="WB98" s="21"/>
      <c r="WC98" s="21"/>
      <c r="WD98" s="21"/>
      <c r="WE98" s="21"/>
      <c r="WF98" s="21"/>
      <c r="WG98" s="21"/>
      <c r="WH98" s="21"/>
      <c r="WI98" s="21"/>
      <c r="WJ98" s="21"/>
      <c r="WK98" s="21"/>
      <c r="WL98" s="21"/>
      <c r="WM98" s="21"/>
      <c r="WN98" s="21"/>
      <c r="WO98" s="21"/>
      <c r="WP98" s="21"/>
      <c r="WQ98" s="21"/>
      <c r="WR98" s="21"/>
      <c r="WS98" s="21"/>
      <c r="WT98" s="21"/>
      <c r="WU98" s="21"/>
      <c r="WV98" s="21"/>
      <c r="WW98" s="21"/>
      <c r="WX98" s="21"/>
      <c r="WY98" s="21"/>
      <c r="WZ98" s="21"/>
      <c r="XA98" s="21"/>
      <c r="XB98" s="21"/>
      <c r="XC98" s="21"/>
      <c r="XD98" s="21"/>
      <c r="XE98" s="21"/>
      <c r="XF98" s="21"/>
      <c r="XG98" s="21"/>
      <c r="XH98" s="21"/>
      <c r="XI98" s="21"/>
      <c r="XJ98" s="21"/>
      <c r="XK98" s="21"/>
      <c r="XL98" s="21"/>
      <c r="XM98" s="21"/>
      <c r="XN98" s="21"/>
      <c r="XO98" s="21"/>
      <c r="XP98" s="21"/>
      <c r="XQ98" s="21"/>
      <c r="XR98" s="21"/>
      <c r="XS98" s="21"/>
      <c r="XT98" s="21"/>
      <c r="XU98" s="21"/>
      <c r="XV98" s="21"/>
      <c r="XW98" s="21"/>
      <c r="XX98" s="21"/>
      <c r="XY98" s="21"/>
      <c r="XZ98" s="21"/>
      <c r="YA98" s="21"/>
      <c r="YB98" s="21"/>
      <c r="YC98" s="21"/>
      <c r="YD98" s="21"/>
      <c r="YE98" s="21"/>
      <c r="YF98" s="21"/>
      <c r="YG98" s="21"/>
      <c r="YH98" s="21"/>
      <c r="YI98" s="21"/>
      <c r="YJ98" s="21"/>
      <c r="YK98" s="21"/>
      <c r="YL98" s="21"/>
      <c r="YM98" s="21"/>
      <c r="YN98" s="21"/>
      <c r="YO98" s="21"/>
      <c r="YP98" s="21"/>
      <c r="YQ98" s="21"/>
      <c r="YR98" s="21"/>
      <c r="YS98" s="21"/>
      <c r="YT98" s="21"/>
      <c r="YU98" s="21"/>
      <c r="YV98" s="21"/>
      <c r="YW98" s="21"/>
      <c r="YX98" s="21"/>
      <c r="YY98" s="21"/>
      <c r="YZ98" s="21"/>
      <c r="ZA98" s="21"/>
      <c r="ZB98" s="21"/>
      <c r="ZC98" s="21"/>
      <c r="ZD98" s="21"/>
      <c r="ZE98" s="21"/>
      <c r="ZF98" s="21"/>
      <c r="ZG98" s="21"/>
      <c r="ZH98" s="21"/>
      <c r="ZI98" s="21"/>
      <c r="ZJ98" s="21"/>
      <c r="ZK98" s="21"/>
      <c r="ZL98" s="21"/>
      <c r="ZM98" s="21"/>
      <c r="ZN98" s="21"/>
      <c r="ZO98" s="21"/>
      <c r="ZP98" s="21"/>
      <c r="ZQ98" s="21"/>
      <c r="ZR98" s="21"/>
      <c r="ZS98" s="21"/>
      <c r="ZT98" s="21"/>
      <c r="ZU98" s="21"/>
      <c r="ZV98" s="21"/>
      <c r="ZW98" s="21"/>
      <c r="ZX98" s="21"/>
      <c r="ZY98" s="21"/>
      <c r="ZZ98" s="21"/>
      <c r="AAA98" s="21"/>
      <c r="AAB98" s="21"/>
      <c r="AAC98" s="21"/>
      <c r="AAD98" s="21"/>
      <c r="AAE98" s="21"/>
      <c r="AAF98" s="21"/>
      <c r="AAG98" s="21"/>
      <c r="AAH98" s="21"/>
      <c r="AAI98" s="21"/>
      <c r="AAJ98" s="21"/>
      <c r="AAK98" s="21"/>
      <c r="AAL98" s="21"/>
      <c r="AAM98" s="21"/>
      <c r="AAN98" s="21"/>
      <c r="AAO98" s="21"/>
      <c r="AAP98" s="21"/>
      <c r="AAQ98" s="21"/>
      <c r="AAR98" s="21"/>
      <c r="AAS98" s="21"/>
      <c r="AAT98" s="21"/>
      <c r="AAU98" s="21"/>
      <c r="AAV98" s="21"/>
      <c r="AAW98" s="21"/>
      <c r="AAX98" s="21"/>
      <c r="AAY98" s="21"/>
      <c r="AAZ98" s="21"/>
      <c r="ABA98" s="21"/>
      <c r="ABB98" s="21"/>
      <c r="ABC98" s="21"/>
      <c r="ABD98" s="21"/>
      <c r="ABE98" s="21"/>
      <c r="ABF98" s="21"/>
      <c r="ABG98" s="21"/>
      <c r="ABH98" s="21"/>
      <c r="ABI98" s="21"/>
      <c r="ABJ98" s="21"/>
      <c r="ABK98" s="21"/>
      <c r="ABL98" s="21"/>
      <c r="ABM98" s="21"/>
      <c r="ABN98" s="21"/>
      <c r="ABO98" s="21"/>
      <c r="ABP98" s="21"/>
      <c r="ABQ98" s="21"/>
      <c r="ABR98" s="21"/>
      <c r="ABS98" s="21"/>
      <c r="ABT98" s="21"/>
      <c r="ABU98" s="21"/>
      <c r="ABV98" s="21"/>
      <c r="ABW98" s="21"/>
      <c r="ABX98" s="21"/>
      <c r="ABY98" s="21"/>
      <c r="ABZ98" s="21"/>
      <c r="ACA98" s="21"/>
      <c r="ACB98" s="21"/>
      <c r="ACC98" s="21"/>
      <c r="ACD98" s="21"/>
      <c r="ACE98" s="21"/>
      <c r="ACF98" s="21"/>
      <c r="ACG98" s="21"/>
      <c r="ACH98" s="21"/>
      <c r="ACI98" s="21"/>
      <c r="ACJ98" s="21"/>
      <c r="ACK98" s="21"/>
      <c r="ACL98" s="21"/>
      <c r="ACM98" s="21"/>
      <c r="ACN98" s="21"/>
      <c r="ACO98" s="21"/>
      <c r="ACP98" s="21"/>
      <c r="ACQ98" s="21"/>
      <c r="ACR98" s="21"/>
      <c r="ACS98" s="21"/>
      <c r="ACT98" s="21"/>
      <c r="ACU98" s="21"/>
      <c r="ACV98" s="21"/>
      <c r="ACW98" s="21"/>
      <c r="ACX98" s="21"/>
      <c r="ACY98" s="21"/>
      <c r="ACZ98" s="21"/>
      <c r="ADA98" s="21"/>
      <c r="ADB98" s="21"/>
      <c r="ADC98" s="21"/>
      <c r="ADD98" s="21"/>
      <c r="ADE98" s="21"/>
      <c r="ADF98" s="21"/>
      <c r="ADG98" s="21"/>
      <c r="ADH98" s="21"/>
      <c r="ADI98" s="21"/>
      <c r="ADJ98" s="21"/>
      <c r="ADK98" s="21"/>
      <c r="ADL98" s="21"/>
      <c r="ADM98" s="21"/>
      <c r="ADN98" s="21"/>
      <c r="ADO98" s="21"/>
      <c r="ADP98" s="21"/>
      <c r="ADQ98" s="21"/>
      <c r="ADR98" s="21"/>
      <c r="ADS98" s="21"/>
      <c r="ADT98" s="21"/>
      <c r="ADU98" s="21"/>
      <c r="ADV98" s="21"/>
      <c r="ADW98" s="21"/>
      <c r="ADX98" s="21"/>
      <c r="ADY98" s="21"/>
      <c r="ADZ98" s="21"/>
      <c r="AEA98" s="21"/>
      <c r="AEB98" s="21"/>
      <c r="AEC98" s="21"/>
      <c r="AED98" s="21"/>
      <c r="AEE98" s="21"/>
      <c r="AEF98" s="21"/>
      <c r="AEG98" s="21"/>
      <c r="AEH98" s="21"/>
      <c r="AEI98" s="21"/>
      <c r="AEJ98" s="21"/>
      <c r="AEK98" s="21"/>
      <c r="AEL98" s="21"/>
      <c r="AEM98" s="21"/>
      <c r="AEN98" s="21"/>
      <c r="AEO98" s="21"/>
      <c r="AEP98" s="21"/>
      <c r="AEQ98" s="21"/>
      <c r="AER98" s="21"/>
      <c r="AES98" s="21"/>
      <c r="AET98" s="21"/>
      <c r="AEU98" s="21"/>
      <c r="AEV98" s="21"/>
      <c r="AEW98" s="21"/>
      <c r="AEX98" s="21"/>
      <c r="AEY98" s="21"/>
      <c r="AEZ98" s="21"/>
      <c r="AFA98" s="21"/>
      <c r="AFB98" s="21"/>
      <c r="AFC98" s="21"/>
      <c r="AFD98" s="21"/>
      <c r="AFE98" s="21"/>
      <c r="AFF98" s="21"/>
      <c r="AFG98" s="21"/>
      <c r="AFH98" s="21"/>
      <c r="AFI98" s="21"/>
      <c r="AFJ98" s="21"/>
      <c r="AFK98" s="21"/>
      <c r="AFL98" s="21"/>
      <c r="AFM98" s="21"/>
      <c r="AFN98" s="21"/>
      <c r="AFO98" s="21"/>
      <c r="AFP98" s="21"/>
      <c r="AFQ98" s="21"/>
      <c r="AFR98" s="21"/>
      <c r="AFS98" s="21"/>
      <c r="AFT98" s="21"/>
      <c r="AFU98" s="21"/>
      <c r="AFV98" s="21"/>
      <c r="AFW98" s="21"/>
      <c r="AFX98" s="21"/>
      <c r="AFY98" s="21"/>
      <c r="AFZ98" s="21"/>
      <c r="AGA98" s="21"/>
      <c r="AGB98" s="21"/>
      <c r="AGC98" s="21"/>
      <c r="AGD98" s="21"/>
      <c r="AGE98" s="21"/>
      <c r="AGF98" s="21"/>
      <c r="AGG98" s="21"/>
      <c r="AGH98" s="21"/>
      <c r="AGI98" s="21"/>
      <c r="AGJ98" s="21"/>
      <c r="AGK98" s="21"/>
      <c r="AGL98" s="21"/>
      <c r="AGM98" s="21"/>
      <c r="AGN98" s="21"/>
      <c r="AGO98" s="21"/>
      <c r="AGP98" s="21"/>
      <c r="AGQ98" s="21"/>
      <c r="AGR98" s="21"/>
      <c r="AGS98" s="21"/>
    </row>
    <row r="99" spans="1:877" ht="13">
      <c r="A99" s="12"/>
      <c r="B99" s="62" t="str">
        <f t="shared" si="35"/>
        <v>Facility 2 Assets Expansion 1</v>
      </c>
      <c r="C99" s="12"/>
      <c r="D99" s="12"/>
      <c r="E99" s="12"/>
      <c r="F99" s="27"/>
      <c r="G99" s="27">
        <f t="shared" ref="G99:CL99" si="40">MIN(F99+ IF(G$4&gt;=$D82,$C82/($E82*12),0),$C82)</f>
        <v>0</v>
      </c>
      <c r="H99" s="27">
        <f t="shared" si="40"/>
        <v>0</v>
      </c>
      <c r="I99" s="27">
        <f t="shared" si="40"/>
        <v>0</v>
      </c>
      <c r="J99" s="27">
        <f t="shared" si="40"/>
        <v>0</v>
      </c>
      <c r="K99" s="27">
        <f t="shared" si="40"/>
        <v>0</v>
      </c>
      <c r="L99" s="27">
        <f t="shared" si="40"/>
        <v>0</v>
      </c>
      <c r="M99" s="27">
        <f t="shared" si="40"/>
        <v>0</v>
      </c>
      <c r="N99" s="27">
        <f t="shared" si="40"/>
        <v>0</v>
      </c>
      <c r="O99" s="27">
        <f t="shared" si="40"/>
        <v>0</v>
      </c>
      <c r="P99" s="27">
        <f t="shared" si="40"/>
        <v>0</v>
      </c>
      <c r="Q99" s="27">
        <f t="shared" si="40"/>
        <v>0</v>
      </c>
      <c r="R99" s="27">
        <f t="shared" si="40"/>
        <v>0</v>
      </c>
      <c r="S99" s="27">
        <f t="shared" si="40"/>
        <v>0</v>
      </c>
      <c r="T99" s="27">
        <f t="shared" si="40"/>
        <v>0</v>
      </c>
      <c r="U99" s="27">
        <f t="shared" si="40"/>
        <v>0</v>
      </c>
      <c r="V99" s="27">
        <f t="shared" si="40"/>
        <v>0</v>
      </c>
      <c r="W99" s="27">
        <f t="shared" si="40"/>
        <v>0</v>
      </c>
      <c r="X99" s="27">
        <f t="shared" si="40"/>
        <v>0</v>
      </c>
      <c r="Y99" s="27">
        <f t="shared" si="40"/>
        <v>0</v>
      </c>
      <c r="Z99" s="27">
        <f t="shared" si="40"/>
        <v>0</v>
      </c>
      <c r="AA99" s="27">
        <f t="shared" si="40"/>
        <v>0</v>
      </c>
      <c r="AB99" s="27">
        <f t="shared" si="40"/>
        <v>0</v>
      </c>
      <c r="AC99" s="27">
        <f t="shared" si="40"/>
        <v>0</v>
      </c>
      <c r="AD99" s="27">
        <f t="shared" si="40"/>
        <v>0</v>
      </c>
      <c r="AE99" s="27">
        <f t="shared" si="40"/>
        <v>13888.888888888889</v>
      </c>
      <c r="AF99" s="27">
        <f t="shared" si="40"/>
        <v>27777.777777777777</v>
      </c>
      <c r="AG99" s="27">
        <f t="shared" si="40"/>
        <v>41666.666666666664</v>
      </c>
      <c r="AH99" s="27">
        <f t="shared" si="40"/>
        <v>55555.555555555555</v>
      </c>
      <c r="AI99" s="27">
        <f t="shared" si="40"/>
        <v>69444.444444444438</v>
      </c>
      <c r="AJ99" s="27">
        <f t="shared" si="40"/>
        <v>83333.333333333328</v>
      </c>
      <c r="AK99" s="27">
        <f t="shared" si="40"/>
        <v>97222.222222222219</v>
      </c>
      <c r="AL99" s="27">
        <f t="shared" si="40"/>
        <v>111111.11111111111</v>
      </c>
      <c r="AM99" s="27">
        <f t="shared" si="40"/>
        <v>125000</v>
      </c>
      <c r="AN99" s="27">
        <f t="shared" si="40"/>
        <v>138888.88888888888</v>
      </c>
      <c r="AO99" s="27">
        <f t="shared" si="40"/>
        <v>152777.77777777775</v>
      </c>
      <c r="AP99" s="27">
        <f t="shared" si="40"/>
        <v>166666.66666666663</v>
      </c>
      <c r="AQ99" s="27">
        <f t="shared" si="40"/>
        <v>180555.5555555555</v>
      </c>
      <c r="AR99" s="27">
        <f t="shared" si="40"/>
        <v>194444.44444444438</v>
      </c>
      <c r="AS99" s="27">
        <f t="shared" si="40"/>
        <v>208333.33333333326</v>
      </c>
      <c r="AT99" s="27">
        <f t="shared" si="40"/>
        <v>222222.22222222213</v>
      </c>
      <c r="AU99" s="27">
        <f t="shared" si="40"/>
        <v>236111.11111111101</v>
      </c>
      <c r="AV99" s="27">
        <f t="shared" si="40"/>
        <v>249999.99999999988</v>
      </c>
      <c r="AW99" s="27">
        <f t="shared" si="40"/>
        <v>263888.88888888876</v>
      </c>
      <c r="AX99" s="27">
        <f t="shared" si="40"/>
        <v>277777.77777777764</v>
      </c>
      <c r="AY99" s="27">
        <f t="shared" si="40"/>
        <v>291666.66666666651</v>
      </c>
      <c r="AZ99" s="27">
        <f t="shared" si="40"/>
        <v>305555.55555555539</v>
      </c>
      <c r="BA99" s="27">
        <f t="shared" si="40"/>
        <v>319444.44444444426</v>
      </c>
      <c r="BB99" s="27">
        <f t="shared" si="40"/>
        <v>333333.33333333314</v>
      </c>
      <c r="BC99" s="27">
        <f t="shared" si="40"/>
        <v>347222.22222222202</v>
      </c>
      <c r="BD99" s="27">
        <f t="shared" si="40"/>
        <v>361111.11111111089</v>
      </c>
      <c r="BE99" s="27">
        <f t="shared" si="40"/>
        <v>374999.99999999977</v>
      </c>
      <c r="BF99" s="27">
        <f t="shared" si="40"/>
        <v>388888.88888888864</v>
      </c>
      <c r="BG99" s="27">
        <f t="shared" si="40"/>
        <v>402777.77777777752</v>
      </c>
      <c r="BH99" s="27">
        <f t="shared" si="40"/>
        <v>416666.6666666664</v>
      </c>
      <c r="BI99" s="27">
        <f t="shared" si="40"/>
        <v>430555.55555555527</v>
      </c>
      <c r="BJ99" s="27">
        <f t="shared" si="40"/>
        <v>444444.44444444415</v>
      </c>
      <c r="BK99" s="27">
        <f t="shared" si="40"/>
        <v>458333.33333333302</v>
      </c>
      <c r="BL99" s="27">
        <f t="shared" si="40"/>
        <v>472222.2222222219</v>
      </c>
      <c r="BM99" s="27">
        <f t="shared" si="40"/>
        <v>486111.11111111077</v>
      </c>
      <c r="BN99" s="27">
        <f t="shared" si="40"/>
        <v>499999.99999999965</v>
      </c>
      <c r="BO99" s="27">
        <f t="shared" si="40"/>
        <v>513888.88888888853</v>
      </c>
      <c r="BP99" s="27">
        <f t="shared" si="40"/>
        <v>527777.7777777774</v>
      </c>
      <c r="BQ99" s="27">
        <f t="shared" si="40"/>
        <v>541666.66666666628</v>
      </c>
      <c r="BR99" s="27">
        <f t="shared" si="40"/>
        <v>555555.55555555515</v>
      </c>
      <c r="BS99" s="27">
        <f t="shared" si="40"/>
        <v>569444.44444444403</v>
      </c>
      <c r="BT99" s="27">
        <f t="shared" si="40"/>
        <v>583333.33333333291</v>
      </c>
      <c r="BU99" s="27">
        <f t="shared" si="40"/>
        <v>597222.22222222178</v>
      </c>
      <c r="BV99" s="27">
        <f t="shared" si="40"/>
        <v>611111.11111111066</v>
      </c>
      <c r="BW99" s="27">
        <f t="shared" si="40"/>
        <v>624999.99999999953</v>
      </c>
      <c r="BX99" s="27">
        <f t="shared" si="40"/>
        <v>638888.88888888841</v>
      </c>
      <c r="BY99" s="27">
        <f t="shared" si="40"/>
        <v>652777.77777777729</v>
      </c>
      <c r="BZ99" s="27">
        <f t="shared" si="40"/>
        <v>666666.66666666616</v>
      </c>
      <c r="CA99" s="27">
        <f t="shared" si="40"/>
        <v>680555.55555555504</v>
      </c>
      <c r="CB99" s="27">
        <f t="shared" si="40"/>
        <v>694444.44444444391</v>
      </c>
      <c r="CC99" s="27">
        <f t="shared" si="40"/>
        <v>708333.33333333279</v>
      </c>
      <c r="CD99" s="27">
        <f t="shared" si="40"/>
        <v>722222.22222222167</v>
      </c>
      <c r="CE99" s="27">
        <f t="shared" si="40"/>
        <v>736111.11111111054</v>
      </c>
      <c r="CF99" s="27">
        <f t="shared" si="40"/>
        <v>749999.99999999942</v>
      </c>
      <c r="CG99" s="27">
        <f t="shared" si="40"/>
        <v>763888.88888888829</v>
      </c>
      <c r="CH99" s="27">
        <f t="shared" si="40"/>
        <v>777777.77777777717</v>
      </c>
      <c r="CI99" s="27">
        <f t="shared" si="40"/>
        <v>791666.66666666605</v>
      </c>
      <c r="CJ99" s="27">
        <f t="shared" si="40"/>
        <v>805555.55555555492</v>
      </c>
      <c r="CK99" s="27">
        <f t="shared" si="40"/>
        <v>819444.4444444438</v>
      </c>
      <c r="CL99" s="27">
        <f t="shared" si="40"/>
        <v>833333.33333333267</v>
      </c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1"/>
      <c r="JV99" s="21"/>
      <c r="JW99" s="21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  <c r="KJ99" s="21"/>
      <c r="KK99" s="21"/>
      <c r="KL99" s="21"/>
      <c r="KM99" s="21"/>
      <c r="KN99" s="21"/>
      <c r="KO99" s="21"/>
      <c r="KP99" s="21"/>
      <c r="KQ99" s="21"/>
      <c r="KR99" s="21"/>
      <c r="KS99" s="21"/>
      <c r="KT99" s="21"/>
      <c r="KU99" s="21"/>
      <c r="KV99" s="21"/>
      <c r="KW99" s="21"/>
      <c r="KX99" s="21"/>
      <c r="KY99" s="21"/>
      <c r="KZ99" s="21"/>
      <c r="LA99" s="21"/>
      <c r="LB99" s="21"/>
      <c r="LC99" s="21"/>
      <c r="LD99" s="21"/>
      <c r="LE99" s="21"/>
      <c r="LF99" s="21"/>
      <c r="LG99" s="21"/>
      <c r="LH99" s="21"/>
      <c r="LI99" s="21"/>
      <c r="LJ99" s="21"/>
      <c r="LK99" s="21"/>
      <c r="LL99" s="21"/>
      <c r="LM99" s="21"/>
      <c r="LN99" s="21"/>
      <c r="LO99" s="21"/>
      <c r="LP99" s="21"/>
      <c r="LQ99" s="21"/>
      <c r="LR99" s="21"/>
      <c r="LS99" s="21"/>
      <c r="LT99" s="21"/>
      <c r="LU99" s="21"/>
      <c r="LV99" s="21"/>
      <c r="LW99" s="21"/>
      <c r="LX99" s="21"/>
      <c r="LY99" s="21"/>
      <c r="LZ99" s="21"/>
      <c r="MA99" s="21"/>
      <c r="MB99" s="21"/>
      <c r="MC99" s="21"/>
      <c r="MD99" s="21"/>
      <c r="ME99" s="21"/>
      <c r="MF99" s="21"/>
      <c r="MG99" s="21"/>
      <c r="MH99" s="21"/>
      <c r="MI99" s="21"/>
      <c r="MJ99" s="21"/>
      <c r="MK99" s="21"/>
      <c r="ML99" s="21"/>
      <c r="MM99" s="21"/>
      <c r="MN99" s="21"/>
      <c r="MO99" s="21"/>
      <c r="MP99" s="21"/>
      <c r="MQ99" s="21"/>
      <c r="MR99" s="21"/>
      <c r="MS99" s="21"/>
      <c r="MT99" s="21"/>
      <c r="MU99" s="21"/>
      <c r="MV99" s="21"/>
      <c r="MW99" s="21"/>
      <c r="MX99" s="21"/>
      <c r="MY99" s="21"/>
      <c r="MZ99" s="21"/>
      <c r="NA99" s="21"/>
      <c r="NB99" s="21"/>
      <c r="NC99" s="21"/>
      <c r="ND99" s="21"/>
      <c r="NE99" s="21"/>
      <c r="NF99" s="21"/>
      <c r="NG99" s="21"/>
      <c r="NH99" s="21"/>
      <c r="NI99" s="21"/>
      <c r="NJ99" s="21"/>
      <c r="NK99" s="21"/>
      <c r="NL99" s="21"/>
      <c r="NM99" s="21"/>
      <c r="NN99" s="21"/>
      <c r="NO99" s="21"/>
      <c r="NP99" s="21"/>
      <c r="NQ99" s="21"/>
      <c r="NR99" s="21"/>
      <c r="NS99" s="21"/>
      <c r="NT99" s="21"/>
      <c r="NU99" s="21"/>
      <c r="NV99" s="21"/>
      <c r="NW99" s="21"/>
      <c r="NX99" s="21"/>
      <c r="NY99" s="21"/>
      <c r="NZ99" s="21"/>
      <c r="OA99" s="21"/>
      <c r="OB99" s="21"/>
      <c r="OC99" s="21"/>
      <c r="OD99" s="21"/>
      <c r="OE99" s="21"/>
      <c r="OF99" s="21"/>
      <c r="OG99" s="21"/>
      <c r="OH99" s="21"/>
      <c r="OI99" s="21"/>
      <c r="OJ99" s="21"/>
      <c r="OK99" s="21"/>
      <c r="OL99" s="21"/>
      <c r="OM99" s="21"/>
      <c r="ON99" s="21"/>
      <c r="OO99" s="21"/>
      <c r="OP99" s="21"/>
      <c r="OQ99" s="21"/>
      <c r="OR99" s="21"/>
      <c r="OS99" s="21"/>
      <c r="OT99" s="21"/>
      <c r="OU99" s="21"/>
      <c r="OV99" s="21"/>
      <c r="OW99" s="21"/>
      <c r="OX99" s="21"/>
      <c r="OY99" s="21"/>
      <c r="OZ99" s="21"/>
      <c r="PA99" s="21"/>
      <c r="PB99" s="21"/>
      <c r="PC99" s="21"/>
      <c r="PD99" s="21"/>
      <c r="PE99" s="21"/>
      <c r="PF99" s="21"/>
      <c r="PG99" s="21"/>
      <c r="PH99" s="21"/>
      <c r="PI99" s="21"/>
      <c r="PJ99" s="21"/>
      <c r="PK99" s="21"/>
      <c r="PL99" s="21"/>
      <c r="PM99" s="21"/>
      <c r="PN99" s="21"/>
      <c r="PO99" s="21"/>
      <c r="PP99" s="21"/>
      <c r="PQ99" s="21"/>
      <c r="PR99" s="21"/>
      <c r="PS99" s="21"/>
      <c r="PT99" s="21"/>
      <c r="PU99" s="21"/>
      <c r="PV99" s="21"/>
      <c r="PW99" s="21"/>
      <c r="PX99" s="21"/>
      <c r="PY99" s="21"/>
      <c r="PZ99" s="21"/>
      <c r="QA99" s="21"/>
      <c r="QB99" s="21"/>
      <c r="QC99" s="21"/>
      <c r="QD99" s="21"/>
      <c r="QE99" s="21"/>
      <c r="QF99" s="21"/>
      <c r="QG99" s="21"/>
      <c r="QH99" s="21"/>
      <c r="QI99" s="21"/>
      <c r="QJ99" s="21"/>
      <c r="QK99" s="21"/>
      <c r="QL99" s="21"/>
      <c r="QM99" s="21"/>
      <c r="QN99" s="21"/>
      <c r="QO99" s="21"/>
      <c r="QP99" s="21"/>
      <c r="QQ99" s="21"/>
      <c r="QR99" s="21"/>
      <c r="QS99" s="21"/>
      <c r="QT99" s="21"/>
      <c r="QU99" s="21"/>
      <c r="QV99" s="21"/>
      <c r="QW99" s="21"/>
      <c r="QX99" s="21"/>
      <c r="QY99" s="21"/>
      <c r="QZ99" s="21"/>
      <c r="RA99" s="21"/>
      <c r="RB99" s="21"/>
      <c r="RC99" s="21"/>
      <c r="RD99" s="21"/>
      <c r="RE99" s="21"/>
      <c r="RF99" s="21"/>
      <c r="RG99" s="21"/>
      <c r="RH99" s="21"/>
      <c r="RI99" s="21"/>
      <c r="RJ99" s="21"/>
      <c r="RK99" s="21"/>
      <c r="RL99" s="21"/>
      <c r="RM99" s="21"/>
      <c r="RN99" s="21"/>
      <c r="RO99" s="21"/>
      <c r="RP99" s="21"/>
      <c r="RQ99" s="21"/>
      <c r="RR99" s="21"/>
      <c r="RS99" s="21"/>
      <c r="RT99" s="21"/>
      <c r="RU99" s="21"/>
      <c r="RV99" s="21"/>
      <c r="RW99" s="21"/>
      <c r="RX99" s="21"/>
      <c r="RY99" s="21"/>
      <c r="RZ99" s="21"/>
      <c r="SA99" s="21"/>
      <c r="SB99" s="21"/>
      <c r="SC99" s="21"/>
      <c r="SD99" s="21"/>
      <c r="SE99" s="21"/>
      <c r="SF99" s="21"/>
      <c r="SG99" s="21"/>
      <c r="SH99" s="21"/>
      <c r="SI99" s="21"/>
      <c r="SJ99" s="21"/>
      <c r="SK99" s="21"/>
      <c r="SL99" s="21"/>
      <c r="SM99" s="21"/>
      <c r="SN99" s="21"/>
      <c r="SO99" s="21"/>
      <c r="SP99" s="21"/>
      <c r="SQ99" s="21"/>
      <c r="SR99" s="21"/>
      <c r="SS99" s="21"/>
      <c r="ST99" s="21"/>
      <c r="SU99" s="21"/>
      <c r="SV99" s="21"/>
      <c r="SW99" s="21"/>
      <c r="SX99" s="21"/>
      <c r="SY99" s="21"/>
      <c r="SZ99" s="21"/>
      <c r="TA99" s="21"/>
      <c r="TB99" s="21"/>
      <c r="TC99" s="21"/>
      <c r="TD99" s="21"/>
      <c r="TE99" s="21"/>
      <c r="TF99" s="21"/>
      <c r="TG99" s="21"/>
      <c r="TH99" s="21"/>
      <c r="TI99" s="21"/>
      <c r="TJ99" s="21"/>
      <c r="TK99" s="21"/>
      <c r="TL99" s="21"/>
      <c r="TM99" s="21"/>
      <c r="TN99" s="21"/>
      <c r="TO99" s="21"/>
      <c r="TP99" s="21"/>
      <c r="TQ99" s="21"/>
      <c r="TR99" s="21"/>
      <c r="TS99" s="21"/>
      <c r="TT99" s="21"/>
      <c r="TU99" s="21"/>
      <c r="TV99" s="21"/>
      <c r="TW99" s="21"/>
      <c r="TX99" s="21"/>
      <c r="TY99" s="21"/>
      <c r="TZ99" s="21"/>
      <c r="UA99" s="21"/>
      <c r="UB99" s="21"/>
      <c r="UC99" s="21"/>
      <c r="UD99" s="21"/>
      <c r="UE99" s="21"/>
      <c r="UF99" s="21"/>
      <c r="UG99" s="21"/>
      <c r="UH99" s="21"/>
      <c r="UI99" s="21"/>
      <c r="UJ99" s="21"/>
      <c r="UK99" s="21"/>
      <c r="UL99" s="21"/>
      <c r="UM99" s="21"/>
      <c r="UN99" s="21"/>
      <c r="UO99" s="21"/>
      <c r="UP99" s="21"/>
      <c r="UQ99" s="21"/>
      <c r="UR99" s="21"/>
      <c r="US99" s="21"/>
      <c r="UT99" s="21"/>
      <c r="UU99" s="21"/>
      <c r="UV99" s="21"/>
      <c r="UW99" s="21"/>
      <c r="UX99" s="21"/>
      <c r="UY99" s="21"/>
      <c r="UZ99" s="21"/>
      <c r="VA99" s="21"/>
      <c r="VB99" s="21"/>
      <c r="VC99" s="21"/>
      <c r="VD99" s="21"/>
      <c r="VE99" s="21"/>
      <c r="VF99" s="21"/>
      <c r="VG99" s="21"/>
      <c r="VH99" s="21"/>
      <c r="VI99" s="21"/>
      <c r="VJ99" s="21"/>
      <c r="VK99" s="21"/>
      <c r="VL99" s="21"/>
      <c r="VM99" s="21"/>
      <c r="VN99" s="21"/>
      <c r="VO99" s="21"/>
      <c r="VP99" s="21"/>
      <c r="VQ99" s="21"/>
      <c r="VR99" s="21"/>
      <c r="VS99" s="21"/>
      <c r="VT99" s="21"/>
      <c r="VU99" s="21"/>
      <c r="VV99" s="21"/>
      <c r="VW99" s="21"/>
      <c r="VX99" s="21"/>
      <c r="VY99" s="21"/>
      <c r="VZ99" s="21"/>
      <c r="WA99" s="21"/>
      <c r="WB99" s="21"/>
      <c r="WC99" s="21"/>
      <c r="WD99" s="21"/>
      <c r="WE99" s="21"/>
      <c r="WF99" s="21"/>
      <c r="WG99" s="21"/>
      <c r="WH99" s="21"/>
      <c r="WI99" s="21"/>
      <c r="WJ99" s="21"/>
      <c r="WK99" s="21"/>
      <c r="WL99" s="21"/>
      <c r="WM99" s="21"/>
      <c r="WN99" s="21"/>
      <c r="WO99" s="21"/>
      <c r="WP99" s="21"/>
      <c r="WQ99" s="21"/>
      <c r="WR99" s="21"/>
      <c r="WS99" s="21"/>
      <c r="WT99" s="21"/>
      <c r="WU99" s="21"/>
      <c r="WV99" s="21"/>
      <c r="WW99" s="21"/>
      <c r="WX99" s="21"/>
      <c r="WY99" s="21"/>
      <c r="WZ99" s="21"/>
      <c r="XA99" s="21"/>
      <c r="XB99" s="21"/>
      <c r="XC99" s="21"/>
      <c r="XD99" s="21"/>
      <c r="XE99" s="21"/>
      <c r="XF99" s="21"/>
      <c r="XG99" s="21"/>
      <c r="XH99" s="21"/>
      <c r="XI99" s="21"/>
      <c r="XJ99" s="21"/>
      <c r="XK99" s="21"/>
      <c r="XL99" s="21"/>
      <c r="XM99" s="21"/>
      <c r="XN99" s="21"/>
      <c r="XO99" s="21"/>
      <c r="XP99" s="21"/>
      <c r="XQ99" s="21"/>
      <c r="XR99" s="21"/>
      <c r="XS99" s="21"/>
      <c r="XT99" s="21"/>
      <c r="XU99" s="21"/>
      <c r="XV99" s="21"/>
      <c r="XW99" s="21"/>
      <c r="XX99" s="21"/>
      <c r="XY99" s="21"/>
      <c r="XZ99" s="21"/>
      <c r="YA99" s="21"/>
      <c r="YB99" s="21"/>
      <c r="YC99" s="21"/>
      <c r="YD99" s="21"/>
      <c r="YE99" s="21"/>
      <c r="YF99" s="21"/>
      <c r="YG99" s="21"/>
      <c r="YH99" s="21"/>
      <c r="YI99" s="21"/>
      <c r="YJ99" s="21"/>
      <c r="YK99" s="21"/>
      <c r="YL99" s="21"/>
      <c r="YM99" s="21"/>
      <c r="YN99" s="21"/>
      <c r="YO99" s="21"/>
      <c r="YP99" s="21"/>
      <c r="YQ99" s="21"/>
      <c r="YR99" s="21"/>
      <c r="YS99" s="21"/>
      <c r="YT99" s="21"/>
      <c r="YU99" s="21"/>
      <c r="YV99" s="21"/>
      <c r="YW99" s="21"/>
      <c r="YX99" s="21"/>
      <c r="YY99" s="21"/>
      <c r="YZ99" s="21"/>
      <c r="ZA99" s="21"/>
      <c r="ZB99" s="21"/>
      <c r="ZC99" s="21"/>
      <c r="ZD99" s="21"/>
      <c r="ZE99" s="21"/>
      <c r="ZF99" s="21"/>
      <c r="ZG99" s="21"/>
      <c r="ZH99" s="21"/>
      <c r="ZI99" s="21"/>
      <c r="ZJ99" s="21"/>
      <c r="ZK99" s="21"/>
      <c r="ZL99" s="21"/>
      <c r="ZM99" s="21"/>
      <c r="ZN99" s="21"/>
      <c r="ZO99" s="21"/>
      <c r="ZP99" s="21"/>
      <c r="ZQ99" s="21"/>
      <c r="ZR99" s="21"/>
      <c r="ZS99" s="21"/>
      <c r="ZT99" s="21"/>
      <c r="ZU99" s="21"/>
      <c r="ZV99" s="21"/>
      <c r="ZW99" s="21"/>
      <c r="ZX99" s="21"/>
      <c r="ZY99" s="21"/>
      <c r="ZZ99" s="21"/>
      <c r="AAA99" s="21"/>
      <c r="AAB99" s="21"/>
      <c r="AAC99" s="21"/>
      <c r="AAD99" s="21"/>
      <c r="AAE99" s="21"/>
      <c r="AAF99" s="21"/>
      <c r="AAG99" s="21"/>
      <c r="AAH99" s="21"/>
      <c r="AAI99" s="21"/>
      <c r="AAJ99" s="21"/>
      <c r="AAK99" s="21"/>
      <c r="AAL99" s="21"/>
      <c r="AAM99" s="21"/>
      <c r="AAN99" s="21"/>
      <c r="AAO99" s="21"/>
      <c r="AAP99" s="21"/>
      <c r="AAQ99" s="21"/>
      <c r="AAR99" s="21"/>
      <c r="AAS99" s="21"/>
      <c r="AAT99" s="21"/>
      <c r="AAU99" s="21"/>
      <c r="AAV99" s="21"/>
      <c r="AAW99" s="21"/>
      <c r="AAX99" s="21"/>
      <c r="AAY99" s="21"/>
      <c r="AAZ99" s="21"/>
      <c r="ABA99" s="21"/>
      <c r="ABB99" s="21"/>
      <c r="ABC99" s="21"/>
      <c r="ABD99" s="21"/>
      <c r="ABE99" s="21"/>
      <c r="ABF99" s="21"/>
      <c r="ABG99" s="21"/>
      <c r="ABH99" s="21"/>
      <c r="ABI99" s="21"/>
      <c r="ABJ99" s="21"/>
      <c r="ABK99" s="21"/>
      <c r="ABL99" s="21"/>
      <c r="ABM99" s="21"/>
      <c r="ABN99" s="21"/>
      <c r="ABO99" s="21"/>
      <c r="ABP99" s="21"/>
      <c r="ABQ99" s="21"/>
      <c r="ABR99" s="21"/>
      <c r="ABS99" s="21"/>
      <c r="ABT99" s="21"/>
      <c r="ABU99" s="21"/>
      <c r="ABV99" s="21"/>
      <c r="ABW99" s="21"/>
      <c r="ABX99" s="21"/>
      <c r="ABY99" s="21"/>
      <c r="ABZ99" s="21"/>
      <c r="ACA99" s="21"/>
      <c r="ACB99" s="21"/>
      <c r="ACC99" s="21"/>
      <c r="ACD99" s="21"/>
      <c r="ACE99" s="21"/>
      <c r="ACF99" s="21"/>
      <c r="ACG99" s="21"/>
      <c r="ACH99" s="21"/>
      <c r="ACI99" s="21"/>
      <c r="ACJ99" s="21"/>
      <c r="ACK99" s="21"/>
      <c r="ACL99" s="21"/>
      <c r="ACM99" s="21"/>
      <c r="ACN99" s="21"/>
      <c r="ACO99" s="21"/>
      <c r="ACP99" s="21"/>
      <c r="ACQ99" s="21"/>
      <c r="ACR99" s="21"/>
      <c r="ACS99" s="21"/>
      <c r="ACT99" s="21"/>
      <c r="ACU99" s="21"/>
      <c r="ACV99" s="21"/>
      <c r="ACW99" s="21"/>
      <c r="ACX99" s="21"/>
      <c r="ACY99" s="21"/>
      <c r="ACZ99" s="21"/>
      <c r="ADA99" s="21"/>
      <c r="ADB99" s="21"/>
      <c r="ADC99" s="21"/>
      <c r="ADD99" s="21"/>
      <c r="ADE99" s="21"/>
      <c r="ADF99" s="21"/>
      <c r="ADG99" s="21"/>
      <c r="ADH99" s="21"/>
      <c r="ADI99" s="21"/>
      <c r="ADJ99" s="21"/>
      <c r="ADK99" s="21"/>
      <c r="ADL99" s="21"/>
      <c r="ADM99" s="21"/>
      <c r="ADN99" s="21"/>
      <c r="ADO99" s="21"/>
      <c r="ADP99" s="21"/>
      <c r="ADQ99" s="21"/>
      <c r="ADR99" s="21"/>
      <c r="ADS99" s="21"/>
      <c r="ADT99" s="21"/>
      <c r="ADU99" s="21"/>
      <c r="ADV99" s="21"/>
      <c r="ADW99" s="21"/>
      <c r="ADX99" s="21"/>
      <c r="ADY99" s="21"/>
      <c r="ADZ99" s="21"/>
      <c r="AEA99" s="21"/>
      <c r="AEB99" s="21"/>
      <c r="AEC99" s="21"/>
      <c r="AED99" s="21"/>
      <c r="AEE99" s="21"/>
      <c r="AEF99" s="21"/>
      <c r="AEG99" s="21"/>
      <c r="AEH99" s="21"/>
      <c r="AEI99" s="21"/>
      <c r="AEJ99" s="21"/>
      <c r="AEK99" s="21"/>
      <c r="AEL99" s="21"/>
      <c r="AEM99" s="21"/>
      <c r="AEN99" s="21"/>
      <c r="AEO99" s="21"/>
      <c r="AEP99" s="21"/>
      <c r="AEQ99" s="21"/>
      <c r="AER99" s="21"/>
      <c r="AES99" s="21"/>
      <c r="AET99" s="21"/>
      <c r="AEU99" s="21"/>
      <c r="AEV99" s="21"/>
      <c r="AEW99" s="21"/>
      <c r="AEX99" s="21"/>
      <c r="AEY99" s="21"/>
      <c r="AEZ99" s="21"/>
      <c r="AFA99" s="21"/>
      <c r="AFB99" s="21"/>
      <c r="AFC99" s="21"/>
      <c r="AFD99" s="21"/>
      <c r="AFE99" s="21"/>
      <c r="AFF99" s="21"/>
      <c r="AFG99" s="21"/>
      <c r="AFH99" s="21"/>
      <c r="AFI99" s="21"/>
      <c r="AFJ99" s="21"/>
      <c r="AFK99" s="21"/>
      <c r="AFL99" s="21"/>
      <c r="AFM99" s="21"/>
      <c r="AFN99" s="21"/>
      <c r="AFO99" s="21"/>
      <c r="AFP99" s="21"/>
      <c r="AFQ99" s="21"/>
      <c r="AFR99" s="21"/>
      <c r="AFS99" s="21"/>
      <c r="AFT99" s="21"/>
      <c r="AFU99" s="21"/>
      <c r="AFV99" s="21"/>
      <c r="AFW99" s="21"/>
      <c r="AFX99" s="21"/>
      <c r="AFY99" s="21"/>
      <c r="AFZ99" s="21"/>
      <c r="AGA99" s="21"/>
      <c r="AGB99" s="21"/>
      <c r="AGC99" s="21"/>
      <c r="AGD99" s="21"/>
      <c r="AGE99" s="21"/>
      <c r="AGF99" s="21"/>
      <c r="AGG99" s="21"/>
      <c r="AGH99" s="21"/>
      <c r="AGI99" s="21"/>
      <c r="AGJ99" s="21"/>
      <c r="AGK99" s="21"/>
      <c r="AGL99" s="21"/>
      <c r="AGM99" s="21"/>
      <c r="AGN99" s="21"/>
      <c r="AGO99" s="21"/>
      <c r="AGP99" s="21"/>
      <c r="AGQ99" s="21"/>
      <c r="AGR99" s="21"/>
      <c r="AGS99" s="21"/>
    </row>
    <row r="100" spans="1:877" ht="13">
      <c r="A100" s="12"/>
      <c r="B100" s="62" t="str">
        <f t="shared" si="35"/>
        <v>Facility 3 Assets</v>
      </c>
      <c r="C100" s="12"/>
      <c r="D100" s="12"/>
      <c r="E100" s="12"/>
      <c r="F100" s="27"/>
      <c r="G100" s="27">
        <f t="shared" ref="G100:CL100" si="41">MIN(F100+ IF(G$4&gt;=$D83,$C83/($E83*12),0),$C83)</f>
        <v>0</v>
      </c>
      <c r="H100" s="27">
        <f t="shared" si="41"/>
        <v>0</v>
      </c>
      <c r="I100" s="27">
        <f t="shared" si="41"/>
        <v>0</v>
      </c>
      <c r="J100" s="27">
        <f t="shared" si="41"/>
        <v>0</v>
      </c>
      <c r="K100" s="27">
        <f t="shared" si="41"/>
        <v>0</v>
      </c>
      <c r="L100" s="27">
        <f t="shared" si="41"/>
        <v>0</v>
      </c>
      <c r="M100" s="27">
        <f t="shared" si="41"/>
        <v>0</v>
      </c>
      <c r="N100" s="27">
        <f t="shared" si="41"/>
        <v>0</v>
      </c>
      <c r="O100" s="27">
        <f t="shared" si="41"/>
        <v>0</v>
      </c>
      <c r="P100" s="27">
        <f t="shared" si="41"/>
        <v>0</v>
      </c>
      <c r="Q100" s="27">
        <f t="shared" si="41"/>
        <v>0</v>
      </c>
      <c r="R100" s="27">
        <f t="shared" si="41"/>
        <v>0</v>
      </c>
      <c r="S100" s="27">
        <f t="shared" si="41"/>
        <v>0</v>
      </c>
      <c r="T100" s="27">
        <f t="shared" si="41"/>
        <v>0</v>
      </c>
      <c r="U100" s="27">
        <f t="shared" si="41"/>
        <v>0</v>
      </c>
      <c r="V100" s="27">
        <f t="shared" si="41"/>
        <v>0</v>
      </c>
      <c r="W100" s="27">
        <f t="shared" si="41"/>
        <v>0</v>
      </c>
      <c r="X100" s="27">
        <f t="shared" si="41"/>
        <v>0</v>
      </c>
      <c r="Y100" s="27">
        <f t="shared" si="41"/>
        <v>0</v>
      </c>
      <c r="Z100" s="27">
        <f t="shared" si="41"/>
        <v>0</v>
      </c>
      <c r="AA100" s="27">
        <f t="shared" si="41"/>
        <v>0</v>
      </c>
      <c r="AB100" s="27">
        <f t="shared" si="41"/>
        <v>0</v>
      </c>
      <c r="AC100" s="27">
        <f t="shared" si="41"/>
        <v>0</v>
      </c>
      <c r="AD100" s="27">
        <f t="shared" si="41"/>
        <v>0</v>
      </c>
      <c r="AE100" s="27">
        <f t="shared" si="41"/>
        <v>30000</v>
      </c>
      <c r="AF100" s="27">
        <f t="shared" si="41"/>
        <v>60000</v>
      </c>
      <c r="AG100" s="27">
        <f t="shared" si="41"/>
        <v>90000</v>
      </c>
      <c r="AH100" s="27">
        <f t="shared" si="41"/>
        <v>120000</v>
      </c>
      <c r="AI100" s="27">
        <f t="shared" si="41"/>
        <v>150000</v>
      </c>
      <c r="AJ100" s="27">
        <f t="shared" si="41"/>
        <v>180000</v>
      </c>
      <c r="AK100" s="27">
        <f t="shared" si="41"/>
        <v>210000</v>
      </c>
      <c r="AL100" s="27">
        <f t="shared" si="41"/>
        <v>240000</v>
      </c>
      <c r="AM100" s="27">
        <f t="shared" si="41"/>
        <v>270000</v>
      </c>
      <c r="AN100" s="27">
        <f t="shared" si="41"/>
        <v>300000</v>
      </c>
      <c r="AO100" s="27">
        <f t="shared" si="41"/>
        <v>330000</v>
      </c>
      <c r="AP100" s="27">
        <f t="shared" si="41"/>
        <v>360000</v>
      </c>
      <c r="AQ100" s="27">
        <f t="shared" si="41"/>
        <v>390000</v>
      </c>
      <c r="AR100" s="27">
        <f t="shared" si="41"/>
        <v>420000</v>
      </c>
      <c r="AS100" s="27">
        <f t="shared" si="41"/>
        <v>450000</v>
      </c>
      <c r="AT100" s="27">
        <f t="shared" si="41"/>
        <v>480000</v>
      </c>
      <c r="AU100" s="27">
        <f t="shared" si="41"/>
        <v>510000</v>
      </c>
      <c r="AV100" s="27">
        <f t="shared" si="41"/>
        <v>540000</v>
      </c>
      <c r="AW100" s="27">
        <f t="shared" si="41"/>
        <v>570000</v>
      </c>
      <c r="AX100" s="27">
        <f t="shared" si="41"/>
        <v>600000</v>
      </c>
      <c r="AY100" s="27">
        <f t="shared" si="41"/>
        <v>630000</v>
      </c>
      <c r="AZ100" s="27">
        <f t="shared" si="41"/>
        <v>660000</v>
      </c>
      <c r="BA100" s="27">
        <f t="shared" si="41"/>
        <v>690000</v>
      </c>
      <c r="BB100" s="27">
        <f t="shared" si="41"/>
        <v>720000</v>
      </c>
      <c r="BC100" s="27">
        <f t="shared" si="41"/>
        <v>750000</v>
      </c>
      <c r="BD100" s="27">
        <f t="shared" si="41"/>
        <v>780000</v>
      </c>
      <c r="BE100" s="27">
        <f t="shared" si="41"/>
        <v>810000</v>
      </c>
      <c r="BF100" s="27">
        <f t="shared" si="41"/>
        <v>840000</v>
      </c>
      <c r="BG100" s="27">
        <f t="shared" si="41"/>
        <v>870000</v>
      </c>
      <c r="BH100" s="27">
        <f t="shared" si="41"/>
        <v>900000</v>
      </c>
      <c r="BI100" s="27">
        <f t="shared" si="41"/>
        <v>930000</v>
      </c>
      <c r="BJ100" s="27">
        <f t="shared" si="41"/>
        <v>960000</v>
      </c>
      <c r="BK100" s="27">
        <f t="shared" si="41"/>
        <v>990000</v>
      </c>
      <c r="BL100" s="27">
        <f t="shared" si="41"/>
        <v>1020000</v>
      </c>
      <c r="BM100" s="27">
        <f t="shared" si="41"/>
        <v>1050000</v>
      </c>
      <c r="BN100" s="27">
        <f t="shared" si="41"/>
        <v>1080000</v>
      </c>
      <c r="BO100" s="27">
        <f t="shared" si="41"/>
        <v>1110000</v>
      </c>
      <c r="BP100" s="27">
        <f t="shared" si="41"/>
        <v>1140000</v>
      </c>
      <c r="BQ100" s="27">
        <f t="shared" si="41"/>
        <v>1170000</v>
      </c>
      <c r="BR100" s="27">
        <f t="shared" si="41"/>
        <v>1200000</v>
      </c>
      <c r="BS100" s="27">
        <f t="shared" si="41"/>
        <v>1230000</v>
      </c>
      <c r="BT100" s="27">
        <f t="shared" si="41"/>
        <v>1260000</v>
      </c>
      <c r="BU100" s="27">
        <f t="shared" si="41"/>
        <v>1290000</v>
      </c>
      <c r="BV100" s="27">
        <f t="shared" si="41"/>
        <v>1320000</v>
      </c>
      <c r="BW100" s="27">
        <f t="shared" si="41"/>
        <v>1350000</v>
      </c>
      <c r="BX100" s="27">
        <f t="shared" si="41"/>
        <v>1380000</v>
      </c>
      <c r="BY100" s="27">
        <f t="shared" si="41"/>
        <v>1410000</v>
      </c>
      <c r="BZ100" s="27">
        <f t="shared" si="41"/>
        <v>1440000</v>
      </c>
      <c r="CA100" s="27">
        <f t="shared" si="41"/>
        <v>1470000</v>
      </c>
      <c r="CB100" s="27">
        <f t="shared" si="41"/>
        <v>1500000</v>
      </c>
      <c r="CC100" s="27">
        <f t="shared" si="41"/>
        <v>1530000</v>
      </c>
      <c r="CD100" s="27">
        <f t="shared" si="41"/>
        <v>1560000</v>
      </c>
      <c r="CE100" s="27">
        <f t="shared" si="41"/>
        <v>1590000</v>
      </c>
      <c r="CF100" s="27">
        <f t="shared" si="41"/>
        <v>1620000</v>
      </c>
      <c r="CG100" s="27">
        <f t="shared" si="41"/>
        <v>1650000</v>
      </c>
      <c r="CH100" s="27">
        <f t="shared" si="41"/>
        <v>1680000</v>
      </c>
      <c r="CI100" s="27">
        <f t="shared" si="41"/>
        <v>1710000</v>
      </c>
      <c r="CJ100" s="27">
        <f t="shared" si="41"/>
        <v>1740000</v>
      </c>
      <c r="CK100" s="27">
        <f t="shared" si="41"/>
        <v>1770000</v>
      </c>
      <c r="CL100" s="27">
        <f t="shared" si="41"/>
        <v>1800000</v>
      </c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1"/>
      <c r="JV100" s="21"/>
      <c r="JW100" s="21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  <c r="KJ100" s="21"/>
      <c r="KK100" s="21"/>
      <c r="KL100" s="21"/>
      <c r="KM100" s="21"/>
      <c r="KN100" s="21"/>
      <c r="KO100" s="21"/>
      <c r="KP100" s="21"/>
      <c r="KQ100" s="21"/>
      <c r="KR100" s="21"/>
      <c r="KS100" s="21"/>
      <c r="KT100" s="21"/>
      <c r="KU100" s="21"/>
      <c r="KV100" s="21"/>
      <c r="KW100" s="21"/>
      <c r="KX100" s="21"/>
      <c r="KY100" s="21"/>
      <c r="KZ100" s="21"/>
      <c r="LA100" s="21"/>
      <c r="LB100" s="21"/>
      <c r="LC100" s="21"/>
      <c r="LD100" s="21"/>
      <c r="LE100" s="21"/>
      <c r="LF100" s="21"/>
      <c r="LG100" s="21"/>
      <c r="LH100" s="21"/>
      <c r="LI100" s="21"/>
      <c r="LJ100" s="21"/>
      <c r="LK100" s="21"/>
      <c r="LL100" s="21"/>
      <c r="LM100" s="21"/>
      <c r="LN100" s="21"/>
      <c r="LO100" s="21"/>
      <c r="LP100" s="21"/>
      <c r="LQ100" s="21"/>
      <c r="LR100" s="21"/>
      <c r="LS100" s="21"/>
      <c r="LT100" s="21"/>
      <c r="LU100" s="21"/>
      <c r="LV100" s="21"/>
      <c r="LW100" s="21"/>
      <c r="LX100" s="21"/>
      <c r="LY100" s="21"/>
      <c r="LZ100" s="21"/>
      <c r="MA100" s="21"/>
      <c r="MB100" s="21"/>
      <c r="MC100" s="21"/>
      <c r="MD100" s="21"/>
      <c r="ME100" s="21"/>
      <c r="MF100" s="21"/>
      <c r="MG100" s="21"/>
      <c r="MH100" s="21"/>
      <c r="MI100" s="21"/>
      <c r="MJ100" s="21"/>
      <c r="MK100" s="21"/>
      <c r="ML100" s="21"/>
      <c r="MM100" s="21"/>
      <c r="MN100" s="21"/>
      <c r="MO100" s="21"/>
      <c r="MP100" s="21"/>
      <c r="MQ100" s="21"/>
      <c r="MR100" s="21"/>
      <c r="MS100" s="21"/>
      <c r="MT100" s="21"/>
      <c r="MU100" s="21"/>
      <c r="MV100" s="21"/>
      <c r="MW100" s="21"/>
      <c r="MX100" s="21"/>
      <c r="MY100" s="21"/>
      <c r="MZ100" s="21"/>
      <c r="NA100" s="21"/>
      <c r="NB100" s="21"/>
      <c r="NC100" s="21"/>
      <c r="ND100" s="21"/>
      <c r="NE100" s="21"/>
      <c r="NF100" s="21"/>
      <c r="NG100" s="21"/>
      <c r="NH100" s="21"/>
      <c r="NI100" s="21"/>
      <c r="NJ100" s="21"/>
      <c r="NK100" s="21"/>
      <c r="NL100" s="21"/>
      <c r="NM100" s="21"/>
      <c r="NN100" s="21"/>
      <c r="NO100" s="21"/>
      <c r="NP100" s="21"/>
      <c r="NQ100" s="21"/>
      <c r="NR100" s="21"/>
      <c r="NS100" s="21"/>
      <c r="NT100" s="21"/>
      <c r="NU100" s="21"/>
      <c r="NV100" s="21"/>
      <c r="NW100" s="21"/>
      <c r="NX100" s="21"/>
      <c r="NY100" s="21"/>
      <c r="NZ100" s="21"/>
      <c r="OA100" s="21"/>
      <c r="OB100" s="21"/>
      <c r="OC100" s="21"/>
      <c r="OD100" s="21"/>
      <c r="OE100" s="21"/>
      <c r="OF100" s="21"/>
      <c r="OG100" s="21"/>
      <c r="OH100" s="21"/>
      <c r="OI100" s="21"/>
      <c r="OJ100" s="21"/>
      <c r="OK100" s="21"/>
      <c r="OL100" s="21"/>
      <c r="OM100" s="21"/>
      <c r="ON100" s="21"/>
      <c r="OO100" s="21"/>
      <c r="OP100" s="21"/>
      <c r="OQ100" s="21"/>
      <c r="OR100" s="21"/>
      <c r="OS100" s="21"/>
      <c r="OT100" s="21"/>
      <c r="OU100" s="21"/>
      <c r="OV100" s="21"/>
      <c r="OW100" s="21"/>
      <c r="OX100" s="21"/>
      <c r="OY100" s="21"/>
      <c r="OZ100" s="21"/>
      <c r="PA100" s="21"/>
      <c r="PB100" s="21"/>
      <c r="PC100" s="21"/>
      <c r="PD100" s="21"/>
      <c r="PE100" s="21"/>
      <c r="PF100" s="21"/>
      <c r="PG100" s="21"/>
      <c r="PH100" s="21"/>
      <c r="PI100" s="21"/>
      <c r="PJ100" s="21"/>
      <c r="PK100" s="21"/>
      <c r="PL100" s="21"/>
      <c r="PM100" s="21"/>
      <c r="PN100" s="21"/>
      <c r="PO100" s="21"/>
      <c r="PP100" s="21"/>
      <c r="PQ100" s="21"/>
      <c r="PR100" s="21"/>
      <c r="PS100" s="21"/>
      <c r="PT100" s="21"/>
      <c r="PU100" s="21"/>
      <c r="PV100" s="21"/>
      <c r="PW100" s="21"/>
      <c r="PX100" s="21"/>
      <c r="PY100" s="21"/>
      <c r="PZ100" s="21"/>
      <c r="QA100" s="21"/>
      <c r="QB100" s="21"/>
      <c r="QC100" s="21"/>
      <c r="QD100" s="21"/>
      <c r="QE100" s="21"/>
      <c r="QF100" s="21"/>
      <c r="QG100" s="21"/>
      <c r="QH100" s="21"/>
      <c r="QI100" s="21"/>
      <c r="QJ100" s="21"/>
      <c r="QK100" s="21"/>
      <c r="QL100" s="21"/>
      <c r="QM100" s="21"/>
      <c r="QN100" s="21"/>
      <c r="QO100" s="21"/>
      <c r="QP100" s="21"/>
      <c r="QQ100" s="21"/>
      <c r="QR100" s="21"/>
      <c r="QS100" s="21"/>
      <c r="QT100" s="21"/>
      <c r="QU100" s="21"/>
      <c r="QV100" s="21"/>
      <c r="QW100" s="21"/>
      <c r="QX100" s="21"/>
      <c r="QY100" s="21"/>
      <c r="QZ100" s="21"/>
      <c r="RA100" s="21"/>
      <c r="RB100" s="21"/>
      <c r="RC100" s="21"/>
      <c r="RD100" s="21"/>
      <c r="RE100" s="21"/>
      <c r="RF100" s="21"/>
      <c r="RG100" s="21"/>
      <c r="RH100" s="21"/>
      <c r="RI100" s="21"/>
      <c r="RJ100" s="21"/>
      <c r="RK100" s="21"/>
      <c r="RL100" s="21"/>
      <c r="RM100" s="21"/>
      <c r="RN100" s="21"/>
      <c r="RO100" s="21"/>
      <c r="RP100" s="21"/>
      <c r="RQ100" s="21"/>
      <c r="RR100" s="21"/>
      <c r="RS100" s="21"/>
      <c r="RT100" s="21"/>
      <c r="RU100" s="21"/>
      <c r="RV100" s="21"/>
      <c r="RW100" s="21"/>
      <c r="RX100" s="21"/>
      <c r="RY100" s="21"/>
      <c r="RZ100" s="21"/>
      <c r="SA100" s="21"/>
      <c r="SB100" s="21"/>
      <c r="SC100" s="21"/>
      <c r="SD100" s="21"/>
      <c r="SE100" s="21"/>
      <c r="SF100" s="21"/>
      <c r="SG100" s="21"/>
      <c r="SH100" s="21"/>
      <c r="SI100" s="21"/>
      <c r="SJ100" s="21"/>
      <c r="SK100" s="21"/>
      <c r="SL100" s="21"/>
      <c r="SM100" s="21"/>
      <c r="SN100" s="21"/>
      <c r="SO100" s="21"/>
      <c r="SP100" s="21"/>
      <c r="SQ100" s="21"/>
      <c r="SR100" s="21"/>
      <c r="SS100" s="21"/>
      <c r="ST100" s="21"/>
      <c r="SU100" s="21"/>
      <c r="SV100" s="21"/>
      <c r="SW100" s="21"/>
      <c r="SX100" s="21"/>
      <c r="SY100" s="21"/>
      <c r="SZ100" s="21"/>
      <c r="TA100" s="21"/>
      <c r="TB100" s="21"/>
      <c r="TC100" s="21"/>
      <c r="TD100" s="21"/>
      <c r="TE100" s="21"/>
      <c r="TF100" s="21"/>
      <c r="TG100" s="21"/>
      <c r="TH100" s="21"/>
      <c r="TI100" s="21"/>
      <c r="TJ100" s="21"/>
      <c r="TK100" s="21"/>
      <c r="TL100" s="21"/>
      <c r="TM100" s="21"/>
      <c r="TN100" s="21"/>
      <c r="TO100" s="21"/>
      <c r="TP100" s="21"/>
      <c r="TQ100" s="21"/>
      <c r="TR100" s="21"/>
      <c r="TS100" s="21"/>
      <c r="TT100" s="21"/>
      <c r="TU100" s="21"/>
      <c r="TV100" s="21"/>
      <c r="TW100" s="21"/>
      <c r="TX100" s="21"/>
      <c r="TY100" s="21"/>
      <c r="TZ100" s="21"/>
      <c r="UA100" s="21"/>
      <c r="UB100" s="21"/>
      <c r="UC100" s="21"/>
      <c r="UD100" s="21"/>
      <c r="UE100" s="21"/>
      <c r="UF100" s="21"/>
      <c r="UG100" s="21"/>
      <c r="UH100" s="21"/>
      <c r="UI100" s="21"/>
      <c r="UJ100" s="21"/>
      <c r="UK100" s="21"/>
      <c r="UL100" s="21"/>
      <c r="UM100" s="21"/>
      <c r="UN100" s="21"/>
      <c r="UO100" s="21"/>
      <c r="UP100" s="21"/>
      <c r="UQ100" s="21"/>
      <c r="UR100" s="21"/>
      <c r="US100" s="21"/>
      <c r="UT100" s="21"/>
      <c r="UU100" s="21"/>
      <c r="UV100" s="21"/>
      <c r="UW100" s="21"/>
      <c r="UX100" s="21"/>
      <c r="UY100" s="21"/>
      <c r="UZ100" s="21"/>
      <c r="VA100" s="21"/>
      <c r="VB100" s="21"/>
      <c r="VC100" s="21"/>
      <c r="VD100" s="21"/>
      <c r="VE100" s="21"/>
      <c r="VF100" s="21"/>
      <c r="VG100" s="21"/>
      <c r="VH100" s="21"/>
      <c r="VI100" s="21"/>
      <c r="VJ100" s="21"/>
      <c r="VK100" s="21"/>
      <c r="VL100" s="21"/>
      <c r="VM100" s="21"/>
      <c r="VN100" s="21"/>
      <c r="VO100" s="21"/>
      <c r="VP100" s="21"/>
      <c r="VQ100" s="21"/>
      <c r="VR100" s="21"/>
      <c r="VS100" s="21"/>
      <c r="VT100" s="21"/>
      <c r="VU100" s="21"/>
      <c r="VV100" s="21"/>
      <c r="VW100" s="21"/>
      <c r="VX100" s="21"/>
      <c r="VY100" s="21"/>
      <c r="VZ100" s="21"/>
      <c r="WA100" s="21"/>
      <c r="WB100" s="21"/>
      <c r="WC100" s="21"/>
      <c r="WD100" s="21"/>
      <c r="WE100" s="21"/>
      <c r="WF100" s="21"/>
      <c r="WG100" s="21"/>
      <c r="WH100" s="21"/>
      <c r="WI100" s="21"/>
      <c r="WJ100" s="21"/>
      <c r="WK100" s="21"/>
      <c r="WL100" s="21"/>
      <c r="WM100" s="21"/>
      <c r="WN100" s="21"/>
      <c r="WO100" s="21"/>
      <c r="WP100" s="21"/>
      <c r="WQ100" s="21"/>
      <c r="WR100" s="21"/>
      <c r="WS100" s="21"/>
      <c r="WT100" s="21"/>
      <c r="WU100" s="21"/>
      <c r="WV100" s="21"/>
      <c r="WW100" s="21"/>
      <c r="WX100" s="21"/>
      <c r="WY100" s="21"/>
      <c r="WZ100" s="21"/>
      <c r="XA100" s="21"/>
      <c r="XB100" s="21"/>
      <c r="XC100" s="21"/>
      <c r="XD100" s="21"/>
      <c r="XE100" s="21"/>
      <c r="XF100" s="21"/>
      <c r="XG100" s="21"/>
      <c r="XH100" s="21"/>
      <c r="XI100" s="21"/>
      <c r="XJ100" s="21"/>
      <c r="XK100" s="21"/>
      <c r="XL100" s="21"/>
      <c r="XM100" s="21"/>
      <c r="XN100" s="21"/>
      <c r="XO100" s="21"/>
      <c r="XP100" s="21"/>
      <c r="XQ100" s="21"/>
      <c r="XR100" s="21"/>
      <c r="XS100" s="21"/>
      <c r="XT100" s="21"/>
      <c r="XU100" s="21"/>
      <c r="XV100" s="21"/>
      <c r="XW100" s="21"/>
      <c r="XX100" s="21"/>
      <c r="XY100" s="21"/>
      <c r="XZ100" s="21"/>
      <c r="YA100" s="21"/>
      <c r="YB100" s="21"/>
      <c r="YC100" s="21"/>
      <c r="YD100" s="21"/>
      <c r="YE100" s="21"/>
      <c r="YF100" s="21"/>
      <c r="YG100" s="21"/>
      <c r="YH100" s="21"/>
      <c r="YI100" s="21"/>
      <c r="YJ100" s="21"/>
      <c r="YK100" s="21"/>
      <c r="YL100" s="21"/>
      <c r="YM100" s="21"/>
      <c r="YN100" s="21"/>
      <c r="YO100" s="21"/>
      <c r="YP100" s="21"/>
      <c r="YQ100" s="21"/>
      <c r="YR100" s="21"/>
      <c r="YS100" s="21"/>
      <c r="YT100" s="21"/>
      <c r="YU100" s="21"/>
      <c r="YV100" s="21"/>
      <c r="YW100" s="21"/>
      <c r="YX100" s="21"/>
      <c r="YY100" s="21"/>
      <c r="YZ100" s="21"/>
      <c r="ZA100" s="21"/>
      <c r="ZB100" s="21"/>
      <c r="ZC100" s="21"/>
      <c r="ZD100" s="21"/>
      <c r="ZE100" s="21"/>
      <c r="ZF100" s="21"/>
      <c r="ZG100" s="21"/>
      <c r="ZH100" s="21"/>
      <c r="ZI100" s="21"/>
      <c r="ZJ100" s="21"/>
      <c r="ZK100" s="21"/>
      <c r="ZL100" s="21"/>
      <c r="ZM100" s="21"/>
      <c r="ZN100" s="21"/>
      <c r="ZO100" s="21"/>
      <c r="ZP100" s="21"/>
      <c r="ZQ100" s="21"/>
      <c r="ZR100" s="21"/>
      <c r="ZS100" s="21"/>
      <c r="ZT100" s="21"/>
      <c r="ZU100" s="21"/>
      <c r="ZV100" s="21"/>
      <c r="ZW100" s="21"/>
      <c r="ZX100" s="21"/>
      <c r="ZY100" s="21"/>
      <c r="ZZ100" s="21"/>
      <c r="AAA100" s="21"/>
      <c r="AAB100" s="21"/>
      <c r="AAC100" s="21"/>
      <c r="AAD100" s="21"/>
      <c r="AAE100" s="21"/>
      <c r="AAF100" s="21"/>
      <c r="AAG100" s="21"/>
      <c r="AAH100" s="21"/>
      <c r="AAI100" s="21"/>
      <c r="AAJ100" s="21"/>
      <c r="AAK100" s="21"/>
      <c r="AAL100" s="21"/>
      <c r="AAM100" s="21"/>
      <c r="AAN100" s="21"/>
      <c r="AAO100" s="21"/>
      <c r="AAP100" s="21"/>
      <c r="AAQ100" s="21"/>
      <c r="AAR100" s="21"/>
      <c r="AAS100" s="21"/>
      <c r="AAT100" s="21"/>
      <c r="AAU100" s="21"/>
      <c r="AAV100" s="21"/>
      <c r="AAW100" s="21"/>
      <c r="AAX100" s="21"/>
      <c r="AAY100" s="21"/>
      <c r="AAZ100" s="21"/>
      <c r="ABA100" s="21"/>
      <c r="ABB100" s="21"/>
      <c r="ABC100" s="21"/>
      <c r="ABD100" s="21"/>
      <c r="ABE100" s="21"/>
      <c r="ABF100" s="21"/>
      <c r="ABG100" s="21"/>
      <c r="ABH100" s="21"/>
      <c r="ABI100" s="21"/>
      <c r="ABJ100" s="21"/>
      <c r="ABK100" s="21"/>
      <c r="ABL100" s="21"/>
      <c r="ABM100" s="21"/>
      <c r="ABN100" s="21"/>
      <c r="ABO100" s="21"/>
      <c r="ABP100" s="21"/>
      <c r="ABQ100" s="21"/>
      <c r="ABR100" s="21"/>
      <c r="ABS100" s="21"/>
      <c r="ABT100" s="21"/>
      <c r="ABU100" s="21"/>
      <c r="ABV100" s="21"/>
      <c r="ABW100" s="21"/>
      <c r="ABX100" s="21"/>
      <c r="ABY100" s="21"/>
      <c r="ABZ100" s="21"/>
      <c r="ACA100" s="21"/>
      <c r="ACB100" s="21"/>
      <c r="ACC100" s="21"/>
      <c r="ACD100" s="21"/>
      <c r="ACE100" s="21"/>
      <c r="ACF100" s="21"/>
      <c r="ACG100" s="21"/>
      <c r="ACH100" s="21"/>
      <c r="ACI100" s="21"/>
      <c r="ACJ100" s="21"/>
      <c r="ACK100" s="21"/>
      <c r="ACL100" s="21"/>
      <c r="ACM100" s="21"/>
      <c r="ACN100" s="21"/>
      <c r="ACO100" s="21"/>
      <c r="ACP100" s="21"/>
      <c r="ACQ100" s="21"/>
      <c r="ACR100" s="21"/>
      <c r="ACS100" s="21"/>
      <c r="ACT100" s="21"/>
      <c r="ACU100" s="21"/>
      <c r="ACV100" s="21"/>
      <c r="ACW100" s="21"/>
      <c r="ACX100" s="21"/>
      <c r="ACY100" s="21"/>
      <c r="ACZ100" s="21"/>
      <c r="ADA100" s="21"/>
      <c r="ADB100" s="21"/>
      <c r="ADC100" s="21"/>
      <c r="ADD100" s="21"/>
      <c r="ADE100" s="21"/>
      <c r="ADF100" s="21"/>
      <c r="ADG100" s="21"/>
      <c r="ADH100" s="21"/>
      <c r="ADI100" s="21"/>
      <c r="ADJ100" s="21"/>
      <c r="ADK100" s="21"/>
      <c r="ADL100" s="21"/>
      <c r="ADM100" s="21"/>
      <c r="ADN100" s="21"/>
      <c r="ADO100" s="21"/>
      <c r="ADP100" s="21"/>
      <c r="ADQ100" s="21"/>
      <c r="ADR100" s="21"/>
      <c r="ADS100" s="21"/>
      <c r="ADT100" s="21"/>
      <c r="ADU100" s="21"/>
      <c r="ADV100" s="21"/>
      <c r="ADW100" s="21"/>
      <c r="ADX100" s="21"/>
      <c r="ADY100" s="21"/>
      <c r="ADZ100" s="21"/>
      <c r="AEA100" s="21"/>
      <c r="AEB100" s="21"/>
      <c r="AEC100" s="21"/>
      <c r="AED100" s="21"/>
      <c r="AEE100" s="21"/>
      <c r="AEF100" s="21"/>
      <c r="AEG100" s="21"/>
      <c r="AEH100" s="21"/>
      <c r="AEI100" s="21"/>
      <c r="AEJ100" s="21"/>
      <c r="AEK100" s="21"/>
      <c r="AEL100" s="21"/>
      <c r="AEM100" s="21"/>
      <c r="AEN100" s="21"/>
      <c r="AEO100" s="21"/>
      <c r="AEP100" s="21"/>
      <c r="AEQ100" s="21"/>
      <c r="AER100" s="21"/>
      <c r="AES100" s="21"/>
      <c r="AET100" s="21"/>
      <c r="AEU100" s="21"/>
      <c r="AEV100" s="21"/>
      <c r="AEW100" s="21"/>
      <c r="AEX100" s="21"/>
      <c r="AEY100" s="21"/>
      <c r="AEZ100" s="21"/>
      <c r="AFA100" s="21"/>
      <c r="AFB100" s="21"/>
      <c r="AFC100" s="21"/>
      <c r="AFD100" s="21"/>
      <c r="AFE100" s="21"/>
      <c r="AFF100" s="21"/>
      <c r="AFG100" s="21"/>
      <c r="AFH100" s="21"/>
      <c r="AFI100" s="21"/>
      <c r="AFJ100" s="21"/>
      <c r="AFK100" s="21"/>
      <c r="AFL100" s="21"/>
      <c r="AFM100" s="21"/>
      <c r="AFN100" s="21"/>
      <c r="AFO100" s="21"/>
      <c r="AFP100" s="21"/>
      <c r="AFQ100" s="21"/>
      <c r="AFR100" s="21"/>
      <c r="AFS100" s="21"/>
      <c r="AFT100" s="21"/>
      <c r="AFU100" s="21"/>
      <c r="AFV100" s="21"/>
      <c r="AFW100" s="21"/>
      <c r="AFX100" s="21"/>
      <c r="AFY100" s="21"/>
      <c r="AFZ100" s="21"/>
      <c r="AGA100" s="21"/>
      <c r="AGB100" s="21"/>
      <c r="AGC100" s="21"/>
      <c r="AGD100" s="21"/>
      <c r="AGE100" s="21"/>
      <c r="AGF100" s="21"/>
      <c r="AGG100" s="21"/>
      <c r="AGH100" s="21"/>
      <c r="AGI100" s="21"/>
      <c r="AGJ100" s="21"/>
      <c r="AGK100" s="21"/>
      <c r="AGL100" s="21"/>
      <c r="AGM100" s="21"/>
      <c r="AGN100" s="21"/>
      <c r="AGO100" s="21"/>
      <c r="AGP100" s="21"/>
      <c r="AGQ100" s="21"/>
      <c r="AGR100" s="21"/>
      <c r="AGS100" s="21"/>
    </row>
    <row r="101" spans="1:877" ht="13">
      <c r="A101" s="12"/>
      <c r="B101" s="62" t="str">
        <f t="shared" si="35"/>
        <v>Facility 3 Assets Expansion 1</v>
      </c>
      <c r="C101" s="12"/>
      <c r="D101" s="12"/>
      <c r="E101" s="12"/>
      <c r="F101" s="27"/>
      <c r="G101" s="27">
        <f t="shared" ref="G101:CL101" si="42">MIN(F101+ IF(G$4&gt;=$D84,$C84/($E84*12),0),$C84)</f>
        <v>0</v>
      </c>
      <c r="H101" s="27">
        <f t="shared" si="42"/>
        <v>0</v>
      </c>
      <c r="I101" s="27">
        <f t="shared" si="42"/>
        <v>0</v>
      </c>
      <c r="J101" s="27">
        <f t="shared" si="42"/>
        <v>0</v>
      </c>
      <c r="K101" s="27">
        <f t="shared" si="42"/>
        <v>0</v>
      </c>
      <c r="L101" s="27">
        <f t="shared" si="42"/>
        <v>0</v>
      </c>
      <c r="M101" s="27">
        <f t="shared" si="42"/>
        <v>0</v>
      </c>
      <c r="N101" s="27">
        <f t="shared" si="42"/>
        <v>0</v>
      </c>
      <c r="O101" s="27">
        <f t="shared" si="42"/>
        <v>0</v>
      </c>
      <c r="P101" s="27">
        <f t="shared" si="42"/>
        <v>0</v>
      </c>
      <c r="Q101" s="27">
        <f t="shared" si="42"/>
        <v>0</v>
      </c>
      <c r="R101" s="27">
        <f t="shared" si="42"/>
        <v>0</v>
      </c>
      <c r="S101" s="27">
        <f t="shared" si="42"/>
        <v>0</v>
      </c>
      <c r="T101" s="27">
        <f t="shared" si="42"/>
        <v>0</v>
      </c>
      <c r="U101" s="27">
        <f t="shared" si="42"/>
        <v>0</v>
      </c>
      <c r="V101" s="27">
        <f t="shared" si="42"/>
        <v>0</v>
      </c>
      <c r="W101" s="27">
        <f t="shared" si="42"/>
        <v>0</v>
      </c>
      <c r="X101" s="27">
        <f t="shared" si="42"/>
        <v>0</v>
      </c>
      <c r="Y101" s="27">
        <f t="shared" si="42"/>
        <v>0</v>
      </c>
      <c r="Z101" s="27">
        <f t="shared" si="42"/>
        <v>0</v>
      </c>
      <c r="AA101" s="27">
        <f t="shared" si="42"/>
        <v>0</v>
      </c>
      <c r="AB101" s="27">
        <f t="shared" si="42"/>
        <v>0</v>
      </c>
      <c r="AC101" s="27">
        <f t="shared" si="42"/>
        <v>0</v>
      </c>
      <c r="AD101" s="27">
        <f t="shared" si="42"/>
        <v>0</v>
      </c>
      <c r="AE101" s="27">
        <f t="shared" si="42"/>
        <v>0</v>
      </c>
      <c r="AF101" s="27">
        <f t="shared" si="42"/>
        <v>0</v>
      </c>
      <c r="AG101" s="27">
        <f t="shared" si="42"/>
        <v>0</v>
      </c>
      <c r="AH101" s="27">
        <f t="shared" si="42"/>
        <v>0</v>
      </c>
      <c r="AI101" s="27">
        <f t="shared" si="42"/>
        <v>0</v>
      </c>
      <c r="AJ101" s="27">
        <f t="shared" si="42"/>
        <v>0</v>
      </c>
      <c r="AK101" s="27">
        <f t="shared" si="42"/>
        <v>0</v>
      </c>
      <c r="AL101" s="27">
        <f t="shared" si="42"/>
        <v>0</v>
      </c>
      <c r="AM101" s="27">
        <f t="shared" si="42"/>
        <v>0</v>
      </c>
      <c r="AN101" s="27">
        <f t="shared" si="42"/>
        <v>0</v>
      </c>
      <c r="AO101" s="27">
        <f t="shared" si="42"/>
        <v>0</v>
      </c>
      <c r="AP101" s="27">
        <f t="shared" si="42"/>
        <v>0</v>
      </c>
      <c r="AQ101" s="27">
        <f t="shared" si="42"/>
        <v>13888.888888888889</v>
      </c>
      <c r="AR101" s="27">
        <f t="shared" si="42"/>
        <v>27777.777777777777</v>
      </c>
      <c r="AS101" s="27">
        <f t="shared" si="42"/>
        <v>41666.666666666664</v>
      </c>
      <c r="AT101" s="27">
        <f t="shared" si="42"/>
        <v>55555.555555555555</v>
      </c>
      <c r="AU101" s="27">
        <f t="shared" si="42"/>
        <v>69444.444444444438</v>
      </c>
      <c r="AV101" s="27">
        <f t="shared" si="42"/>
        <v>83333.333333333328</v>
      </c>
      <c r="AW101" s="27">
        <f t="shared" si="42"/>
        <v>97222.222222222219</v>
      </c>
      <c r="AX101" s="27">
        <f t="shared" si="42"/>
        <v>111111.11111111111</v>
      </c>
      <c r="AY101" s="27">
        <f t="shared" si="42"/>
        <v>125000</v>
      </c>
      <c r="AZ101" s="27">
        <f t="shared" si="42"/>
        <v>138888.88888888888</v>
      </c>
      <c r="BA101" s="27">
        <f t="shared" si="42"/>
        <v>152777.77777777775</v>
      </c>
      <c r="BB101" s="27">
        <f t="shared" si="42"/>
        <v>166666.66666666663</v>
      </c>
      <c r="BC101" s="27">
        <f t="shared" si="42"/>
        <v>180555.5555555555</v>
      </c>
      <c r="BD101" s="27">
        <f t="shared" si="42"/>
        <v>194444.44444444438</v>
      </c>
      <c r="BE101" s="27">
        <f t="shared" si="42"/>
        <v>208333.33333333326</v>
      </c>
      <c r="BF101" s="27">
        <f t="shared" si="42"/>
        <v>222222.22222222213</v>
      </c>
      <c r="BG101" s="27">
        <f t="shared" si="42"/>
        <v>236111.11111111101</v>
      </c>
      <c r="BH101" s="27">
        <f t="shared" si="42"/>
        <v>249999.99999999988</v>
      </c>
      <c r="BI101" s="27">
        <f t="shared" si="42"/>
        <v>263888.88888888876</v>
      </c>
      <c r="BJ101" s="27">
        <f t="shared" si="42"/>
        <v>277777.77777777764</v>
      </c>
      <c r="BK101" s="27">
        <f t="shared" si="42"/>
        <v>291666.66666666651</v>
      </c>
      <c r="BL101" s="27">
        <f t="shared" si="42"/>
        <v>305555.55555555539</v>
      </c>
      <c r="BM101" s="27">
        <f t="shared" si="42"/>
        <v>319444.44444444426</v>
      </c>
      <c r="BN101" s="27">
        <f t="shared" si="42"/>
        <v>333333.33333333314</v>
      </c>
      <c r="BO101" s="27">
        <f t="shared" si="42"/>
        <v>347222.22222222202</v>
      </c>
      <c r="BP101" s="27">
        <f t="shared" si="42"/>
        <v>361111.11111111089</v>
      </c>
      <c r="BQ101" s="27">
        <f t="shared" si="42"/>
        <v>374999.99999999977</v>
      </c>
      <c r="BR101" s="27">
        <f t="shared" si="42"/>
        <v>388888.88888888864</v>
      </c>
      <c r="BS101" s="27">
        <f t="shared" si="42"/>
        <v>402777.77777777752</v>
      </c>
      <c r="BT101" s="27">
        <f t="shared" si="42"/>
        <v>416666.6666666664</v>
      </c>
      <c r="BU101" s="27">
        <f t="shared" si="42"/>
        <v>430555.55555555527</v>
      </c>
      <c r="BV101" s="27">
        <f t="shared" si="42"/>
        <v>444444.44444444415</v>
      </c>
      <c r="BW101" s="27">
        <f t="shared" si="42"/>
        <v>458333.33333333302</v>
      </c>
      <c r="BX101" s="27">
        <f t="shared" si="42"/>
        <v>472222.2222222219</v>
      </c>
      <c r="BY101" s="27">
        <f t="shared" si="42"/>
        <v>486111.11111111077</v>
      </c>
      <c r="BZ101" s="27">
        <f t="shared" si="42"/>
        <v>499999.99999999965</v>
      </c>
      <c r="CA101" s="27">
        <f t="shared" si="42"/>
        <v>513888.88888888853</v>
      </c>
      <c r="CB101" s="27">
        <f t="shared" si="42"/>
        <v>527777.7777777774</v>
      </c>
      <c r="CC101" s="27">
        <f t="shared" si="42"/>
        <v>541666.66666666628</v>
      </c>
      <c r="CD101" s="27">
        <f t="shared" si="42"/>
        <v>555555.55555555515</v>
      </c>
      <c r="CE101" s="27">
        <f t="shared" si="42"/>
        <v>569444.44444444403</v>
      </c>
      <c r="CF101" s="27">
        <f t="shared" si="42"/>
        <v>583333.33333333291</v>
      </c>
      <c r="CG101" s="27">
        <f t="shared" si="42"/>
        <v>597222.22222222178</v>
      </c>
      <c r="CH101" s="27">
        <f t="shared" si="42"/>
        <v>611111.11111111066</v>
      </c>
      <c r="CI101" s="27">
        <f t="shared" si="42"/>
        <v>624999.99999999953</v>
      </c>
      <c r="CJ101" s="27">
        <f t="shared" si="42"/>
        <v>638888.88888888841</v>
      </c>
      <c r="CK101" s="27">
        <f t="shared" si="42"/>
        <v>652777.77777777729</v>
      </c>
      <c r="CL101" s="27">
        <f t="shared" si="42"/>
        <v>666666.66666666616</v>
      </c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1"/>
      <c r="JV101" s="21"/>
      <c r="JW101" s="21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  <c r="KJ101" s="21"/>
      <c r="KK101" s="21"/>
      <c r="KL101" s="21"/>
      <c r="KM101" s="21"/>
      <c r="KN101" s="21"/>
      <c r="KO101" s="21"/>
      <c r="KP101" s="21"/>
      <c r="KQ101" s="21"/>
      <c r="KR101" s="21"/>
      <c r="KS101" s="21"/>
      <c r="KT101" s="21"/>
      <c r="KU101" s="21"/>
      <c r="KV101" s="21"/>
      <c r="KW101" s="21"/>
      <c r="KX101" s="21"/>
      <c r="KY101" s="21"/>
      <c r="KZ101" s="21"/>
      <c r="LA101" s="21"/>
      <c r="LB101" s="21"/>
      <c r="LC101" s="21"/>
      <c r="LD101" s="21"/>
      <c r="LE101" s="21"/>
      <c r="LF101" s="21"/>
      <c r="LG101" s="21"/>
      <c r="LH101" s="21"/>
      <c r="LI101" s="21"/>
      <c r="LJ101" s="21"/>
      <c r="LK101" s="21"/>
      <c r="LL101" s="21"/>
      <c r="LM101" s="21"/>
      <c r="LN101" s="21"/>
      <c r="LO101" s="21"/>
      <c r="LP101" s="21"/>
      <c r="LQ101" s="21"/>
      <c r="LR101" s="21"/>
      <c r="LS101" s="21"/>
      <c r="LT101" s="21"/>
      <c r="LU101" s="21"/>
      <c r="LV101" s="21"/>
      <c r="LW101" s="21"/>
      <c r="LX101" s="21"/>
      <c r="LY101" s="21"/>
      <c r="LZ101" s="21"/>
      <c r="MA101" s="21"/>
      <c r="MB101" s="21"/>
      <c r="MC101" s="21"/>
      <c r="MD101" s="21"/>
      <c r="ME101" s="21"/>
      <c r="MF101" s="21"/>
      <c r="MG101" s="21"/>
      <c r="MH101" s="21"/>
      <c r="MI101" s="21"/>
      <c r="MJ101" s="21"/>
      <c r="MK101" s="21"/>
      <c r="ML101" s="21"/>
      <c r="MM101" s="21"/>
      <c r="MN101" s="21"/>
      <c r="MO101" s="21"/>
      <c r="MP101" s="21"/>
      <c r="MQ101" s="21"/>
      <c r="MR101" s="21"/>
      <c r="MS101" s="21"/>
      <c r="MT101" s="21"/>
      <c r="MU101" s="21"/>
      <c r="MV101" s="21"/>
      <c r="MW101" s="21"/>
      <c r="MX101" s="21"/>
      <c r="MY101" s="21"/>
      <c r="MZ101" s="21"/>
      <c r="NA101" s="21"/>
      <c r="NB101" s="21"/>
      <c r="NC101" s="21"/>
      <c r="ND101" s="21"/>
      <c r="NE101" s="21"/>
      <c r="NF101" s="21"/>
      <c r="NG101" s="21"/>
      <c r="NH101" s="21"/>
      <c r="NI101" s="21"/>
      <c r="NJ101" s="21"/>
      <c r="NK101" s="21"/>
      <c r="NL101" s="21"/>
      <c r="NM101" s="21"/>
      <c r="NN101" s="21"/>
      <c r="NO101" s="21"/>
      <c r="NP101" s="21"/>
      <c r="NQ101" s="21"/>
      <c r="NR101" s="21"/>
      <c r="NS101" s="21"/>
      <c r="NT101" s="21"/>
      <c r="NU101" s="21"/>
      <c r="NV101" s="21"/>
      <c r="NW101" s="21"/>
      <c r="NX101" s="21"/>
      <c r="NY101" s="21"/>
      <c r="NZ101" s="21"/>
      <c r="OA101" s="21"/>
      <c r="OB101" s="21"/>
      <c r="OC101" s="21"/>
      <c r="OD101" s="21"/>
      <c r="OE101" s="21"/>
      <c r="OF101" s="21"/>
      <c r="OG101" s="21"/>
      <c r="OH101" s="21"/>
      <c r="OI101" s="21"/>
      <c r="OJ101" s="21"/>
      <c r="OK101" s="21"/>
      <c r="OL101" s="21"/>
      <c r="OM101" s="21"/>
      <c r="ON101" s="21"/>
      <c r="OO101" s="21"/>
      <c r="OP101" s="21"/>
      <c r="OQ101" s="21"/>
      <c r="OR101" s="21"/>
      <c r="OS101" s="21"/>
      <c r="OT101" s="21"/>
      <c r="OU101" s="21"/>
      <c r="OV101" s="21"/>
      <c r="OW101" s="21"/>
      <c r="OX101" s="21"/>
      <c r="OY101" s="21"/>
      <c r="OZ101" s="21"/>
      <c r="PA101" s="21"/>
      <c r="PB101" s="21"/>
      <c r="PC101" s="21"/>
      <c r="PD101" s="21"/>
      <c r="PE101" s="21"/>
      <c r="PF101" s="21"/>
      <c r="PG101" s="21"/>
      <c r="PH101" s="21"/>
      <c r="PI101" s="21"/>
      <c r="PJ101" s="21"/>
      <c r="PK101" s="21"/>
      <c r="PL101" s="21"/>
      <c r="PM101" s="21"/>
      <c r="PN101" s="21"/>
      <c r="PO101" s="21"/>
      <c r="PP101" s="21"/>
      <c r="PQ101" s="21"/>
      <c r="PR101" s="21"/>
      <c r="PS101" s="21"/>
      <c r="PT101" s="21"/>
      <c r="PU101" s="21"/>
      <c r="PV101" s="21"/>
      <c r="PW101" s="21"/>
      <c r="PX101" s="21"/>
      <c r="PY101" s="21"/>
      <c r="PZ101" s="21"/>
      <c r="QA101" s="21"/>
      <c r="QB101" s="21"/>
      <c r="QC101" s="21"/>
      <c r="QD101" s="21"/>
      <c r="QE101" s="21"/>
      <c r="QF101" s="21"/>
      <c r="QG101" s="21"/>
      <c r="QH101" s="21"/>
      <c r="QI101" s="21"/>
      <c r="QJ101" s="21"/>
      <c r="QK101" s="21"/>
      <c r="QL101" s="21"/>
      <c r="QM101" s="21"/>
      <c r="QN101" s="21"/>
      <c r="QO101" s="21"/>
      <c r="QP101" s="21"/>
      <c r="QQ101" s="21"/>
      <c r="QR101" s="21"/>
      <c r="QS101" s="21"/>
      <c r="QT101" s="21"/>
      <c r="QU101" s="21"/>
      <c r="QV101" s="21"/>
      <c r="QW101" s="21"/>
      <c r="QX101" s="21"/>
      <c r="QY101" s="21"/>
      <c r="QZ101" s="21"/>
      <c r="RA101" s="21"/>
      <c r="RB101" s="21"/>
      <c r="RC101" s="21"/>
      <c r="RD101" s="21"/>
      <c r="RE101" s="21"/>
      <c r="RF101" s="21"/>
      <c r="RG101" s="21"/>
      <c r="RH101" s="21"/>
      <c r="RI101" s="21"/>
      <c r="RJ101" s="21"/>
      <c r="RK101" s="21"/>
      <c r="RL101" s="21"/>
      <c r="RM101" s="21"/>
      <c r="RN101" s="21"/>
      <c r="RO101" s="21"/>
      <c r="RP101" s="21"/>
      <c r="RQ101" s="21"/>
      <c r="RR101" s="21"/>
      <c r="RS101" s="21"/>
      <c r="RT101" s="21"/>
      <c r="RU101" s="21"/>
      <c r="RV101" s="21"/>
      <c r="RW101" s="21"/>
      <c r="RX101" s="21"/>
      <c r="RY101" s="21"/>
      <c r="RZ101" s="21"/>
      <c r="SA101" s="21"/>
      <c r="SB101" s="21"/>
      <c r="SC101" s="21"/>
      <c r="SD101" s="21"/>
      <c r="SE101" s="21"/>
      <c r="SF101" s="21"/>
      <c r="SG101" s="21"/>
      <c r="SH101" s="21"/>
      <c r="SI101" s="21"/>
      <c r="SJ101" s="21"/>
      <c r="SK101" s="21"/>
      <c r="SL101" s="21"/>
      <c r="SM101" s="21"/>
      <c r="SN101" s="21"/>
      <c r="SO101" s="21"/>
      <c r="SP101" s="21"/>
      <c r="SQ101" s="21"/>
      <c r="SR101" s="21"/>
      <c r="SS101" s="21"/>
      <c r="ST101" s="21"/>
      <c r="SU101" s="21"/>
      <c r="SV101" s="21"/>
      <c r="SW101" s="21"/>
      <c r="SX101" s="21"/>
      <c r="SY101" s="21"/>
      <c r="SZ101" s="21"/>
      <c r="TA101" s="21"/>
      <c r="TB101" s="21"/>
      <c r="TC101" s="21"/>
      <c r="TD101" s="21"/>
      <c r="TE101" s="21"/>
      <c r="TF101" s="21"/>
      <c r="TG101" s="21"/>
      <c r="TH101" s="21"/>
      <c r="TI101" s="21"/>
      <c r="TJ101" s="21"/>
      <c r="TK101" s="21"/>
      <c r="TL101" s="21"/>
      <c r="TM101" s="21"/>
      <c r="TN101" s="21"/>
      <c r="TO101" s="21"/>
      <c r="TP101" s="21"/>
      <c r="TQ101" s="21"/>
      <c r="TR101" s="21"/>
      <c r="TS101" s="21"/>
      <c r="TT101" s="21"/>
      <c r="TU101" s="21"/>
      <c r="TV101" s="21"/>
      <c r="TW101" s="21"/>
      <c r="TX101" s="21"/>
      <c r="TY101" s="21"/>
      <c r="TZ101" s="21"/>
      <c r="UA101" s="21"/>
      <c r="UB101" s="21"/>
      <c r="UC101" s="21"/>
      <c r="UD101" s="21"/>
      <c r="UE101" s="21"/>
      <c r="UF101" s="21"/>
      <c r="UG101" s="21"/>
      <c r="UH101" s="21"/>
      <c r="UI101" s="21"/>
      <c r="UJ101" s="21"/>
      <c r="UK101" s="21"/>
      <c r="UL101" s="21"/>
      <c r="UM101" s="21"/>
      <c r="UN101" s="21"/>
      <c r="UO101" s="21"/>
      <c r="UP101" s="21"/>
      <c r="UQ101" s="21"/>
      <c r="UR101" s="21"/>
      <c r="US101" s="21"/>
      <c r="UT101" s="21"/>
      <c r="UU101" s="21"/>
      <c r="UV101" s="21"/>
      <c r="UW101" s="21"/>
      <c r="UX101" s="21"/>
      <c r="UY101" s="21"/>
      <c r="UZ101" s="21"/>
      <c r="VA101" s="21"/>
      <c r="VB101" s="21"/>
      <c r="VC101" s="21"/>
      <c r="VD101" s="21"/>
      <c r="VE101" s="21"/>
      <c r="VF101" s="21"/>
      <c r="VG101" s="21"/>
      <c r="VH101" s="21"/>
      <c r="VI101" s="21"/>
      <c r="VJ101" s="21"/>
      <c r="VK101" s="21"/>
      <c r="VL101" s="21"/>
      <c r="VM101" s="21"/>
      <c r="VN101" s="21"/>
      <c r="VO101" s="21"/>
      <c r="VP101" s="21"/>
      <c r="VQ101" s="21"/>
      <c r="VR101" s="21"/>
      <c r="VS101" s="21"/>
      <c r="VT101" s="21"/>
      <c r="VU101" s="21"/>
      <c r="VV101" s="21"/>
      <c r="VW101" s="21"/>
      <c r="VX101" s="21"/>
      <c r="VY101" s="21"/>
      <c r="VZ101" s="21"/>
      <c r="WA101" s="21"/>
      <c r="WB101" s="21"/>
      <c r="WC101" s="21"/>
      <c r="WD101" s="21"/>
      <c r="WE101" s="21"/>
      <c r="WF101" s="21"/>
      <c r="WG101" s="21"/>
      <c r="WH101" s="21"/>
      <c r="WI101" s="21"/>
      <c r="WJ101" s="21"/>
      <c r="WK101" s="21"/>
      <c r="WL101" s="21"/>
      <c r="WM101" s="21"/>
      <c r="WN101" s="21"/>
      <c r="WO101" s="21"/>
      <c r="WP101" s="21"/>
      <c r="WQ101" s="21"/>
      <c r="WR101" s="21"/>
      <c r="WS101" s="21"/>
      <c r="WT101" s="21"/>
      <c r="WU101" s="21"/>
      <c r="WV101" s="21"/>
      <c r="WW101" s="21"/>
      <c r="WX101" s="21"/>
      <c r="WY101" s="21"/>
      <c r="WZ101" s="21"/>
      <c r="XA101" s="21"/>
      <c r="XB101" s="21"/>
      <c r="XC101" s="21"/>
      <c r="XD101" s="21"/>
      <c r="XE101" s="21"/>
      <c r="XF101" s="21"/>
      <c r="XG101" s="21"/>
      <c r="XH101" s="21"/>
      <c r="XI101" s="21"/>
      <c r="XJ101" s="21"/>
      <c r="XK101" s="21"/>
      <c r="XL101" s="21"/>
      <c r="XM101" s="21"/>
      <c r="XN101" s="21"/>
      <c r="XO101" s="21"/>
      <c r="XP101" s="21"/>
      <c r="XQ101" s="21"/>
      <c r="XR101" s="21"/>
      <c r="XS101" s="21"/>
      <c r="XT101" s="21"/>
      <c r="XU101" s="21"/>
      <c r="XV101" s="21"/>
      <c r="XW101" s="21"/>
      <c r="XX101" s="21"/>
      <c r="XY101" s="21"/>
      <c r="XZ101" s="21"/>
      <c r="YA101" s="21"/>
      <c r="YB101" s="21"/>
      <c r="YC101" s="21"/>
      <c r="YD101" s="21"/>
      <c r="YE101" s="21"/>
      <c r="YF101" s="21"/>
      <c r="YG101" s="21"/>
      <c r="YH101" s="21"/>
      <c r="YI101" s="21"/>
      <c r="YJ101" s="21"/>
      <c r="YK101" s="21"/>
      <c r="YL101" s="21"/>
      <c r="YM101" s="21"/>
      <c r="YN101" s="21"/>
      <c r="YO101" s="21"/>
      <c r="YP101" s="21"/>
      <c r="YQ101" s="21"/>
      <c r="YR101" s="21"/>
      <c r="YS101" s="21"/>
      <c r="YT101" s="21"/>
      <c r="YU101" s="21"/>
      <c r="YV101" s="21"/>
      <c r="YW101" s="21"/>
      <c r="YX101" s="21"/>
      <c r="YY101" s="21"/>
      <c r="YZ101" s="21"/>
      <c r="ZA101" s="21"/>
      <c r="ZB101" s="21"/>
      <c r="ZC101" s="21"/>
      <c r="ZD101" s="21"/>
      <c r="ZE101" s="21"/>
      <c r="ZF101" s="21"/>
      <c r="ZG101" s="21"/>
      <c r="ZH101" s="21"/>
      <c r="ZI101" s="21"/>
      <c r="ZJ101" s="21"/>
      <c r="ZK101" s="21"/>
      <c r="ZL101" s="21"/>
      <c r="ZM101" s="21"/>
      <c r="ZN101" s="21"/>
      <c r="ZO101" s="21"/>
      <c r="ZP101" s="21"/>
      <c r="ZQ101" s="21"/>
      <c r="ZR101" s="21"/>
      <c r="ZS101" s="21"/>
      <c r="ZT101" s="21"/>
      <c r="ZU101" s="21"/>
      <c r="ZV101" s="21"/>
      <c r="ZW101" s="21"/>
      <c r="ZX101" s="21"/>
      <c r="ZY101" s="21"/>
      <c r="ZZ101" s="21"/>
      <c r="AAA101" s="21"/>
      <c r="AAB101" s="21"/>
      <c r="AAC101" s="21"/>
      <c r="AAD101" s="21"/>
      <c r="AAE101" s="21"/>
      <c r="AAF101" s="21"/>
      <c r="AAG101" s="21"/>
      <c r="AAH101" s="21"/>
      <c r="AAI101" s="21"/>
      <c r="AAJ101" s="21"/>
      <c r="AAK101" s="21"/>
      <c r="AAL101" s="21"/>
      <c r="AAM101" s="21"/>
      <c r="AAN101" s="21"/>
      <c r="AAO101" s="21"/>
      <c r="AAP101" s="21"/>
      <c r="AAQ101" s="21"/>
      <c r="AAR101" s="21"/>
      <c r="AAS101" s="21"/>
      <c r="AAT101" s="21"/>
      <c r="AAU101" s="21"/>
      <c r="AAV101" s="21"/>
      <c r="AAW101" s="21"/>
      <c r="AAX101" s="21"/>
      <c r="AAY101" s="21"/>
      <c r="AAZ101" s="21"/>
      <c r="ABA101" s="21"/>
      <c r="ABB101" s="21"/>
      <c r="ABC101" s="21"/>
      <c r="ABD101" s="21"/>
      <c r="ABE101" s="21"/>
      <c r="ABF101" s="21"/>
      <c r="ABG101" s="21"/>
      <c r="ABH101" s="21"/>
      <c r="ABI101" s="21"/>
      <c r="ABJ101" s="21"/>
      <c r="ABK101" s="21"/>
      <c r="ABL101" s="21"/>
      <c r="ABM101" s="21"/>
      <c r="ABN101" s="21"/>
      <c r="ABO101" s="21"/>
      <c r="ABP101" s="21"/>
      <c r="ABQ101" s="21"/>
      <c r="ABR101" s="21"/>
      <c r="ABS101" s="21"/>
      <c r="ABT101" s="21"/>
      <c r="ABU101" s="21"/>
      <c r="ABV101" s="21"/>
      <c r="ABW101" s="21"/>
      <c r="ABX101" s="21"/>
      <c r="ABY101" s="21"/>
      <c r="ABZ101" s="21"/>
      <c r="ACA101" s="21"/>
      <c r="ACB101" s="21"/>
      <c r="ACC101" s="21"/>
      <c r="ACD101" s="21"/>
      <c r="ACE101" s="21"/>
      <c r="ACF101" s="21"/>
      <c r="ACG101" s="21"/>
      <c r="ACH101" s="21"/>
      <c r="ACI101" s="21"/>
      <c r="ACJ101" s="21"/>
      <c r="ACK101" s="21"/>
      <c r="ACL101" s="21"/>
      <c r="ACM101" s="21"/>
      <c r="ACN101" s="21"/>
      <c r="ACO101" s="21"/>
      <c r="ACP101" s="21"/>
      <c r="ACQ101" s="21"/>
      <c r="ACR101" s="21"/>
      <c r="ACS101" s="21"/>
      <c r="ACT101" s="21"/>
      <c r="ACU101" s="21"/>
      <c r="ACV101" s="21"/>
      <c r="ACW101" s="21"/>
      <c r="ACX101" s="21"/>
      <c r="ACY101" s="21"/>
      <c r="ACZ101" s="21"/>
      <c r="ADA101" s="21"/>
      <c r="ADB101" s="21"/>
      <c r="ADC101" s="21"/>
      <c r="ADD101" s="21"/>
      <c r="ADE101" s="21"/>
      <c r="ADF101" s="21"/>
      <c r="ADG101" s="21"/>
      <c r="ADH101" s="21"/>
      <c r="ADI101" s="21"/>
      <c r="ADJ101" s="21"/>
      <c r="ADK101" s="21"/>
      <c r="ADL101" s="21"/>
      <c r="ADM101" s="21"/>
      <c r="ADN101" s="21"/>
      <c r="ADO101" s="21"/>
      <c r="ADP101" s="21"/>
      <c r="ADQ101" s="21"/>
      <c r="ADR101" s="21"/>
      <c r="ADS101" s="21"/>
      <c r="ADT101" s="21"/>
      <c r="ADU101" s="21"/>
      <c r="ADV101" s="21"/>
      <c r="ADW101" s="21"/>
      <c r="ADX101" s="21"/>
      <c r="ADY101" s="21"/>
      <c r="ADZ101" s="21"/>
      <c r="AEA101" s="21"/>
      <c r="AEB101" s="21"/>
      <c r="AEC101" s="21"/>
      <c r="AED101" s="21"/>
      <c r="AEE101" s="21"/>
      <c r="AEF101" s="21"/>
      <c r="AEG101" s="21"/>
      <c r="AEH101" s="21"/>
      <c r="AEI101" s="21"/>
      <c r="AEJ101" s="21"/>
      <c r="AEK101" s="21"/>
      <c r="AEL101" s="21"/>
      <c r="AEM101" s="21"/>
      <c r="AEN101" s="21"/>
      <c r="AEO101" s="21"/>
      <c r="AEP101" s="21"/>
      <c r="AEQ101" s="21"/>
      <c r="AER101" s="21"/>
      <c r="AES101" s="21"/>
      <c r="AET101" s="21"/>
      <c r="AEU101" s="21"/>
      <c r="AEV101" s="21"/>
      <c r="AEW101" s="21"/>
      <c r="AEX101" s="21"/>
      <c r="AEY101" s="21"/>
      <c r="AEZ101" s="21"/>
      <c r="AFA101" s="21"/>
      <c r="AFB101" s="21"/>
      <c r="AFC101" s="21"/>
      <c r="AFD101" s="21"/>
      <c r="AFE101" s="21"/>
      <c r="AFF101" s="21"/>
      <c r="AFG101" s="21"/>
      <c r="AFH101" s="21"/>
      <c r="AFI101" s="21"/>
      <c r="AFJ101" s="21"/>
      <c r="AFK101" s="21"/>
      <c r="AFL101" s="21"/>
      <c r="AFM101" s="21"/>
      <c r="AFN101" s="21"/>
      <c r="AFO101" s="21"/>
      <c r="AFP101" s="21"/>
      <c r="AFQ101" s="21"/>
      <c r="AFR101" s="21"/>
      <c r="AFS101" s="21"/>
      <c r="AFT101" s="21"/>
      <c r="AFU101" s="21"/>
      <c r="AFV101" s="21"/>
      <c r="AFW101" s="21"/>
      <c r="AFX101" s="21"/>
      <c r="AFY101" s="21"/>
      <c r="AFZ101" s="21"/>
      <c r="AGA101" s="21"/>
      <c r="AGB101" s="21"/>
      <c r="AGC101" s="21"/>
      <c r="AGD101" s="21"/>
      <c r="AGE101" s="21"/>
      <c r="AGF101" s="21"/>
      <c r="AGG101" s="21"/>
      <c r="AGH101" s="21"/>
      <c r="AGI101" s="21"/>
      <c r="AGJ101" s="21"/>
      <c r="AGK101" s="21"/>
      <c r="AGL101" s="21"/>
      <c r="AGM101" s="21"/>
      <c r="AGN101" s="21"/>
      <c r="AGO101" s="21"/>
      <c r="AGP101" s="21"/>
      <c r="AGQ101" s="21"/>
      <c r="AGR101" s="21"/>
      <c r="AGS101" s="21"/>
    </row>
    <row r="102" spans="1:877" ht="13">
      <c r="A102" s="12"/>
      <c r="B102" s="62" t="str">
        <f t="shared" si="35"/>
        <v>Facility 4 Assets</v>
      </c>
      <c r="C102" s="12"/>
      <c r="D102" s="12"/>
      <c r="E102" s="12"/>
      <c r="F102" s="55"/>
      <c r="G102" s="27">
        <f t="shared" ref="G102:CL102" si="43">MIN(F102+ IF(G$4&gt;=$D85,$C85/($E85*12),0),$C85)</f>
        <v>0</v>
      </c>
      <c r="H102" s="27">
        <f t="shared" si="43"/>
        <v>0</v>
      </c>
      <c r="I102" s="27">
        <f t="shared" si="43"/>
        <v>0</v>
      </c>
      <c r="J102" s="27">
        <f t="shared" si="43"/>
        <v>0</v>
      </c>
      <c r="K102" s="27">
        <f t="shared" si="43"/>
        <v>0</v>
      </c>
      <c r="L102" s="27">
        <f t="shared" si="43"/>
        <v>0</v>
      </c>
      <c r="M102" s="27">
        <f t="shared" si="43"/>
        <v>0</v>
      </c>
      <c r="N102" s="27">
        <f t="shared" si="43"/>
        <v>0</v>
      </c>
      <c r="O102" s="27">
        <f t="shared" si="43"/>
        <v>0</v>
      </c>
      <c r="P102" s="27">
        <f t="shared" si="43"/>
        <v>0</v>
      </c>
      <c r="Q102" s="27">
        <f t="shared" si="43"/>
        <v>0</v>
      </c>
      <c r="R102" s="27">
        <f t="shared" si="43"/>
        <v>0</v>
      </c>
      <c r="S102" s="27">
        <f t="shared" si="43"/>
        <v>0</v>
      </c>
      <c r="T102" s="27">
        <f t="shared" si="43"/>
        <v>0</v>
      </c>
      <c r="U102" s="27">
        <f t="shared" si="43"/>
        <v>0</v>
      </c>
      <c r="V102" s="27">
        <f t="shared" si="43"/>
        <v>0</v>
      </c>
      <c r="W102" s="27">
        <f t="shared" si="43"/>
        <v>0</v>
      </c>
      <c r="X102" s="27">
        <f t="shared" si="43"/>
        <v>0</v>
      </c>
      <c r="Y102" s="27">
        <f t="shared" si="43"/>
        <v>0</v>
      </c>
      <c r="Z102" s="27">
        <f t="shared" si="43"/>
        <v>0</v>
      </c>
      <c r="AA102" s="27">
        <f t="shared" si="43"/>
        <v>0</v>
      </c>
      <c r="AB102" s="27">
        <f t="shared" si="43"/>
        <v>0</v>
      </c>
      <c r="AC102" s="27">
        <f t="shared" si="43"/>
        <v>0</v>
      </c>
      <c r="AD102" s="27">
        <f t="shared" si="43"/>
        <v>0</v>
      </c>
      <c r="AE102" s="27">
        <f t="shared" si="43"/>
        <v>30000</v>
      </c>
      <c r="AF102" s="27">
        <f t="shared" si="43"/>
        <v>60000</v>
      </c>
      <c r="AG102" s="27">
        <f t="shared" si="43"/>
        <v>90000</v>
      </c>
      <c r="AH102" s="27">
        <f t="shared" si="43"/>
        <v>120000</v>
      </c>
      <c r="AI102" s="27">
        <f t="shared" si="43"/>
        <v>150000</v>
      </c>
      <c r="AJ102" s="27">
        <f t="shared" si="43"/>
        <v>180000</v>
      </c>
      <c r="AK102" s="27">
        <f t="shared" si="43"/>
        <v>210000</v>
      </c>
      <c r="AL102" s="27">
        <f t="shared" si="43"/>
        <v>240000</v>
      </c>
      <c r="AM102" s="27">
        <f t="shared" si="43"/>
        <v>270000</v>
      </c>
      <c r="AN102" s="27">
        <f t="shared" si="43"/>
        <v>300000</v>
      </c>
      <c r="AO102" s="27">
        <f t="shared" si="43"/>
        <v>330000</v>
      </c>
      <c r="AP102" s="27">
        <f t="shared" si="43"/>
        <v>360000</v>
      </c>
      <c r="AQ102" s="27">
        <f t="shared" si="43"/>
        <v>390000</v>
      </c>
      <c r="AR102" s="27">
        <f t="shared" si="43"/>
        <v>420000</v>
      </c>
      <c r="AS102" s="27">
        <f t="shared" si="43"/>
        <v>450000</v>
      </c>
      <c r="AT102" s="27">
        <f t="shared" si="43"/>
        <v>480000</v>
      </c>
      <c r="AU102" s="27">
        <f t="shared" si="43"/>
        <v>510000</v>
      </c>
      <c r="AV102" s="27">
        <f t="shared" si="43"/>
        <v>540000</v>
      </c>
      <c r="AW102" s="27">
        <f t="shared" si="43"/>
        <v>570000</v>
      </c>
      <c r="AX102" s="27">
        <f t="shared" si="43"/>
        <v>600000</v>
      </c>
      <c r="AY102" s="27">
        <f t="shared" si="43"/>
        <v>630000</v>
      </c>
      <c r="AZ102" s="27">
        <f t="shared" si="43"/>
        <v>660000</v>
      </c>
      <c r="BA102" s="27">
        <f t="shared" si="43"/>
        <v>690000</v>
      </c>
      <c r="BB102" s="27">
        <f t="shared" si="43"/>
        <v>720000</v>
      </c>
      <c r="BC102" s="27">
        <f t="shared" si="43"/>
        <v>750000</v>
      </c>
      <c r="BD102" s="27">
        <f t="shared" si="43"/>
        <v>780000</v>
      </c>
      <c r="BE102" s="27">
        <f t="shared" si="43"/>
        <v>810000</v>
      </c>
      <c r="BF102" s="27">
        <f t="shared" si="43"/>
        <v>840000</v>
      </c>
      <c r="BG102" s="27">
        <f t="shared" si="43"/>
        <v>870000</v>
      </c>
      <c r="BH102" s="27">
        <f t="shared" si="43"/>
        <v>900000</v>
      </c>
      <c r="BI102" s="27">
        <f t="shared" si="43"/>
        <v>930000</v>
      </c>
      <c r="BJ102" s="27">
        <f t="shared" si="43"/>
        <v>960000</v>
      </c>
      <c r="BK102" s="27">
        <f t="shared" si="43"/>
        <v>990000</v>
      </c>
      <c r="BL102" s="27">
        <f t="shared" si="43"/>
        <v>1020000</v>
      </c>
      <c r="BM102" s="27">
        <f t="shared" si="43"/>
        <v>1050000</v>
      </c>
      <c r="BN102" s="27">
        <f t="shared" si="43"/>
        <v>1080000</v>
      </c>
      <c r="BO102" s="27">
        <f t="shared" si="43"/>
        <v>1110000</v>
      </c>
      <c r="BP102" s="27">
        <f t="shared" si="43"/>
        <v>1140000</v>
      </c>
      <c r="BQ102" s="27">
        <f t="shared" si="43"/>
        <v>1170000</v>
      </c>
      <c r="BR102" s="27">
        <f t="shared" si="43"/>
        <v>1200000</v>
      </c>
      <c r="BS102" s="27">
        <f t="shared" si="43"/>
        <v>1230000</v>
      </c>
      <c r="BT102" s="27">
        <f t="shared" si="43"/>
        <v>1260000</v>
      </c>
      <c r="BU102" s="27">
        <f t="shared" si="43"/>
        <v>1290000</v>
      </c>
      <c r="BV102" s="27">
        <f t="shared" si="43"/>
        <v>1320000</v>
      </c>
      <c r="BW102" s="27">
        <f t="shared" si="43"/>
        <v>1350000</v>
      </c>
      <c r="BX102" s="27">
        <f t="shared" si="43"/>
        <v>1380000</v>
      </c>
      <c r="BY102" s="27">
        <f t="shared" si="43"/>
        <v>1410000</v>
      </c>
      <c r="BZ102" s="27">
        <f t="shared" si="43"/>
        <v>1440000</v>
      </c>
      <c r="CA102" s="27">
        <f t="shared" si="43"/>
        <v>1470000</v>
      </c>
      <c r="CB102" s="27">
        <f t="shared" si="43"/>
        <v>1500000</v>
      </c>
      <c r="CC102" s="27">
        <f t="shared" si="43"/>
        <v>1530000</v>
      </c>
      <c r="CD102" s="27">
        <f t="shared" si="43"/>
        <v>1560000</v>
      </c>
      <c r="CE102" s="27">
        <f t="shared" si="43"/>
        <v>1590000</v>
      </c>
      <c r="CF102" s="27">
        <f t="shared" si="43"/>
        <v>1620000</v>
      </c>
      <c r="CG102" s="27">
        <f t="shared" si="43"/>
        <v>1650000</v>
      </c>
      <c r="CH102" s="27">
        <f t="shared" si="43"/>
        <v>1680000</v>
      </c>
      <c r="CI102" s="27">
        <f t="shared" si="43"/>
        <v>1710000</v>
      </c>
      <c r="CJ102" s="27">
        <f t="shared" si="43"/>
        <v>1740000</v>
      </c>
      <c r="CK102" s="27">
        <f t="shared" si="43"/>
        <v>1770000</v>
      </c>
      <c r="CL102" s="27">
        <f t="shared" si="43"/>
        <v>1800000</v>
      </c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1"/>
      <c r="JV102" s="21"/>
      <c r="JW102" s="21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  <c r="KJ102" s="21"/>
      <c r="KK102" s="21"/>
      <c r="KL102" s="21"/>
      <c r="KM102" s="21"/>
      <c r="KN102" s="21"/>
      <c r="KO102" s="21"/>
      <c r="KP102" s="21"/>
      <c r="KQ102" s="21"/>
      <c r="KR102" s="21"/>
      <c r="KS102" s="21"/>
      <c r="KT102" s="21"/>
      <c r="KU102" s="21"/>
      <c r="KV102" s="21"/>
      <c r="KW102" s="21"/>
      <c r="KX102" s="21"/>
      <c r="KY102" s="21"/>
      <c r="KZ102" s="21"/>
      <c r="LA102" s="21"/>
      <c r="LB102" s="21"/>
      <c r="LC102" s="21"/>
      <c r="LD102" s="21"/>
      <c r="LE102" s="21"/>
      <c r="LF102" s="21"/>
      <c r="LG102" s="21"/>
      <c r="LH102" s="21"/>
      <c r="LI102" s="21"/>
      <c r="LJ102" s="21"/>
      <c r="LK102" s="21"/>
      <c r="LL102" s="21"/>
      <c r="LM102" s="21"/>
      <c r="LN102" s="21"/>
      <c r="LO102" s="21"/>
      <c r="LP102" s="21"/>
      <c r="LQ102" s="21"/>
      <c r="LR102" s="21"/>
      <c r="LS102" s="21"/>
      <c r="LT102" s="21"/>
      <c r="LU102" s="21"/>
      <c r="LV102" s="21"/>
      <c r="LW102" s="21"/>
      <c r="LX102" s="21"/>
      <c r="LY102" s="21"/>
      <c r="LZ102" s="21"/>
      <c r="MA102" s="21"/>
      <c r="MB102" s="21"/>
      <c r="MC102" s="21"/>
      <c r="MD102" s="21"/>
      <c r="ME102" s="21"/>
      <c r="MF102" s="21"/>
      <c r="MG102" s="21"/>
      <c r="MH102" s="21"/>
      <c r="MI102" s="21"/>
      <c r="MJ102" s="21"/>
      <c r="MK102" s="21"/>
      <c r="ML102" s="21"/>
      <c r="MM102" s="21"/>
      <c r="MN102" s="21"/>
      <c r="MO102" s="21"/>
      <c r="MP102" s="21"/>
      <c r="MQ102" s="21"/>
      <c r="MR102" s="21"/>
      <c r="MS102" s="21"/>
      <c r="MT102" s="21"/>
      <c r="MU102" s="21"/>
      <c r="MV102" s="21"/>
      <c r="MW102" s="21"/>
      <c r="MX102" s="21"/>
      <c r="MY102" s="21"/>
      <c r="MZ102" s="21"/>
      <c r="NA102" s="21"/>
      <c r="NB102" s="21"/>
      <c r="NC102" s="21"/>
      <c r="ND102" s="21"/>
      <c r="NE102" s="21"/>
      <c r="NF102" s="21"/>
      <c r="NG102" s="21"/>
      <c r="NH102" s="21"/>
      <c r="NI102" s="21"/>
      <c r="NJ102" s="21"/>
      <c r="NK102" s="21"/>
      <c r="NL102" s="21"/>
      <c r="NM102" s="21"/>
      <c r="NN102" s="21"/>
      <c r="NO102" s="21"/>
      <c r="NP102" s="21"/>
      <c r="NQ102" s="21"/>
      <c r="NR102" s="21"/>
      <c r="NS102" s="21"/>
      <c r="NT102" s="21"/>
      <c r="NU102" s="21"/>
      <c r="NV102" s="21"/>
      <c r="NW102" s="21"/>
      <c r="NX102" s="21"/>
      <c r="NY102" s="21"/>
      <c r="NZ102" s="21"/>
      <c r="OA102" s="21"/>
      <c r="OB102" s="21"/>
      <c r="OC102" s="21"/>
      <c r="OD102" s="21"/>
      <c r="OE102" s="21"/>
      <c r="OF102" s="21"/>
      <c r="OG102" s="21"/>
      <c r="OH102" s="21"/>
      <c r="OI102" s="21"/>
      <c r="OJ102" s="21"/>
      <c r="OK102" s="21"/>
      <c r="OL102" s="21"/>
      <c r="OM102" s="21"/>
      <c r="ON102" s="21"/>
      <c r="OO102" s="21"/>
      <c r="OP102" s="21"/>
      <c r="OQ102" s="21"/>
      <c r="OR102" s="21"/>
      <c r="OS102" s="21"/>
      <c r="OT102" s="21"/>
      <c r="OU102" s="21"/>
      <c r="OV102" s="21"/>
      <c r="OW102" s="21"/>
      <c r="OX102" s="21"/>
      <c r="OY102" s="21"/>
      <c r="OZ102" s="21"/>
      <c r="PA102" s="21"/>
      <c r="PB102" s="21"/>
      <c r="PC102" s="21"/>
      <c r="PD102" s="21"/>
      <c r="PE102" s="21"/>
      <c r="PF102" s="21"/>
      <c r="PG102" s="21"/>
      <c r="PH102" s="21"/>
      <c r="PI102" s="21"/>
      <c r="PJ102" s="21"/>
      <c r="PK102" s="21"/>
      <c r="PL102" s="21"/>
      <c r="PM102" s="21"/>
      <c r="PN102" s="21"/>
      <c r="PO102" s="21"/>
      <c r="PP102" s="21"/>
      <c r="PQ102" s="21"/>
      <c r="PR102" s="21"/>
      <c r="PS102" s="21"/>
      <c r="PT102" s="21"/>
      <c r="PU102" s="21"/>
      <c r="PV102" s="21"/>
      <c r="PW102" s="21"/>
      <c r="PX102" s="21"/>
      <c r="PY102" s="21"/>
      <c r="PZ102" s="21"/>
      <c r="QA102" s="21"/>
      <c r="QB102" s="21"/>
      <c r="QC102" s="21"/>
      <c r="QD102" s="21"/>
      <c r="QE102" s="21"/>
      <c r="QF102" s="21"/>
      <c r="QG102" s="21"/>
      <c r="QH102" s="21"/>
      <c r="QI102" s="21"/>
      <c r="QJ102" s="21"/>
      <c r="QK102" s="21"/>
      <c r="QL102" s="21"/>
      <c r="QM102" s="21"/>
      <c r="QN102" s="21"/>
      <c r="QO102" s="21"/>
      <c r="QP102" s="21"/>
      <c r="QQ102" s="21"/>
      <c r="QR102" s="21"/>
      <c r="QS102" s="21"/>
      <c r="QT102" s="21"/>
      <c r="QU102" s="21"/>
      <c r="QV102" s="21"/>
      <c r="QW102" s="21"/>
      <c r="QX102" s="21"/>
      <c r="QY102" s="21"/>
      <c r="QZ102" s="21"/>
      <c r="RA102" s="21"/>
      <c r="RB102" s="21"/>
      <c r="RC102" s="21"/>
      <c r="RD102" s="21"/>
      <c r="RE102" s="21"/>
      <c r="RF102" s="21"/>
      <c r="RG102" s="21"/>
      <c r="RH102" s="21"/>
      <c r="RI102" s="21"/>
      <c r="RJ102" s="21"/>
      <c r="RK102" s="21"/>
      <c r="RL102" s="21"/>
      <c r="RM102" s="21"/>
      <c r="RN102" s="21"/>
      <c r="RO102" s="21"/>
      <c r="RP102" s="21"/>
      <c r="RQ102" s="21"/>
      <c r="RR102" s="21"/>
      <c r="RS102" s="21"/>
      <c r="RT102" s="21"/>
      <c r="RU102" s="21"/>
      <c r="RV102" s="21"/>
      <c r="RW102" s="21"/>
      <c r="RX102" s="21"/>
      <c r="RY102" s="21"/>
      <c r="RZ102" s="21"/>
      <c r="SA102" s="21"/>
      <c r="SB102" s="21"/>
      <c r="SC102" s="21"/>
      <c r="SD102" s="21"/>
      <c r="SE102" s="21"/>
      <c r="SF102" s="21"/>
      <c r="SG102" s="21"/>
      <c r="SH102" s="21"/>
      <c r="SI102" s="21"/>
      <c r="SJ102" s="21"/>
      <c r="SK102" s="21"/>
      <c r="SL102" s="21"/>
      <c r="SM102" s="21"/>
      <c r="SN102" s="21"/>
      <c r="SO102" s="21"/>
      <c r="SP102" s="21"/>
      <c r="SQ102" s="21"/>
      <c r="SR102" s="21"/>
      <c r="SS102" s="21"/>
      <c r="ST102" s="21"/>
      <c r="SU102" s="21"/>
      <c r="SV102" s="21"/>
      <c r="SW102" s="21"/>
      <c r="SX102" s="21"/>
      <c r="SY102" s="21"/>
      <c r="SZ102" s="21"/>
      <c r="TA102" s="21"/>
      <c r="TB102" s="21"/>
      <c r="TC102" s="21"/>
      <c r="TD102" s="21"/>
      <c r="TE102" s="21"/>
      <c r="TF102" s="21"/>
      <c r="TG102" s="21"/>
      <c r="TH102" s="21"/>
      <c r="TI102" s="21"/>
      <c r="TJ102" s="21"/>
      <c r="TK102" s="21"/>
      <c r="TL102" s="21"/>
      <c r="TM102" s="21"/>
      <c r="TN102" s="21"/>
      <c r="TO102" s="21"/>
      <c r="TP102" s="21"/>
      <c r="TQ102" s="21"/>
      <c r="TR102" s="21"/>
      <c r="TS102" s="21"/>
      <c r="TT102" s="21"/>
      <c r="TU102" s="21"/>
      <c r="TV102" s="21"/>
      <c r="TW102" s="21"/>
      <c r="TX102" s="21"/>
      <c r="TY102" s="21"/>
      <c r="TZ102" s="21"/>
      <c r="UA102" s="21"/>
      <c r="UB102" s="21"/>
      <c r="UC102" s="21"/>
      <c r="UD102" s="21"/>
      <c r="UE102" s="21"/>
      <c r="UF102" s="21"/>
      <c r="UG102" s="21"/>
      <c r="UH102" s="21"/>
      <c r="UI102" s="21"/>
      <c r="UJ102" s="21"/>
      <c r="UK102" s="21"/>
      <c r="UL102" s="21"/>
      <c r="UM102" s="21"/>
      <c r="UN102" s="21"/>
      <c r="UO102" s="21"/>
      <c r="UP102" s="21"/>
      <c r="UQ102" s="21"/>
      <c r="UR102" s="21"/>
      <c r="US102" s="21"/>
      <c r="UT102" s="21"/>
      <c r="UU102" s="21"/>
      <c r="UV102" s="21"/>
      <c r="UW102" s="21"/>
      <c r="UX102" s="21"/>
      <c r="UY102" s="21"/>
      <c r="UZ102" s="21"/>
      <c r="VA102" s="21"/>
      <c r="VB102" s="21"/>
      <c r="VC102" s="21"/>
      <c r="VD102" s="21"/>
      <c r="VE102" s="21"/>
      <c r="VF102" s="21"/>
      <c r="VG102" s="21"/>
      <c r="VH102" s="21"/>
      <c r="VI102" s="21"/>
      <c r="VJ102" s="21"/>
      <c r="VK102" s="21"/>
      <c r="VL102" s="21"/>
      <c r="VM102" s="21"/>
      <c r="VN102" s="21"/>
      <c r="VO102" s="21"/>
      <c r="VP102" s="21"/>
      <c r="VQ102" s="21"/>
      <c r="VR102" s="21"/>
      <c r="VS102" s="21"/>
      <c r="VT102" s="21"/>
      <c r="VU102" s="21"/>
      <c r="VV102" s="21"/>
      <c r="VW102" s="21"/>
      <c r="VX102" s="21"/>
      <c r="VY102" s="21"/>
      <c r="VZ102" s="21"/>
      <c r="WA102" s="21"/>
      <c r="WB102" s="21"/>
      <c r="WC102" s="21"/>
      <c r="WD102" s="21"/>
      <c r="WE102" s="21"/>
      <c r="WF102" s="21"/>
      <c r="WG102" s="21"/>
      <c r="WH102" s="21"/>
      <c r="WI102" s="21"/>
      <c r="WJ102" s="21"/>
      <c r="WK102" s="21"/>
      <c r="WL102" s="21"/>
      <c r="WM102" s="21"/>
      <c r="WN102" s="21"/>
      <c r="WO102" s="21"/>
      <c r="WP102" s="21"/>
      <c r="WQ102" s="21"/>
      <c r="WR102" s="21"/>
      <c r="WS102" s="21"/>
      <c r="WT102" s="21"/>
      <c r="WU102" s="21"/>
      <c r="WV102" s="21"/>
      <c r="WW102" s="21"/>
      <c r="WX102" s="21"/>
      <c r="WY102" s="21"/>
      <c r="WZ102" s="21"/>
      <c r="XA102" s="21"/>
      <c r="XB102" s="21"/>
      <c r="XC102" s="21"/>
      <c r="XD102" s="21"/>
      <c r="XE102" s="21"/>
      <c r="XF102" s="21"/>
      <c r="XG102" s="21"/>
      <c r="XH102" s="21"/>
      <c r="XI102" s="21"/>
      <c r="XJ102" s="21"/>
      <c r="XK102" s="21"/>
      <c r="XL102" s="21"/>
      <c r="XM102" s="21"/>
      <c r="XN102" s="21"/>
      <c r="XO102" s="21"/>
      <c r="XP102" s="21"/>
      <c r="XQ102" s="21"/>
      <c r="XR102" s="21"/>
      <c r="XS102" s="21"/>
      <c r="XT102" s="21"/>
      <c r="XU102" s="21"/>
      <c r="XV102" s="21"/>
      <c r="XW102" s="21"/>
      <c r="XX102" s="21"/>
      <c r="XY102" s="21"/>
      <c r="XZ102" s="21"/>
      <c r="YA102" s="21"/>
      <c r="YB102" s="21"/>
      <c r="YC102" s="21"/>
      <c r="YD102" s="21"/>
      <c r="YE102" s="21"/>
      <c r="YF102" s="21"/>
      <c r="YG102" s="21"/>
      <c r="YH102" s="21"/>
      <c r="YI102" s="21"/>
      <c r="YJ102" s="21"/>
      <c r="YK102" s="21"/>
      <c r="YL102" s="21"/>
      <c r="YM102" s="21"/>
      <c r="YN102" s="21"/>
      <c r="YO102" s="21"/>
      <c r="YP102" s="21"/>
      <c r="YQ102" s="21"/>
      <c r="YR102" s="21"/>
      <c r="YS102" s="21"/>
      <c r="YT102" s="21"/>
      <c r="YU102" s="21"/>
      <c r="YV102" s="21"/>
      <c r="YW102" s="21"/>
      <c r="YX102" s="21"/>
      <c r="YY102" s="21"/>
      <c r="YZ102" s="21"/>
      <c r="ZA102" s="21"/>
      <c r="ZB102" s="21"/>
      <c r="ZC102" s="21"/>
      <c r="ZD102" s="21"/>
      <c r="ZE102" s="21"/>
      <c r="ZF102" s="21"/>
      <c r="ZG102" s="21"/>
      <c r="ZH102" s="21"/>
      <c r="ZI102" s="21"/>
      <c r="ZJ102" s="21"/>
      <c r="ZK102" s="21"/>
      <c r="ZL102" s="21"/>
      <c r="ZM102" s="21"/>
      <c r="ZN102" s="21"/>
      <c r="ZO102" s="21"/>
      <c r="ZP102" s="21"/>
      <c r="ZQ102" s="21"/>
      <c r="ZR102" s="21"/>
      <c r="ZS102" s="21"/>
      <c r="ZT102" s="21"/>
      <c r="ZU102" s="21"/>
      <c r="ZV102" s="21"/>
      <c r="ZW102" s="21"/>
      <c r="ZX102" s="21"/>
      <c r="ZY102" s="21"/>
      <c r="ZZ102" s="21"/>
      <c r="AAA102" s="21"/>
      <c r="AAB102" s="21"/>
      <c r="AAC102" s="21"/>
      <c r="AAD102" s="21"/>
      <c r="AAE102" s="21"/>
      <c r="AAF102" s="21"/>
      <c r="AAG102" s="21"/>
      <c r="AAH102" s="21"/>
      <c r="AAI102" s="21"/>
      <c r="AAJ102" s="21"/>
      <c r="AAK102" s="21"/>
      <c r="AAL102" s="21"/>
      <c r="AAM102" s="21"/>
      <c r="AAN102" s="21"/>
      <c r="AAO102" s="21"/>
      <c r="AAP102" s="21"/>
      <c r="AAQ102" s="21"/>
      <c r="AAR102" s="21"/>
      <c r="AAS102" s="21"/>
      <c r="AAT102" s="21"/>
      <c r="AAU102" s="21"/>
      <c r="AAV102" s="21"/>
      <c r="AAW102" s="21"/>
      <c r="AAX102" s="21"/>
      <c r="AAY102" s="21"/>
      <c r="AAZ102" s="21"/>
      <c r="ABA102" s="21"/>
      <c r="ABB102" s="21"/>
      <c r="ABC102" s="21"/>
      <c r="ABD102" s="21"/>
      <c r="ABE102" s="21"/>
      <c r="ABF102" s="21"/>
      <c r="ABG102" s="21"/>
      <c r="ABH102" s="21"/>
      <c r="ABI102" s="21"/>
      <c r="ABJ102" s="21"/>
      <c r="ABK102" s="21"/>
      <c r="ABL102" s="21"/>
      <c r="ABM102" s="21"/>
      <c r="ABN102" s="21"/>
      <c r="ABO102" s="21"/>
      <c r="ABP102" s="21"/>
      <c r="ABQ102" s="21"/>
      <c r="ABR102" s="21"/>
      <c r="ABS102" s="21"/>
      <c r="ABT102" s="21"/>
      <c r="ABU102" s="21"/>
      <c r="ABV102" s="21"/>
      <c r="ABW102" s="21"/>
      <c r="ABX102" s="21"/>
      <c r="ABY102" s="21"/>
      <c r="ABZ102" s="21"/>
      <c r="ACA102" s="21"/>
      <c r="ACB102" s="21"/>
      <c r="ACC102" s="21"/>
      <c r="ACD102" s="21"/>
      <c r="ACE102" s="21"/>
      <c r="ACF102" s="21"/>
      <c r="ACG102" s="21"/>
      <c r="ACH102" s="21"/>
      <c r="ACI102" s="21"/>
      <c r="ACJ102" s="21"/>
      <c r="ACK102" s="21"/>
      <c r="ACL102" s="21"/>
      <c r="ACM102" s="21"/>
      <c r="ACN102" s="21"/>
      <c r="ACO102" s="21"/>
      <c r="ACP102" s="21"/>
      <c r="ACQ102" s="21"/>
      <c r="ACR102" s="21"/>
      <c r="ACS102" s="21"/>
      <c r="ACT102" s="21"/>
      <c r="ACU102" s="21"/>
      <c r="ACV102" s="21"/>
      <c r="ACW102" s="21"/>
      <c r="ACX102" s="21"/>
      <c r="ACY102" s="21"/>
      <c r="ACZ102" s="21"/>
      <c r="ADA102" s="21"/>
      <c r="ADB102" s="21"/>
      <c r="ADC102" s="21"/>
      <c r="ADD102" s="21"/>
      <c r="ADE102" s="21"/>
      <c r="ADF102" s="21"/>
      <c r="ADG102" s="21"/>
      <c r="ADH102" s="21"/>
      <c r="ADI102" s="21"/>
      <c r="ADJ102" s="21"/>
      <c r="ADK102" s="21"/>
      <c r="ADL102" s="21"/>
      <c r="ADM102" s="21"/>
      <c r="ADN102" s="21"/>
      <c r="ADO102" s="21"/>
      <c r="ADP102" s="21"/>
      <c r="ADQ102" s="21"/>
      <c r="ADR102" s="21"/>
      <c r="ADS102" s="21"/>
      <c r="ADT102" s="21"/>
      <c r="ADU102" s="21"/>
      <c r="ADV102" s="21"/>
      <c r="ADW102" s="21"/>
      <c r="ADX102" s="21"/>
      <c r="ADY102" s="21"/>
      <c r="ADZ102" s="21"/>
      <c r="AEA102" s="21"/>
      <c r="AEB102" s="21"/>
      <c r="AEC102" s="21"/>
      <c r="AED102" s="21"/>
      <c r="AEE102" s="21"/>
      <c r="AEF102" s="21"/>
      <c r="AEG102" s="21"/>
      <c r="AEH102" s="21"/>
      <c r="AEI102" s="21"/>
      <c r="AEJ102" s="21"/>
      <c r="AEK102" s="21"/>
      <c r="AEL102" s="21"/>
      <c r="AEM102" s="21"/>
      <c r="AEN102" s="21"/>
      <c r="AEO102" s="21"/>
      <c r="AEP102" s="21"/>
      <c r="AEQ102" s="21"/>
      <c r="AER102" s="21"/>
      <c r="AES102" s="21"/>
      <c r="AET102" s="21"/>
      <c r="AEU102" s="21"/>
      <c r="AEV102" s="21"/>
      <c r="AEW102" s="21"/>
      <c r="AEX102" s="21"/>
      <c r="AEY102" s="21"/>
      <c r="AEZ102" s="21"/>
      <c r="AFA102" s="21"/>
      <c r="AFB102" s="21"/>
      <c r="AFC102" s="21"/>
      <c r="AFD102" s="21"/>
      <c r="AFE102" s="21"/>
      <c r="AFF102" s="21"/>
      <c r="AFG102" s="21"/>
      <c r="AFH102" s="21"/>
      <c r="AFI102" s="21"/>
      <c r="AFJ102" s="21"/>
      <c r="AFK102" s="21"/>
      <c r="AFL102" s="21"/>
      <c r="AFM102" s="21"/>
      <c r="AFN102" s="21"/>
      <c r="AFO102" s="21"/>
      <c r="AFP102" s="21"/>
      <c r="AFQ102" s="21"/>
      <c r="AFR102" s="21"/>
      <c r="AFS102" s="21"/>
      <c r="AFT102" s="21"/>
      <c r="AFU102" s="21"/>
      <c r="AFV102" s="21"/>
      <c r="AFW102" s="21"/>
      <c r="AFX102" s="21"/>
      <c r="AFY102" s="21"/>
      <c r="AFZ102" s="21"/>
      <c r="AGA102" s="21"/>
      <c r="AGB102" s="21"/>
      <c r="AGC102" s="21"/>
      <c r="AGD102" s="21"/>
      <c r="AGE102" s="21"/>
      <c r="AGF102" s="21"/>
      <c r="AGG102" s="21"/>
      <c r="AGH102" s="21"/>
      <c r="AGI102" s="21"/>
      <c r="AGJ102" s="21"/>
      <c r="AGK102" s="21"/>
      <c r="AGL102" s="21"/>
      <c r="AGM102" s="21"/>
      <c r="AGN102" s="21"/>
      <c r="AGO102" s="21"/>
      <c r="AGP102" s="21"/>
      <c r="AGQ102" s="21"/>
      <c r="AGR102" s="21"/>
      <c r="AGS102" s="21"/>
    </row>
    <row r="103" spans="1:877" ht="13">
      <c r="A103" s="12"/>
      <c r="B103" s="62" t="str">
        <f t="shared" si="35"/>
        <v>Facility 4 Assets Expansion 1</v>
      </c>
      <c r="C103" s="12"/>
      <c r="D103" s="12"/>
      <c r="E103" s="12"/>
      <c r="F103" s="55"/>
      <c r="G103" s="27">
        <f t="shared" ref="G103:CL103" si="44">MIN(F103+ IF(G$4&gt;=$D86,$C86/($E86*12),0),$C86)</f>
        <v>0</v>
      </c>
      <c r="H103" s="27">
        <f t="shared" si="44"/>
        <v>0</v>
      </c>
      <c r="I103" s="27">
        <f t="shared" si="44"/>
        <v>0</v>
      </c>
      <c r="J103" s="27">
        <f t="shared" si="44"/>
        <v>0</v>
      </c>
      <c r="K103" s="27">
        <f t="shared" si="44"/>
        <v>0</v>
      </c>
      <c r="L103" s="27">
        <f t="shared" si="44"/>
        <v>0</v>
      </c>
      <c r="M103" s="27">
        <f t="shared" si="44"/>
        <v>0</v>
      </c>
      <c r="N103" s="27">
        <f t="shared" si="44"/>
        <v>0</v>
      </c>
      <c r="O103" s="27">
        <f t="shared" si="44"/>
        <v>0</v>
      </c>
      <c r="P103" s="27">
        <f t="shared" si="44"/>
        <v>0</v>
      </c>
      <c r="Q103" s="27">
        <f t="shared" si="44"/>
        <v>0</v>
      </c>
      <c r="R103" s="27">
        <f t="shared" si="44"/>
        <v>0</v>
      </c>
      <c r="S103" s="27">
        <f t="shared" si="44"/>
        <v>0</v>
      </c>
      <c r="T103" s="27">
        <f t="shared" si="44"/>
        <v>0</v>
      </c>
      <c r="U103" s="27">
        <f t="shared" si="44"/>
        <v>0</v>
      </c>
      <c r="V103" s="27">
        <f t="shared" si="44"/>
        <v>0</v>
      </c>
      <c r="W103" s="27">
        <f t="shared" si="44"/>
        <v>0</v>
      </c>
      <c r="X103" s="27">
        <f t="shared" si="44"/>
        <v>0</v>
      </c>
      <c r="Y103" s="27">
        <f t="shared" si="44"/>
        <v>0</v>
      </c>
      <c r="Z103" s="27">
        <f t="shared" si="44"/>
        <v>0</v>
      </c>
      <c r="AA103" s="27">
        <f t="shared" si="44"/>
        <v>0</v>
      </c>
      <c r="AB103" s="27">
        <f t="shared" si="44"/>
        <v>0</v>
      </c>
      <c r="AC103" s="27">
        <f t="shared" si="44"/>
        <v>0</v>
      </c>
      <c r="AD103" s="27">
        <f t="shared" si="44"/>
        <v>0</v>
      </c>
      <c r="AE103" s="27">
        <f t="shared" si="44"/>
        <v>0</v>
      </c>
      <c r="AF103" s="27">
        <f t="shared" si="44"/>
        <v>0</v>
      </c>
      <c r="AG103" s="27">
        <f t="shared" si="44"/>
        <v>0</v>
      </c>
      <c r="AH103" s="27">
        <f t="shared" si="44"/>
        <v>0</v>
      </c>
      <c r="AI103" s="27">
        <f t="shared" si="44"/>
        <v>0</v>
      </c>
      <c r="AJ103" s="27">
        <f t="shared" si="44"/>
        <v>0</v>
      </c>
      <c r="AK103" s="27">
        <f t="shared" si="44"/>
        <v>0</v>
      </c>
      <c r="AL103" s="27">
        <f t="shared" si="44"/>
        <v>0</v>
      </c>
      <c r="AM103" s="27">
        <f t="shared" si="44"/>
        <v>0</v>
      </c>
      <c r="AN103" s="27">
        <f t="shared" si="44"/>
        <v>0</v>
      </c>
      <c r="AO103" s="27">
        <f t="shared" si="44"/>
        <v>0</v>
      </c>
      <c r="AP103" s="27">
        <f t="shared" si="44"/>
        <v>0</v>
      </c>
      <c r="AQ103" s="27">
        <f t="shared" si="44"/>
        <v>13888.888888888889</v>
      </c>
      <c r="AR103" s="27">
        <f t="shared" si="44"/>
        <v>27777.777777777777</v>
      </c>
      <c r="AS103" s="27">
        <f t="shared" si="44"/>
        <v>41666.666666666664</v>
      </c>
      <c r="AT103" s="27">
        <f t="shared" si="44"/>
        <v>55555.555555555555</v>
      </c>
      <c r="AU103" s="27">
        <f t="shared" si="44"/>
        <v>69444.444444444438</v>
      </c>
      <c r="AV103" s="27">
        <f t="shared" si="44"/>
        <v>83333.333333333328</v>
      </c>
      <c r="AW103" s="27">
        <f t="shared" si="44"/>
        <v>97222.222222222219</v>
      </c>
      <c r="AX103" s="27">
        <f t="shared" si="44"/>
        <v>111111.11111111111</v>
      </c>
      <c r="AY103" s="27">
        <f t="shared" si="44"/>
        <v>125000</v>
      </c>
      <c r="AZ103" s="27">
        <f t="shared" si="44"/>
        <v>138888.88888888888</v>
      </c>
      <c r="BA103" s="27">
        <f t="shared" si="44"/>
        <v>152777.77777777775</v>
      </c>
      <c r="BB103" s="27">
        <f t="shared" si="44"/>
        <v>166666.66666666663</v>
      </c>
      <c r="BC103" s="27">
        <f t="shared" si="44"/>
        <v>180555.5555555555</v>
      </c>
      <c r="BD103" s="27">
        <f t="shared" si="44"/>
        <v>194444.44444444438</v>
      </c>
      <c r="BE103" s="27">
        <f t="shared" si="44"/>
        <v>208333.33333333326</v>
      </c>
      <c r="BF103" s="27">
        <f t="shared" si="44"/>
        <v>222222.22222222213</v>
      </c>
      <c r="BG103" s="27">
        <f t="shared" si="44"/>
        <v>236111.11111111101</v>
      </c>
      <c r="BH103" s="27">
        <f t="shared" si="44"/>
        <v>249999.99999999988</v>
      </c>
      <c r="BI103" s="27">
        <f t="shared" si="44"/>
        <v>263888.88888888876</v>
      </c>
      <c r="BJ103" s="27">
        <f t="shared" si="44"/>
        <v>277777.77777777764</v>
      </c>
      <c r="BK103" s="27">
        <f t="shared" si="44"/>
        <v>291666.66666666651</v>
      </c>
      <c r="BL103" s="27">
        <f t="shared" si="44"/>
        <v>305555.55555555539</v>
      </c>
      <c r="BM103" s="27">
        <f t="shared" si="44"/>
        <v>319444.44444444426</v>
      </c>
      <c r="BN103" s="27">
        <f t="shared" si="44"/>
        <v>333333.33333333314</v>
      </c>
      <c r="BO103" s="27">
        <f t="shared" si="44"/>
        <v>347222.22222222202</v>
      </c>
      <c r="BP103" s="27">
        <f t="shared" si="44"/>
        <v>361111.11111111089</v>
      </c>
      <c r="BQ103" s="27">
        <f t="shared" si="44"/>
        <v>374999.99999999977</v>
      </c>
      <c r="BR103" s="27">
        <f t="shared" si="44"/>
        <v>388888.88888888864</v>
      </c>
      <c r="BS103" s="27">
        <f t="shared" si="44"/>
        <v>402777.77777777752</v>
      </c>
      <c r="BT103" s="27">
        <f t="shared" si="44"/>
        <v>416666.6666666664</v>
      </c>
      <c r="BU103" s="27">
        <f t="shared" si="44"/>
        <v>430555.55555555527</v>
      </c>
      <c r="BV103" s="27">
        <f t="shared" si="44"/>
        <v>444444.44444444415</v>
      </c>
      <c r="BW103" s="27">
        <f t="shared" si="44"/>
        <v>458333.33333333302</v>
      </c>
      <c r="BX103" s="27">
        <f t="shared" si="44"/>
        <v>472222.2222222219</v>
      </c>
      <c r="BY103" s="27">
        <f t="shared" si="44"/>
        <v>486111.11111111077</v>
      </c>
      <c r="BZ103" s="27">
        <f t="shared" si="44"/>
        <v>499999.99999999965</v>
      </c>
      <c r="CA103" s="27">
        <f t="shared" si="44"/>
        <v>513888.88888888853</v>
      </c>
      <c r="CB103" s="27">
        <f t="shared" si="44"/>
        <v>527777.7777777774</v>
      </c>
      <c r="CC103" s="27">
        <f t="shared" si="44"/>
        <v>541666.66666666628</v>
      </c>
      <c r="CD103" s="27">
        <f t="shared" si="44"/>
        <v>555555.55555555515</v>
      </c>
      <c r="CE103" s="27">
        <f t="shared" si="44"/>
        <v>569444.44444444403</v>
      </c>
      <c r="CF103" s="27">
        <f t="shared" si="44"/>
        <v>583333.33333333291</v>
      </c>
      <c r="CG103" s="27">
        <f t="shared" si="44"/>
        <v>597222.22222222178</v>
      </c>
      <c r="CH103" s="27">
        <f t="shared" si="44"/>
        <v>611111.11111111066</v>
      </c>
      <c r="CI103" s="27">
        <f t="shared" si="44"/>
        <v>624999.99999999953</v>
      </c>
      <c r="CJ103" s="27">
        <f t="shared" si="44"/>
        <v>638888.88888888841</v>
      </c>
      <c r="CK103" s="27">
        <f t="shared" si="44"/>
        <v>652777.77777777729</v>
      </c>
      <c r="CL103" s="27">
        <f t="shared" si="44"/>
        <v>666666.66666666616</v>
      </c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1"/>
      <c r="JV103" s="21"/>
      <c r="JW103" s="21"/>
      <c r="JX103" s="21"/>
      <c r="JY103" s="21"/>
      <c r="JZ103" s="21"/>
      <c r="KA103" s="21"/>
      <c r="KB103" s="21"/>
      <c r="KC103" s="21"/>
      <c r="KD103" s="21"/>
      <c r="KE103" s="21"/>
      <c r="KF103" s="21"/>
      <c r="KG103" s="21"/>
      <c r="KH103" s="21"/>
      <c r="KI103" s="21"/>
      <c r="KJ103" s="21"/>
      <c r="KK103" s="21"/>
      <c r="KL103" s="21"/>
      <c r="KM103" s="21"/>
      <c r="KN103" s="21"/>
      <c r="KO103" s="21"/>
      <c r="KP103" s="21"/>
      <c r="KQ103" s="21"/>
      <c r="KR103" s="21"/>
      <c r="KS103" s="21"/>
      <c r="KT103" s="21"/>
      <c r="KU103" s="21"/>
      <c r="KV103" s="21"/>
      <c r="KW103" s="21"/>
      <c r="KX103" s="21"/>
      <c r="KY103" s="21"/>
      <c r="KZ103" s="21"/>
      <c r="LA103" s="21"/>
      <c r="LB103" s="21"/>
      <c r="LC103" s="21"/>
      <c r="LD103" s="21"/>
      <c r="LE103" s="21"/>
      <c r="LF103" s="21"/>
      <c r="LG103" s="21"/>
      <c r="LH103" s="21"/>
      <c r="LI103" s="21"/>
      <c r="LJ103" s="21"/>
      <c r="LK103" s="21"/>
      <c r="LL103" s="21"/>
      <c r="LM103" s="21"/>
      <c r="LN103" s="21"/>
      <c r="LO103" s="21"/>
      <c r="LP103" s="21"/>
      <c r="LQ103" s="21"/>
      <c r="LR103" s="21"/>
      <c r="LS103" s="21"/>
      <c r="LT103" s="21"/>
      <c r="LU103" s="21"/>
      <c r="LV103" s="21"/>
      <c r="LW103" s="21"/>
      <c r="LX103" s="21"/>
      <c r="LY103" s="21"/>
      <c r="LZ103" s="21"/>
      <c r="MA103" s="21"/>
      <c r="MB103" s="21"/>
      <c r="MC103" s="21"/>
      <c r="MD103" s="21"/>
      <c r="ME103" s="21"/>
      <c r="MF103" s="21"/>
      <c r="MG103" s="21"/>
      <c r="MH103" s="21"/>
      <c r="MI103" s="21"/>
      <c r="MJ103" s="21"/>
      <c r="MK103" s="21"/>
      <c r="ML103" s="21"/>
      <c r="MM103" s="21"/>
      <c r="MN103" s="21"/>
      <c r="MO103" s="21"/>
      <c r="MP103" s="21"/>
      <c r="MQ103" s="21"/>
      <c r="MR103" s="21"/>
      <c r="MS103" s="21"/>
      <c r="MT103" s="21"/>
      <c r="MU103" s="21"/>
      <c r="MV103" s="21"/>
      <c r="MW103" s="21"/>
      <c r="MX103" s="21"/>
      <c r="MY103" s="21"/>
      <c r="MZ103" s="21"/>
      <c r="NA103" s="21"/>
      <c r="NB103" s="21"/>
      <c r="NC103" s="21"/>
      <c r="ND103" s="21"/>
      <c r="NE103" s="21"/>
      <c r="NF103" s="21"/>
      <c r="NG103" s="21"/>
      <c r="NH103" s="21"/>
      <c r="NI103" s="21"/>
      <c r="NJ103" s="21"/>
      <c r="NK103" s="21"/>
      <c r="NL103" s="21"/>
      <c r="NM103" s="21"/>
      <c r="NN103" s="21"/>
      <c r="NO103" s="21"/>
      <c r="NP103" s="21"/>
      <c r="NQ103" s="21"/>
      <c r="NR103" s="21"/>
      <c r="NS103" s="21"/>
      <c r="NT103" s="21"/>
      <c r="NU103" s="21"/>
      <c r="NV103" s="21"/>
      <c r="NW103" s="21"/>
      <c r="NX103" s="21"/>
      <c r="NY103" s="21"/>
      <c r="NZ103" s="21"/>
      <c r="OA103" s="21"/>
      <c r="OB103" s="21"/>
      <c r="OC103" s="21"/>
      <c r="OD103" s="21"/>
      <c r="OE103" s="21"/>
      <c r="OF103" s="21"/>
      <c r="OG103" s="21"/>
      <c r="OH103" s="21"/>
      <c r="OI103" s="21"/>
      <c r="OJ103" s="21"/>
      <c r="OK103" s="21"/>
      <c r="OL103" s="21"/>
      <c r="OM103" s="21"/>
      <c r="ON103" s="21"/>
      <c r="OO103" s="21"/>
      <c r="OP103" s="21"/>
      <c r="OQ103" s="21"/>
      <c r="OR103" s="21"/>
      <c r="OS103" s="21"/>
      <c r="OT103" s="21"/>
      <c r="OU103" s="21"/>
      <c r="OV103" s="21"/>
      <c r="OW103" s="21"/>
      <c r="OX103" s="21"/>
      <c r="OY103" s="21"/>
      <c r="OZ103" s="21"/>
      <c r="PA103" s="21"/>
      <c r="PB103" s="21"/>
      <c r="PC103" s="21"/>
      <c r="PD103" s="21"/>
      <c r="PE103" s="21"/>
      <c r="PF103" s="21"/>
      <c r="PG103" s="21"/>
      <c r="PH103" s="21"/>
      <c r="PI103" s="21"/>
      <c r="PJ103" s="21"/>
      <c r="PK103" s="21"/>
      <c r="PL103" s="21"/>
      <c r="PM103" s="21"/>
      <c r="PN103" s="21"/>
      <c r="PO103" s="21"/>
      <c r="PP103" s="21"/>
      <c r="PQ103" s="21"/>
      <c r="PR103" s="21"/>
      <c r="PS103" s="21"/>
      <c r="PT103" s="21"/>
      <c r="PU103" s="21"/>
      <c r="PV103" s="21"/>
      <c r="PW103" s="21"/>
      <c r="PX103" s="21"/>
      <c r="PY103" s="21"/>
      <c r="PZ103" s="21"/>
      <c r="QA103" s="21"/>
      <c r="QB103" s="21"/>
      <c r="QC103" s="21"/>
      <c r="QD103" s="21"/>
      <c r="QE103" s="21"/>
      <c r="QF103" s="21"/>
      <c r="QG103" s="21"/>
      <c r="QH103" s="21"/>
      <c r="QI103" s="21"/>
      <c r="QJ103" s="21"/>
      <c r="QK103" s="21"/>
      <c r="QL103" s="21"/>
      <c r="QM103" s="21"/>
      <c r="QN103" s="21"/>
      <c r="QO103" s="21"/>
      <c r="QP103" s="21"/>
      <c r="QQ103" s="21"/>
      <c r="QR103" s="21"/>
      <c r="QS103" s="21"/>
      <c r="QT103" s="21"/>
      <c r="QU103" s="21"/>
      <c r="QV103" s="21"/>
      <c r="QW103" s="21"/>
      <c r="QX103" s="21"/>
      <c r="QY103" s="21"/>
      <c r="QZ103" s="21"/>
      <c r="RA103" s="21"/>
      <c r="RB103" s="21"/>
      <c r="RC103" s="21"/>
      <c r="RD103" s="21"/>
      <c r="RE103" s="21"/>
      <c r="RF103" s="21"/>
      <c r="RG103" s="21"/>
      <c r="RH103" s="21"/>
      <c r="RI103" s="21"/>
      <c r="RJ103" s="21"/>
      <c r="RK103" s="21"/>
      <c r="RL103" s="21"/>
      <c r="RM103" s="21"/>
      <c r="RN103" s="21"/>
      <c r="RO103" s="21"/>
      <c r="RP103" s="21"/>
      <c r="RQ103" s="21"/>
      <c r="RR103" s="21"/>
      <c r="RS103" s="21"/>
      <c r="RT103" s="21"/>
      <c r="RU103" s="21"/>
      <c r="RV103" s="21"/>
      <c r="RW103" s="21"/>
      <c r="RX103" s="21"/>
      <c r="RY103" s="21"/>
      <c r="RZ103" s="21"/>
      <c r="SA103" s="21"/>
      <c r="SB103" s="21"/>
      <c r="SC103" s="21"/>
      <c r="SD103" s="21"/>
      <c r="SE103" s="21"/>
      <c r="SF103" s="21"/>
      <c r="SG103" s="21"/>
      <c r="SH103" s="21"/>
      <c r="SI103" s="21"/>
      <c r="SJ103" s="21"/>
      <c r="SK103" s="21"/>
      <c r="SL103" s="21"/>
      <c r="SM103" s="21"/>
      <c r="SN103" s="21"/>
      <c r="SO103" s="21"/>
      <c r="SP103" s="21"/>
      <c r="SQ103" s="21"/>
      <c r="SR103" s="21"/>
      <c r="SS103" s="21"/>
      <c r="ST103" s="21"/>
      <c r="SU103" s="21"/>
      <c r="SV103" s="21"/>
      <c r="SW103" s="21"/>
      <c r="SX103" s="21"/>
      <c r="SY103" s="21"/>
      <c r="SZ103" s="21"/>
      <c r="TA103" s="21"/>
      <c r="TB103" s="21"/>
      <c r="TC103" s="21"/>
      <c r="TD103" s="21"/>
      <c r="TE103" s="21"/>
      <c r="TF103" s="21"/>
      <c r="TG103" s="21"/>
      <c r="TH103" s="21"/>
      <c r="TI103" s="21"/>
      <c r="TJ103" s="21"/>
      <c r="TK103" s="21"/>
      <c r="TL103" s="21"/>
      <c r="TM103" s="21"/>
      <c r="TN103" s="21"/>
      <c r="TO103" s="21"/>
      <c r="TP103" s="21"/>
      <c r="TQ103" s="21"/>
      <c r="TR103" s="21"/>
      <c r="TS103" s="21"/>
      <c r="TT103" s="21"/>
      <c r="TU103" s="21"/>
      <c r="TV103" s="21"/>
      <c r="TW103" s="21"/>
      <c r="TX103" s="21"/>
      <c r="TY103" s="21"/>
      <c r="TZ103" s="21"/>
      <c r="UA103" s="21"/>
      <c r="UB103" s="21"/>
      <c r="UC103" s="21"/>
      <c r="UD103" s="21"/>
      <c r="UE103" s="21"/>
      <c r="UF103" s="21"/>
      <c r="UG103" s="21"/>
      <c r="UH103" s="21"/>
      <c r="UI103" s="21"/>
      <c r="UJ103" s="21"/>
      <c r="UK103" s="21"/>
      <c r="UL103" s="21"/>
      <c r="UM103" s="21"/>
      <c r="UN103" s="21"/>
      <c r="UO103" s="21"/>
      <c r="UP103" s="21"/>
      <c r="UQ103" s="21"/>
      <c r="UR103" s="21"/>
      <c r="US103" s="21"/>
      <c r="UT103" s="21"/>
      <c r="UU103" s="21"/>
      <c r="UV103" s="21"/>
      <c r="UW103" s="21"/>
      <c r="UX103" s="21"/>
      <c r="UY103" s="21"/>
      <c r="UZ103" s="21"/>
      <c r="VA103" s="21"/>
      <c r="VB103" s="21"/>
      <c r="VC103" s="21"/>
      <c r="VD103" s="21"/>
      <c r="VE103" s="21"/>
      <c r="VF103" s="21"/>
      <c r="VG103" s="21"/>
      <c r="VH103" s="21"/>
      <c r="VI103" s="21"/>
      <c r="VJ103" s="21"/>
      <c r="VK103" s="21"/>
      <c r="VL103" s="21"/>
      <c r="VM103" s="21"/>
      <c r="VN103" s="21"/>
      <c r="VO103" s="21"/>
      <c r="VP103" s="21"/>
      <c r="VQ103" s="21"/>
      <c r="VR103" s="21"/>
      <c r="VS103" s="21"/>
      <c r="VT103" s="21"/>
      <c r="VU103" s="21"/>
      <c r="VV103" s="21"/>
      <c r="VW103" s="21"/>
      <c r="VX103" s="21"/>
      <c r="VY103" s="21"/>
      <c r="VZ103" s="21"/>
      <c r="WA103" s="21"/>
      <c r="WB103" s="21"/>
      <c r="WC103" s="21"/>
      <c r="WD103" s="21"/>
      <c r="WE103" s="21"/>
      <c r="WF103" s="21"/>
      <c r="WG103" s="21"/>
      <c r="WH103" s="21"/>
      <c r="WI103" s="21"/>
      <c r="WJ103" s="21"/>
      <c r="WK103" s="21"/>
      <c r="WL103" s="21"/>
      <c r="WM103" s="21"/>
      <c r="WN103" s="21"/>
      <c r="WO103" s="21"/>
      <c r="WP103" s="21"/>
      <c r="WQ103" s="21"/>
      <c r="WR103" s="21"/>
      <c r="WS103" s="21"/>
      <c r="WT103" s="21"/>
      <c r="WU103" s="21"/>
      <c r="WV103" s="21"/>
      <c r="WW103" s="21"/>
      <c r="WX103" s="21"/>
      <c r="WY103" s="21"/>
      <c r="WZ103" s="21"/>
      <c r="XA103" s="21"/>
      <c r="XB103" s="21"/>
      <c r="XC103" s="21"/>
      <c r="XD103" s="21"/>
      <c r="XE103" s="21"/>
      <c r="XF103" s="21"/>
      <c r="XG103" s="21"/>
      <c r="XH103" s="21"/>
      <c r="XI103" s="21"/>
      <c r="XJ103" s="21"/>
      <c r="XK103" s="21"/>
      <c r="XL103" s="21"/>
      <c r="XM103" s="21"/>
      <c r="XN103" s="21"/>
      <c r="XO103" s="21"/>
      <c r="XP103" s="21"/>
      <c r="XQ103" s="21"/>
      <c r="XR103" s="21"/>
      <c r="XS103" s="21"/>
      <c r="XT103" s="21"/>
      <c r="XU103" s="21"/>
      <c r="XV103" s="21"/>
      <c r="XW103" s="21"/>
      <c r="XX103" s="21"/>
      <c r="XY103" s="21"/>
      <c r="XZ103" s="21"/>
      <c r="YA103" s="21"/>
      <c r="YB103" s="21"/>
      <c r="YC103" s="21"/>
      <c r="YD103" s="21"/>
      <c r="YE103" s="21"/>
      <c r="YF103" s="21"/>
      <c r="YG103" s="21"/>
      <c r="YH103" s="21"/>
      <c r="YI103" s="21"/>
      <c r="YJ103" s="21"/>
      <c r="YK103" s="21"/>
      <c r="YL103" s="21"/>
      <c r="YM103" s="21"/>
      <c r="YN103" s="21"/>
      <c r="YO103" s="21"/>
      <c r="YP103" s="21"/>
      <c r="YQ103" s="21"/>
      <c r="YR103" s="21"/>
      <c r="YS103" s="21"/>
      <c r="YT103" s="21"/>
      <c r="YU103" s="21"/>
      <c r="YV103" s="21"/>
      <c r="YW103" s="21"/>
      <c r="YX103" s="21"/>
      <c r="YY103" s="21"/>
      <c r="YZ103" s="21"/>
      <c r="ZA103" s="21"/>
      <c r="ZB103" s="21"/>
      <c r="ZC103" s="21"/>
      <c r="ZD103" s="21"/>
      <c r="ZE103" s="21"/>
      <c r="ZF103" s="21"/>
      <c r="ZG103" s="21"/>
      <c r="ZH103" s="21"/>
      <c r="ZI103" s="21"/>
      <c r="ZJ103" s="21"/>
      <c r="ZK103" s="21"/>
      <c r="ZL103" s="21"/>
      <c r="ZM103" s="21"/>
      <c r="ZN103" s="21"/>
      <c r="ZO103" s="21"/>
      <c r="ZP103" s="21"/>
      <c r="ZQ103" s="21"/>
      <c r="ZR103" s="21"/>
      <c r="ZS103" s="21"/>
      <c r="ZT103" s="21"/>
      <c r="ZU103" s="21"/>
      <c r="ZV103" s="21"/>
      <c r="ZW103" s="21"/>
      <c r="ZX103" s="21"/>
      <c r="ZY103" s="21"/>
      <c r="ZZ103" s="21"/>
      <c r="AAA103" s="21"/>
      <c r="AAB103" s="21"/>
      <c r="AAC103" s="21"/>
      <c r="AAD103" s="21"/>
      <c r="AAE103" s="21"/>
      <c r="AAF103" s="21"/>
      <c r="AAG103" s="21"/>
      <c r="AAH103" s="21"/>
      <c r="AAI103" s="21"/>
      <c r="AAJ103" s="21"/>
      <c r="AAK103" s="21"/>
      <c r="AAL103" s="21"/>
      <c r="AAM103" s="21"/>
      <c r="AAN103" s="21"/>
      <c r="AAO103" s="21"/>
      <c r="AAP103" s="21"/>
      <c r="AAQ103" s="21"/>
      <c r="AAR103" s="21"/>
      <c r="AAS103" s="21"/>
      <c r="AAT103" s="21"/>
      <c r="AAU103" s="21"/>
      <c r="AAV103" s="21"/>
      <c r="AAW103" s="21"/>
      <c r="AAX103" s="21"/>
      <c r="AAY103" s="21"/>
      <c r="AAZ103" s="21"/>
      <c r="ABA103" s="21"/>
      <c r="ABB103" s="21"/>
      <c r="ABC103" s="21"/>
      <c r="ABD103" s="21"/>
      <c r="ABE103" s="21"/>
      <c r="ABF103" s="21"/>
      <c r="ABG103" s="21"/>
      <c r="ABH103" s="21"/>
      <c r="ABI103" s="21"/>
      <c r="ABJ103" s="21"/>
      <c r="ABK103" s="21"/>
      <c r="ABL103" s="21"/>
      <c r="ABM103" s="21"/>
      <c r="ABN103" s="21"/>
      <c r="ABO103" s="21"/>
      <c r="ABP103" s="21"/>
      <c r="ABQ103" s="21"/>
      <c r="ABR103" s="21"/>
      <c r="ABS103" s="21"/>
      <c r="ABT103" s="21"/>
      <c r="ABU103" s="21"/>
      <c r="ABV103" s="21"/>
      <c r="ABW103" s="21"/>
      <c r="ABX103" s="21"/>
      <c r="ABY103" s="21"/>
      <c r="ABZ103" s="21"/>
      <c r="ACA103" s="21"/>
      <c r="ACB103" s="21"/>
      <c r="ACC103" s="21"/>
      <c r="ACD103" s="21"/>
      <c r="ACE103" s="21"/>
      <c r="ACF103" s="21"/>
      <c r="ACG103" s="21"/>
      <c r="ACH103" s="21"/>
      <c r="ACI103" s="21"/>
      <c r="ACJ103" s="21"/>
      <c r="ACK103" s="21"/>
      <c r="ACL103" s="21"/>
      <c r="ACM103" s="21"/>
      <c r="ACN103" s="21"/>
      <c r="ACO103" s="21"/>
      <c r="ACP103" s="21"/>
      <c r="ACQ103" s="21"/>
      <c r="ACR103" s="21"/>
      <c r="ACS103" s="21"/>
      <c r="ACT103" s="21"/>
      <c r="ACU103" s="21"/>
      <c r="ACV103" s="21"/>
      <c r="ACW103" s="21"/>
      <c r="ACX103" s="21"/>
      <c r="ACY103" s="21"/>
      <c r="ACZ103" s="21"/>
      <c r="ADA103" s="21"/>
      <c r="ADB103" s="21"/>
      <c r="ADC103" s="21"/>
      <c r="ADD103" s="21"/>
      <c r="ADE103" s="21"/>
      <c r="ADF103" s="21"/>
      <c r="ADG103" s="21"/>
      <c r="ADH103" s="21"/>
      <c r="ADI103" s="21"/>
      <c r="ADJ103" s="21"/>
      <c r="ADK103" s="21"/>
      <c r="ADL103" s="21"/>
      <c r="ADM103" s="21"/>
      <c r="ADN103" s="21"/>
      <c r="ADO103" s="21"/>
      <c r="ADP103" s="21"/>
      <c r="ADQ103" s="21"/>
      <c r="ADR103" s="21"/>
      <c r="ADS103" s="21"/>
      <c r="ADT103" s="21"/>
      <c r="ADU103" s="21"/>
      <c r="ADV103" s="21"/>
      <c r="ADW103" s="21"/>
      <c r="ADX103" s="21"/>
      <c r="ADY103" s="21"/>
      <c r="ADZ103" s="21"/>
      <c r="AEA103" s="21"/>
      <c r="AEB103" s="21"/>
      <c r="AEC103" s="21"/>
      <c r="AED103" s="21"/>
      <c r="AEE103" s="21"/>
      <c r="AEF103" s="21"/>
      <c r="AEG103" s="21"/>
      <c r="AEH103" s="21"/>
      <c r="AEI103" s="21"/>
      <c r="AEJ103" s="21"/>
      <c r="AEK103" s="21"/>
      <c r="AEL103" s="21"/>
      <c r="AEM103" s="21"/>
      <c r="AEN103" s="21"/>
      <c r="AEO103" s="21"/>
      <c r="AEP103" s="21"/>
      <c r="AEQ103" s="21"/>
      <c r="AER103" s="21"/>
      <c r="AES103" s="21"/>
      <c r="AET103" s="21"/>
      <c r="AEU103" s="21"/>
      <c r="AEV103" s="21"/>
      <c r="AEW103" s="21"/>
      <c r="AEX103" s="21"/>
      <c r="AEY103" s="21"/>
      <c r="AEZ103" s="21"/>
      <c r="AFA103" s="21"/>
      <c r="AFB103" s="21"/>
      <c r="AFC103" s="21"/>
      <c r="AFD103" s="21"/>
      <c r="AFE103" s="21"/>
      <c r="AFF103" s="21"/>
      <c r="AFG103" s="21"/>
      <c r="AFH103" s="21"/>
      <c r="AFI103" s="21"/>
      <c r="AFJ103" s="21"/>
      <c r="AFK103" s="21"/>
      <c r="AFL103" s="21"/>
      <c r="AFM103" s="21"/>
      <c r="AFN103" s="21"/>
      <c r="AFO103" s="21"/>
      <c r="AFP103" s="21"/>
      <c r="AFQ103" s="21"/>
      <c r="AFR103" s="21"/>
      <c r="AFS103" s="21"/>
      <c r="AFT103" s="21"/>
      <c r="AFU103" s="21"/>
      <c r="AFV103" s="21"/>
      <c r="AFW103" s="21"/>
      <c r="AFX103" s="21"/>
      <c r="AFY103" s="21"/>
      <c r="AFZ103" s="21"/>
      <c r="AGA103" s="21"/>
      <c r="AGB103" s="21"/>
      <c r="AGC103" s="21"/>
      <c r="AGD103" s="21"/>
      <c r="AGE103" s="21"/>
      <c r="AGF103" s="21"/>
      <c r="AGG103" s="21"/>
      <c r="AGH103" s="21"/>
      <c r="AGI103" s="21"/>
      <c r="AGJ103" s="21"/>
      <c r="AGK103" s="21"/>
      <c r="AGL103" s="21"/>
      <c r="AGM103" s="21"/>
      <c r="AGN103" s="21"/>
      <c r="AGO103" s="21"/>
      <c r="AGP103" s="21"/>
      <c r="AGQ103" s="21"/>
      <c r="AGR103" s="21"/>
      <c r="AGS103" s="21"/>
    </row>
    <row r="104" spans="1:877" ht="13">
      <c r="A104" s="12"/>
      <c r="B104" s="62" t="str">
        <f t="shared" si="35"/>
        <v>Facility 5 Assets</v>
      </c>
      <c r="C104" s="12"/>
      <c r="D104" s="12"/>
      <c r="E104" s="12"/>
      <c r="F104" s="55"/>
      <c r="G104" s="27">
        <f t="shared" ref="G104:CL104" si="45">MIN(F104+ IF(G$4&gt;=$D87,$C87/($E87*12),0),$C87)</f>
        <v>0</v>
      </c>
      <c r="H104" s="27">
        <f t="shared" si="45"/>
        <v>0</v>
      </c>
      <c r="I104" s="27">
        <f t="shared" si="45"/>
        <v>0</v>
      </c>
      <c r="J104" s="27">
        <f t="shared" si="45"/>
        <v>0</v>
      </c>
      <c r="K104" s="27">
        <f t="shared" si="45"/>
        <v>0</v>
      </c>
      <c r="L104" s="27">
        <f t="shared" si="45"/>
        <v>0</v>
      </c>
      <c r="M104" s="27">
        <f t="shared" si="45"/>
        <v>0</v>
      </c>
      <c r="N104" s="27">
        <f t="shared" si="45"/>
        <v>0</v>
      </c>
      <c r="O104" s="27">
        <f t="shared" si="45"/>
        <v>0</v>
      </c>
      <c r="P104" s="27">
        <f t="shared" si="45"/>
        <v>0</v>
      </c>
      <c r="Q104" s="27">
        <f t="shared" si="45"/>
        <v>0</v>
      </c>
      <c r="R104" s="27">
        <f t="shared" si="45"/>
        <v>0</v>
      </c>
      <c r="S104" s="27">
        <f t="shared" si="45"/>
        <v>0</v>
      </c>
      <c r="T104" s="27">
        <f t="shared" si="45"/>
        <v>0</v>
      </c>
      <c r="U104" s="27">
        <f t="shared" si="45"/>
        <v>0</v>
      </c>
      <c r="V104" s="27">
        <f t="shared" si="45"/>
        <v>0</v>
      </c>
      <c r="W104" s="27">
        <f t="shared" si="45"/>
        <v>0</v>
      </c>
      <c r="X104" s="27">
        <f t="shared" si="45"/>
        <v>0</v>
      </c>
      <c r="Y104" s="27">
        <f t="shared" si="45"/>
        <v>0</v>
      </c>
      <c r="Z104" s="27">
        <f t="shared" si="45"/>
        <v>0</v>
      </c>
      <c r="AA104" s="27">
        <f t="shared" si="45"/>
        <v>0</v>
      </c>
      <c r="AB104" s="27">
        <f t="shared" si="45"/>
        <v>0</v>
      </c>
      <c r="AC104" s="27">
        <f t="shared" si="45"/>
        <v>0</v>
      </c>
      <c r="AD104" s="27">
        <f t="shared" si="45"/>
        <v>0</v>
      </c>
      <c r="AE104" s="27">
        <f t="shared" si="45"/>
        <v>0</v>
      </c>
      <c r="AF104" s="27">
        <f t="shared" si="45"/>
        <v>0</v>
      </c>
      <c r="AG104" s="27">
        <f t="shared" si="45"/>
        <v>0</v>
      </c>
      <c r="AH104" s="27">
        <f t="shared" si="45"/>
        <v>0</v>
      </c>
      <c r="AI104" s="27">
        <f t="shared" si="45"/>
        <v>0</v>
      </c>
      <c r="AJ104" s="27">
        <f t="shared" si="45"/>
        <v>0</v>
      </c>
      <c r="AK104" s="27">
        <f t="shared" si="45"/>
        <v>0</v>
      </c>
      <c r="AL104" s="27">
        <f t="shared" si="45"/>
        <v>0</v>
      </c>
      <c r="AM104" s="27">
        <f t="shared" si="45"/>
        <v>0</v>
      </c>
      <c r="AN104" s="27">
        <f t="shared" si="45"/>
        <v>0</v>
      </c>
      <c r="AO104" s="27">
        <f t="shared" si="45"/>
        <v>0</v>
      </c>
      <c r="AP104" s="27">
        <f t="shared" si="45"/>
        <v>0</v>
      </c>
      <c r="AQ104" s="27">
        <f t="shared" si="45"/>
        <v>30000</v>
      </c>
      <c r="AR104" s="27">
        <f t="shared" si="45"/>
        <v>60000</v>
      </c>
      <c r="AS104" s="27">
        <f t="shared" si="45"/>
        <v>90000</v>
      </c>
      <c r="AT104" s="27">
        <f t="shared" si="45"/>
        <v>120000</v>
      </c>
      <c r="AU104" s="27">
        <f t="shared" si="45"/>
        <v>150000</v>
      </c>
      <c r="AV104" s="27">
        <f t="shared" si="45"/>
        <v>180000</v>
      </c>
      <c r="AW104" s="27">
        <f t="shared" si="45"/>
        <v>210000</v>
      </c>
      <c r="AX104" s="27">
        <f t="shared" si="45"/>
        <v>240000</v>
      </c>
      <c r="AY104" s="27">
        <f t="shared" si="45"/>
        <v>270000</v>
      </c>
      <c r="AZ104" s="27">
        <f t="shared" si="45"/>
        <v>300000</v>
      </c>
      <c r="BA104" s="27">
        <f t="shared" si="45"/>
        <v>330000</v>
      </c>
      <c r="BB104" s="27">
        <f t="shared" si="45"/>
        <v>360000</v>
      </c>
      <c r="BC104" s="27">
        <f t="shared" si="45"/>
        <v>390000</v>
      </c>
      <c r="BD104" s="27">
        <f t="shared" si="45"/>
        <v>420000</v>
      </c>
      <c r="BE104" s="27">
        <f t="shared" si="45"/>
        <v>450000</v>
      </c>
      <c r="BF104" s="27">
        <f t="shared" si="45"/>
        <v>480000</v>
      </c>
      <c r="BG104" s="27">
        <f t="shared" si="45"/>
        <v>510000</v>
      </c>
      <c r="BH104" s="27">
        <f t="shared" si="45"/>
        <v>540000</v>
      </c>
      <c r="BI104" s="27">
        <f t="shared" si="45"/>
        <v>570000</v>
      </c>
      <c r="BJ104" s="27">
        <f t="shared" si="45"/>
        <v>600000</v>
      </c>
      <c r="BK104" s="27">
        <f t="shared" si="45"/>
        <v>630000</v>
      </c>
      <c r="BL104" s="27">
        <f t="shared" si="45"/>
        <v>660000</v>
      </c>
      <c r="BM104" s="27">
        <f t="shared" si="45"/>
        <v>690000</v>
      </c>
      <c r="BN104" s="27">
        <f t="shared" si="45"/>
        <v>720000</v>
      </c>
      <c r="BO104" s="27">
        <f t="shared" si="45"/>
        <v>750000</v>
      </c>
      <c r="BP104" s="27">
        <f t="shared" si="45"/>
        <v>780000</v>
      </c>
      <c r="BQ104" s="27">
        <f t="shared" si="45"/>
        <v>810000</v>
      </c>
      <c r="BR104" s="27">
        <f t="shared" si="45"/>
        <v>840000</v>
      </c>
      <c r="BS104" s="27">
        <f t="shared" si="45"/>
        <v>870000</v>
      </c>
      <c r="BT104" s="27">
        <f t="shared" si="45"/>
        <v>900000</v>
      </c>
      <c r="BU104" s="27">
        <f t="shared" si="45"/>
        <v>930000</v>
      </c>
      <c r="BV104" s="27">
        <f t="shared" si="45"/>
        <v>960000</v>
      </c>
      <c r="BW104" s="27">
        <f t="shared" si="45"/>
        <v>990000</v>
      </c>
      <c r="BX104" s="27">
        <f t="shared" si="45"/>
        <v>1020000</v>
      </c>
      <c r="BY104" s="27">
        <f t="shared" si="45"/>
        <v>1050000</v>
      </c>
      <c r="BZ104" s="27">
        <f t="shared" si="45"/>
        <v>1080000</v>
      </c>
      <c r="CA104" s="27">
        <f t="shared" si="45"/>
        <v>1110000</v>
      </c>
      <c r="CB104" s="27">
        <f t="shared" si="45"/>
        <v>1140000</v>
      </c>
      <c r="CC104" s="27">
        <f t="shared" si="45"/>
        <v>1170000</v>
      </c>
      <c r="CD104" s="27">
        <f t="shared" si="45"/>
        <v>1200000</v>
      </c>
      <c r="CE104" s="27">
        <f t="shared" si="45"/>
        <v>1230000</v>
      </c>
      <c r="CF104" s="27">
        <f t="shared" si="45"/>
        <v>1260000</v>
      </c>
      <c r="CG104" s="27">
        <f t="shared" si="45"/>
        <v>1290000</v>
      </c>
      <c r="CH104" s="27">
        <f t="shared" si="45"/>
        <v>1320000</v>
      </c>
      <c r="CI104" s="27">
        <f t="shared" si="45"/>
        <v>1350000</v>
      </c>
      <c r="CJ104" s="27">
        <f t="shared" si="45"/>
        <v>1380000</v>
      </c>
      <c r="CK104" s="27">
        <f t="shared" si="45"/>
        <v>1410000</v>
      </c>
      <c r="CL104" s="27">
        <f t="shared" si="45"/>
        <v>1440000</v>
      </c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1"/>
      <c r="JV104" s="21"/>
      <c r="JW104" s="21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  <c r="KJ104" s="21"/>
      <c r="KK104" s="21"/>
      <c r="KL104" s="21"/>
      <c r="KM104" s="21"/>
      <c r="KN104" s="21"/>
      <c r="KO104" s="21"/>
      <c r="KP104" s="21"/>
      <c r="KQ104" s="21"/>
      <c r="KR104" s="21"/>
      <c r="KS104" s="21"/>
      <c r="KT104" s="21"/>
      <c r="KU104" s="21"/>
      <c r="KV104" s="21"/>
      <c r="KW104" s="21"/>
      <c r="KX104" s="21"/>
      <c r="KY104" s="21"/>
      <c r="KZ104" s="21"/>
      <c r="LA104" s="21"/>
      <c r="LB104" s="21"/>
      <c r="LC104" s="21"/>
      <c r="LD104" s="21"/>
      <c r="LE104" s="21"/>
      <c r="LF104" s="21"/>
      <c r="LG104" s="21"/>
      <c r="LH104" s="21"/>
      <c r="LI104" s="21"/>
      <c r="LJ104" s="21"/>
      <c r="LK104" s="21"/>
      <c r="LL104" s="21"/>
      <c r="LM104" s="21"/>
      <c r="LN104" s="21"/>
      <c r="LO104" s="21"/>
      <c r="LP104" s="21"/>
      <c r="LQ104" s="21"/>
      <c r="LR104" s="21"/>
      <c r="LS104" s="21"/>
      <c r="LT104" s="21"/>
      <c r="LU104" s="21"/>
      <c r="LV104" s="21"/>
      <c r="LW104" s="21"/>
      <c r="LX104" s="21"/>
      <c r="LY104" s="21"/>
      <c r="LZ104" s="21"/>
      <c r="MA104" s="21"/>
      <c r="MB104" s="21"/>
      <c r="MC104" s="21"/>
      <c r="MD104" s="21"/>
      <c r="ME104" s="21"/>
      <c r="MF104" s="21"/>
      <c r="MG104" s="21"/>
      <c r="MH104" s="21"/>
      <c r="MI104" s="21"/>
      <c r="MJ104" s="21"/>
      <c r="MK104" s="21"/>
      <c r="ML104" s="21"/>
      <c r="MM104" s="21"/>
      <c r="MN104" s="21"/>
      <c r="MO104" s="21"/>
      <c r="MP104" s="21"/>
      <c r="MQ104" s="21"/>
      <c r="MR104" s="21"/>
      <c r="MS104" s="21"/>
      <c r="MT104" s="21"/>
      <c r="MU104" s="21"/>
      <c r="MV104" s="21"/>
      <c r="MW104" s="21"/>
      <c r="MX104" s="21"/>
      <c r="MY104" s="21"/>
      <c r="MZ104" s="21"/>
      <c r="NA104" s="21"/>
      <c r="NB104" s="21"/>
      <c r="NC104" s="21"/>
      <c r="ND104" s="21"/>
      <c r="NE104" s="21"/>
      <c r="NF104" s="21"/>
      <c r="NG104" s="21"/>
      <c r="NH104" s="21"/>
      <c r="NI104" s="21"/>
      <c r="NJ104" s="21"/>
      <c r="NK104" s="21"/>
      <c r="NL104" s="21"/>
      <c r="NM104" s="21"/>
      <c r="NN104" s="21"/>
      <c r="NO104" s="21"/>
      <c r="NP104" s="21"/>
      <c r="NQ104" s="21"/>
      <c r="NR104" s="21"/>
      <c r="NS104" s="21"/>
      <c r="NT104" s="21"/>
      <c r="NU104" s="21"/>
      <c r="NV104" s="21"/>
      <c r="NW104" s="21"/>
      <c r="NX104" s="21"/>
      <c r="NY104" s="21"/>
      <c r="NZ104" s="21"/>
      <c r="OA104" s="21"/>
      <c r="OB104" s="21"/>
      <c r="OC104" s="21"/>
      <c r="OD104" s="21"/>
      <c r="OE104" s="21"/>
      <c r="OF104" s="21"/>
      <c r="OG104" s="21"/>
      <c r="OH104" s="21"/>
      <c r="OI104" s="21"/>
      <c r="OJ104" s="21"/>
      <c r="OK104" s="21"/>
      <c r="OL104" s="21"/>
      <c r="OM104" s="21"/>
      <c r="ON104" s="21"/>
      <c r="OO104" s="21"/>
      <c r="OP104" s="21"/>
      <c r="OQ104" s="21"/>
      <c r="OR104" s="21"/>
      <c r="OS104" s="21"/>
      <c r="OT104" s="21"/>
      <c r="OU104" s="21"/>
      <c r="OV104" s="21"/>
      <c r="OW104" s="21"/>
      <c r="OX104" s="21"/>
      <c r="OY104" s="21"/>
      <c r="OZ104" s="21"/>
      <c r="PA104" s="21"/>
      <c r="PB104" s="21"/>
      <c r="PC104" s="21"/>
      <c r="PD104" s="21"/>
      <c r="PE104" s="21"/>
      <c r="PF104" s="21"/>
      <c r="PG104" s="21"/>
      <c r="PH104" s="21"/>
      <c r="PI104" s="21"/>
      <c r="PJ104" s="21"/>
      <c r="PK104" s="21"/>
      <c r="PL104" s="21"/>
      <c r="PM104" s="21"/>
      <c r="PN104" s="21"/>
      <c r="PO104" s="21"/>
      <c r="PP104" s="21"/>
      <c r="PQ104" s="21"/>
      <c r="PR104" s="21"/>
      <c r="PS104" s="21"/>
      <c r="PT104" s="21"/>
      <c r="PU104" s="21"/>
      <c r="PV104" s="21"/>
      <c r="PW104" s="21"/>
      <c r="PX104" s="21"/>
      <c r="PY104" s="21"/>
      <c r="PZ104" s="21"/>
      <c r="QA104" s="21"/>
      <c r="QB104" s="21"/>
      <c r="QC104" s="21"/>
      <c r="QD104" s="21"/>
      <c r="QE104" s="21"/>
      <c r="QF104" s="21"/>
      <c r="QG104" s="21"/>
      <c r="QH104" s="21"/>
      <c r="QI104" s="21"/>
      <c r="QJ104" s="21"/>
      <c r="QK104" s="21"/>
      <c r="QL104" s="21"/>
      <c r="QM104" s="21"/>
      <c r="QN104" s="21"/>
      <c r="QO104" s="21"/>
      <c r="QP104" s="21"/>
      <c r="QQ104" s="21"/>
      <c r="QR104" s="21"/>
      <c r="QS104" s="21"/>
      <c r="QT104" s="21"/>
      <c r="QU104" s="21"/>
      <c r="QV104" s="21"/>
      <c r="QW104" s="21"/>
      <c r="QX104" s="21"/>
      <c r="QY104" s="21"/>
      <c r="QZ104" s="21"/>
      <c r="RA104" s="21"/>
      <c r="RB104" s="21"/>
      <c r="RC104" s="21"/>
      <c r="RD104" s="21"/>
      <c r="RE104" s="21"/>
      <c r="RF104" s="21"/>
      <c r="RG104" s="21"/>
      <c r="RH104" s="21"/>
      <c r="RI104" s="21"/>
      <c r="RJ104" s="21"/>
      <c r="RK104" s="21"/>
      <c r="RL104" s="21"/>
      <c r="RM104" s="21"/>
      <c r="RN104" s="21"/>
      <c r="RO104" s="21"/>
      <c r="RP104" s="21"/>
      <c r="RQ104" s="21"/>
      <c r="RR104" s="21"/>
      <c r="RS104" s="21"/>
      <c r="RT104" s="21"/>
      <c r="RU104" s="21"/>
      <c r="RV104" s="21"/>
      <c r="RW104" s="21"/>
      <c r="RX104" s="21"/>
      <c r="RY104" s="21"/>
      <c r="RZ104" s="21"/>
      <c r="SA104" s="21"/>
      <c r="SB104" s="21"/>
      <c r="SC104" s="21"/>
      <c r="SD104" s="21"/>
      <c r="SE104" s="21"/>
      <c r="SF104" s="21"/>
      <c r="SG104" s="21"/>
      <c r="SH104" s="21"/>
      <c r="SI104" s="21"/>
      <c r="SJ104" s="21"/>
      <c r="SK104" s="21"/>
      <c r="SL104" s="21"/>
      <c r="SM104" s="21"/>
      <c r="SN104" s="21"/>
      <c r="SO104" s="21"/>
      <c r="SP104" s="21"/>
      <c r="SQ104" s="21"/>
      <c r="SR104" s="21"/>
      <c r="SS104" s="21"/>
      <c r="ST104" s="21"/>
      <c r="SU104" s="21"/>
      <c r="SV104" s="21"/>
      <c r="SW104" s="21"/>
      <c r="SX104" s="21"/>
      <c r="SY104" s="21"/>
      <c r="SZ104" s="21"/>
      <c r="TA104" s="21"/>
      <c r="TB104" s="21"/>
      <c r="TC104" s="21"/>
      <c r="TD104" s="21"/>
      <c r="TE104" s="21"/>
      <c r="TF104" s="21"/>
      <c r="TG104" s="21"/>
      <c r="TH104" s="21"/>
      <c r="TI104" s="21"/>
      <c r="TJ104" s="21"/>
      <c r="TK104" s="21"/>
      <c r="TL104" s="21"/>
      <c r="TM104" s="21"/>
      <c r="TN104" s="21"/>
      <c r="TO104" s="21"/>
      <c r="TP104" s="21"/>
      <c r="TQ104" s="21"/>
      <c r="TR104" s="21"/>
      <c r="TS104" s="21"/>
      <c r="TT104" s="21"/>
      <c r="TU104" s="21"/>
      <c r="TV104" s="21"/>
      <c r="TW104" s="21"/>
      <c r="TX104" s="21"/>
      <c r="TY104" s="21"/>
      <c r="TZ104" s="21"/>
      <c r="UA104" s="21"/>
      <c r="UB104" s="21"/>
      <c r="UC104" s="21"/>
      <c r="UD104" s="21"/>
      <c r="UE104" s="21"/>
      <c r="UF104" s="21"/>
      <c r="UG104" s="21"/>
      <c r="UH104" s="21"/>
      <c r="UI104" s="21"/>
      <c r="UJ104" s="21"/>
      <c r="UK104" s="21"/>
      <c r="UL104" s="21"/>
      <c r="UM104" s="21"/>
      <c r="UN104" s="21"/>
      <c r="UO104" s="21"/>
      <c r="UP104" s="21"/>
      <c r="UQ104" s="21"/>
      <c r="UR104" s="21"/>
      <c r="US104" s="21"/>
      <c r="UT104" s="21"/>
      <c r="UU104" s="21"/>
      <c r="UV104" s="21"/>
      <c r="UW104" s="21"/>
      <c r="UX104" s="21"/>
      <c r="UY104" s="21"/>
      <c r="UZ104" s="21"/>
      <c r="VA104" s="21"/>
      <c r="VB104" s="21"/>
      <c r="VC104" s="21"/>
      <c r="VD104" s="21"/>
      <c r="VE104" s="21"/>
      <c r="VF104" s="21"/>
      <c r="VG104" s="21"/>
      <c r="VH104" s="21"/>
      <c r="VI104" s="21"/>
      <c r="VJ104" s="21"/>
      <c r="VK104" s="21"/>
      <c r="VL104" s="21"/>
      <c r="VM104" s="21"/>
      <c r="VN104" s="21"/>
      <c r="VO104" s="21"/>
      <c r="VP104" s="21"/>
      <c r="VQ104" s="21"/>
      <c r="VR104" s="21"/>
      <c r="VS104" s="21"/>
      <c r="VT104" s="21"/>
      <c r="VU104" s="21"/>
      <c r="VV104" s="21"/>
      <c r="VW104" s="21"/>
      <c r="VX104" s="21"/>
      <c r="VY104" s="21"/>
      <c r="VZ104" s="21"/>
      <c r="WA104" s="21"/>
      <c r="WB104" s="21"/>
      <c r="WC104" s="21"/>
      <c r="WD104" s="21"/>
      <c r="WE104" s="21"/>
      <c r="WF104" s="21"/>
      <c r="WG104" s="21"/>
      <c r="WH104" s="21"/>
      <c r="WI104" s="21"/>
      <c r="WJ104" s="21"/>
      <c r="WK104" s="21"/>
      <c r="WL104" s="21"/>
      <c r="WM104" s="21"/>
      <c r="WN104" s="21"/>
      <c r="WO104" s="21"/>
      <c r="WP104" s="21"/>
      <c r="WQ104" s="21"/>
      <c r="WR104" s="21"/>
      <c r="WS104" s="21"/>
      <c r="WT104" s="21"/>
      <c r="WU104" s="21"/>
      <c r="WV104" s="21"/>
      <c r="WW104" s="21"/>
      <c r="WX104" s="21"/>
      <c r="WY104" s="21"/>
      <c r="WZ104" s="21"/>
      <c r="XA104" s="21"/>
      <c r="XB104" s="21"/>
      <c r="XC104" s="21"/>
      <c r="XD104" s="21"/>
      <c r="XE104" s="21"/>
      <c r="XF104" s="21"/>
      <c r="XG104" s="21"/>
      <c r="XH104" s="21"/>
      <c r="XI104" s="21"/>
      <c r="XJ104" s="21"/>
      <c r="XK104" s="21"/>
      <c r="XL104" s="21"/>
      <c r="XM104" s="21"/>
      <c r="XN104" s="21"/>
      <c r="XO104" s="21"/>
      <c r="XP104" s="21"/>
      <c r="XQ104" s="21"/>
      <c r="XR104" s="21"/>
      <c r="XS104" s="21"/>
      <c r="XT104" s="21"/>
      <c r="XU104" s="21"/>
      <c r="XV104" s="21"/>
      <c r="XW104" s="21"/>
      <c r="XX104" s="21"/>
      <c r="XY104" s="21"/>
      <c r="XZ104" s="21"/>
      <c r="YA104" s="21"/>
      <c r="YB104" s="21"/>
      <c r="YC104" s="21"/>
      <c r="YD104" s="21"/>
      <c r="YE104" s="21"/>
      <c r="YF104" s="21"/>
      <c r="YG104" s="21"/>
      <c r="YH104" s="21"/>
      <c r="YI104" s="21"/>
      <c r="YJ104" s="21"/>
      <c r="YK104" s="21"/>
      <c r="YL104" s="21"/>
      <c r="YM104" s="21"/>
      <c r="YN104" s="21"/>
      <c r="YO104" s="21"/>
      <c r="YP104" s="21"/>
      <c r="YQ104" s="21"/>
      <c r="YR104" s="21"/>
      <c r="YS104" s="21"/>
      <c r="YT104" s="21"/>
      <c r="YU104" s="21"/>
      <c r="YV104" s="21"/>
      <c r="YW104" s="21"/>
      <c r="YX104" s="21"/>
      <c r="YY104" s="21"/>
      <c r="YZ104" s="21"/>
      <c r="ZA104" s="21"/>
      <c r="ZB104" s="21"/>
      <c r="ZC104" s="21"/>
      <c r="ZD104" s="21"/>
      <c r="ZE104" s="21"/>
      <c r="ZF104" s="21"/>
      <c r="ZG104" s="21"/>
      <c r="ZH104" s="21"/>
      <c r="ZI104" s="21"/>
      <c r="ZJ104" s="21"/>
      <c r="ZK104" s="21"/>
      <c r="ZL104" s="21"/>
      <c r="ZM104" s="21"/>
      <c r="ZN104" s="21"/>
      <c r="ZO104" s="21"/>
      <c r="ZP104" s="21"/>
      <c r="ZQ104" s="21"/>
      <c r="ZR104" s="21"/>
      <c r="ZS104" s="21"/>
      <c r="ZT104" s="21"/>
      <c r="ZU104" s="21"/>
      <c r="ZV104" s="21"/>
      <c r="ZW104" s="21"/>
      <c r="ZX104" s="21"/>
      <c r="ZY104" s="21"/>
      <c r="ZZ104" s="21"/>
      <c r="AAA104" s="21"/>
      <c r="AAB104" s="21"/>
      <c r="AAC104" s="21"/>
      <c r="AAD104" s="21"/>
      <c r="AAE104" s="21"/>
      <c r="AAF104" s="21"/>
      <c r="AAG104" s="21"/>
      <c r="AAH104" s="21"/>
      <c r="AAI104" s="21"/>
      <c r="AAJ104" s="21"/>
      <c r="AAK104" s="21"/>
      <c r="AAL104" s="21"/>
      <c r="AAM104" s="21"/>
      <c r="AAN104" s="21"/>
      <c r="AAO104" s="21"/>
      <c r="AAP104" s="21"/>
      <c r="AAQ104" s="21"/>
      <c r="AAR104" s="21"/>
      <c r="AAS104" s="21"/>
      <c r="AAT104" s="21"/>
      <c r="AAU104" s="21"/>
      <c r="AAV104" s="21"/>
      <c r="AAW104" s="21"/>
      <c r="AAX104" s="21"/>
      <c r="AAY104" s="21"/>
      <c r="AAZ104" s="21"/>
      <c r="ABA104" s="21"/>
      <c r="ABB104" s="21"/>
      <c r="ABC104" s="21"/>
      <c r="ABD104" s="21"/>
      <c r="ABE104" s="21"/>
      <c r="ABF104" s="21"/>
      <c r="ABG104" s="21"/>
      <c r="ABH104" s="21"/>
      <c r="ABI104" s="21"/>
      <c r="ABJ104" s="21"/>
      <c r="ABK104" s="21"/>
      <c r="ABL104" s="21"/>
      <c r="ABM104" s="21"/>
      <c r="ABN104" s="21"/>
      <c r="ABO104" s="21"/>
      <c r="ABP104" s="21"/>
      <c r="ABQ104" s="21"/>
      <c r="ABR104" s="21"/>
      <c r="ABS104" s="21"/>
      <c r="ABT104" s="21"/>
      <c r="ABU104" s="21"/>
      <c r="ABV104" s="21"/>
      <c r="ABW104" s="21"/>
      <c r="ABX104" s="21"/>
      <c r="ABY104" s="21"/>
      <c r="ABZ104" s="21"/>
      <c r="ACA104" s="21"/>
      <c r="ACB104" s="21"/>
      <c r="ACC104" s="21"/>
      <c r="ACD104" s="21"/>
      <c r="ACE104" s="21"/>
      <c r="ACF104" s="21"/>
      <c r="ACG104" s="21"/>
      <c r="ACH104" s="21"/>
      <c r="ACI104" s="21"/>
      <c r="ACJ104" s="21"/>
      <c r="ACK104" s="21"/>
      <c r="ACL104" s="21"/>
      <c r="ACM104" s="21"/>
      <c r="ACN104" s="21"/>
      <c r="ACO104" s="21"/>
      <c r="ACP104" s="21"/>
      <c r="ACQ104" s="21"/>
      <c r="ACR104" s="21"/>
      <c r="ACS104" s="21"/>
      <c r="ACT104" s="21"/>
      <c r="ACU104" s="21"/>
      <c r="ACV104" s="21"/>
      <c r="ACW104" s="21"/>
      <c r="ACX104" s="21"/>
      <c r="ACY104" s="21"/>
      <c r="ACZ104" s="21"/>
      <c r="ADA104" s="21"/>
      <c r="ADB104" s="21"/>
      <c r="ADC104" s="21"/>
      <c r="ADD104" s="21"/>
      <c r="ADE104" s="21"/>
      <c r="ADF104" s="21"/>
      <c r="ADG104" s="21"/>
      <c r="ADH104" s="21"/>
      <c r="ADI104" s="21"/>
      <c r="ADJ104" s="21"/>
      <c r="ADK104" s="21"/>
      <c r="ADL104" s="21"/>
      <c r="ADM104" s="21"/>
      <c r="ADN104" s="21"/>
      <c r="ADO104" s="21"/>
      <c r="ADP104" s="21"/>
      <c r="ADQ104" s="21"/>
      <c r="ADR104" s="21"/>
      <c r="ADS104" s="21"/>
      <c r="ADT104" s="21"/>
      <c r="ADU104" s="21"/>
      <c r="ADV104" s="21"/>
      <c r="ADW104" s="21"/>
      <c r="ADX104" s="21"/>
      <c r="ADY104" s="21"/>
      <c r="ADZ104" s="21"/>
      <c r="AEA104" s="21"/>
      <c r="AEB104" s="21"/>
      <c r="AEC104" s="21"/>
      <c r="AED104" s="21"/>
      <c r="AEE104" s="21"/>
      <c r="AEF104" s="21"/>
      <c r="AEG104" s="21"/>
      <c r="AEH104" s="21"/>
      <c r="AEI104" s="21"/>
      <c r="AEJ104" s="21"/>
      <c r="AEK104" s="21"/>
      <c r="AEL104" s="21"/>
      <c r="AEM104" s="21"/>
      <c r="AEN104" s="21"/>
      <c r="AEO104" s="21"/>
      <c r="AEP104" s="21"/>
      <c r="AEQ104" s="21"/>
      <c r="AER104" s="21"/>
      <c r="AES104" s="21"/>
      <c r="AET104" s="21"/>
      <c r="AEU104" s="21"/>
      <c r="AEV104" s="21"/>
      <c r="AEW104" s="21"/>
      <c r="AEX104" s="21"/>
      <c r="AEY104" s="21"/>
      <c r="AEZ104" s="21"/>
      <c r="AFA104" s="21"/>
      <c r="AFB104" s="21"/>
      <c r="AFC104" s="21"/>
      <c r="AFD104" s="21"/>
      <c r="AFE104" s="21"/>
      <c r="AFF104" s="21"/>
      <c r="AFG104" s="21"/>
      <c r="AFH104" s="21"/>
      <c r="AFI104" s="21"/>
      <c r="AFJ104" s="21"/>
      <c r="AFK104" s="21"/>
      <c r="AFL104" s="21"/>
      <c r="AFM104" s="21"/>
      <c r="AFN104" s="21"/>
      <c r="AFO104" s="21"/>
      <c r="AFP104" s="21"/>
      <c r="AFQ104" s="21"/>
      <c r="AFR104" s="21"/>
      <c r="AFS104" s="21"/>
      <c r="AFT104" s="21"/>
      <c r="AFU104" s="21"/>
      <c r="AFV104" s="21"/>
      <c r="AFW104" s="21"/>
      <c r="AFX104" s="21"/>
      <c r="AFY104" s="21"/>
      <c r="AFZ104" s="21"/>
      <c r="AGA104" s="21"/>
      <c r="AGB104" s="21"/>
      <c r="AGC104" s="21"/>
      <c r="AGD104" s="21"/>
      <c r="AGE104" s="21"/>
      <c r="AGF104" s="21"/>
      <c r="AGG104" s="21"/>
      <c r="AGH104" s="21"/>
      <c r="AGI104" s="21"/>
      <c r="AGJ104" s="21"/>
      <c r="AGK104" s="21"/>
      <c r="AGL104" s="21"/>
      <c r="AGM104" s="21"/>
      <c r="AGN104" s="21"/>
      <c r="AGO104" s="21"/>
      <c r="AGP104" s="21"/>
      <c r="AGQ104" s="21"/>
      <c r="AGR104" s="21"/>
      <c r="AGS104" s="21"/>
    </row>
    <row r="105" spans="1:877" ht="13">
      <c r="A105" s="12"/>
      <c r="B105" s="62" t="str">
        <f t="shared" si="35"/>
        <v>Facility 5 Assets Expansion 1</v>
      </c>
      <c r="C105" s="12"/>
      <c r="D105" s="12"/>
      <c r="E105" s="12"/>
      <c r="F105" s="55"/>
      <c r="G105" s="27">
        <f t="shared" ref="G105:CL105" si="46">MIN(F105+ IF(G$4&gt;=$D88,$C88/($E88*12),0),$C88)</f>
        <v>0</v>
      </c>
      <c r="H105" s="27">
        <f t="shared" si="46"/>
        <v>0</v>
      </c>
      <c r="I105" s="27">
        <f t="shared" si="46"/>
        <v>0</v>
      </c>
      <c r="J105" s="27">
        <f t="shared" si="46"/>
        <v>0</v>
      </c>
      <c r="K105" s="27">
        <f t="shared" si="46"/>
        <v>0</v>
      </c>
      <c r="L105" s="27">
        <f t="shared" si="46"/>
        <v>0</v>
      </c>
      <c r="M105" s="27">
        <f t="shared" si="46"/>
        <v>0</v>
      </c>
      <c r="N105" s="27">
        <f t="shared" si="46"/>
        <v>0</v>
      </c>
      <c r="O105" s="27">
        <f t="shared" si="46"/>
        <v>0</v>
      </c>
      <c r="P105" s="27">
        <f t="shared" si="46"/>
        <v>0</v>
      </c>
      <c r="Q105" s="27">
        <f t="shared" si="46"/>
        <v>0</v>
      </c>
      <c r="R105" s="27">
        <f t="shared" si="46"/>
        <v>0</v>
      </c>
      <c r="S105" s="27">
        <f t="shared" si="46"/>
        <v>0</v>
      </c>
      <c r="T105" s="27">
        <f t="shared" si="46"/>
        <v>0</v>
      </c>
      <c r="U105" s="27">
        <f t="shared" si="46"/>
        <v>0</v>
      </c>
      <c r="V105" s="27">
        <f t="shared" si="46"/>
        <v>0</v>
      </c>
      <c r="W105" s="27">
        <f t="shared" si="46"/>
        <v>0</v>
      </c>
      <c r="X105" s="27">
        <f t="shared" si="46"/>
        <v>0</v>
      </c>
      <c r="Y105" s="27">
        <f t="shared" si="46"/>
        <v>0</v>
      </c>
      <c r="Z105" s="27">
        <f t="shared" si="46"/>
        <v>0</v>
      </c>
      <c r="AA105" s="27">
        <f t="shared" si="46"/>
        <v>0</v>
      </c>
      <c r="AB105" s="27">
        <f t="shared" si="46"/>
        <v>0</v>
      </c>
      <c r="AC105" s="27">
        <f t="shared" si="46"/>
        <v>0</v>
      </c>
      <c r="AD105" s="27">
        <f t="shared" si="46"/>
        <v>0</v>
      </c>
      <c r="AE105" s="27">
        <f t="shared" si="46"/>
        <v>0</v>
      </c>
      <c r="AF105" s="27">
        <f t="shared" si="46"/>
        <v>0</v>
      </c>
      <c r="AG105" s="27">
        <f t="shared" si="46"/>
        <v>0</v>
      </c>
      <c r="AH105" s="27">
        <f t="shared" si="46"/>
        <v>0</v>
      </c>
      <c r="AI105" s="27">
        <f t="shared" si="46"/>
        <v>0</v>
      </c>
      <c r="AJ105" s="27">
        <f t="shared" si="46"/>
        <v>0</v>
      </c>
      <c r="AK105" s="27">
        <f t="shared" si="46"/>
        <v>0</v>
      </c>
      <c r="AL105" s="27">
        <f t="shared" si="46"/>
        <v>0</v>
      </c>
      <c r="AM105" s="27">
        <f t="shared" si="46"/>
        <v>0</v>
      </c>
      <c r="AN105" s="27">
        <f t="shared" si="46"/>
        <v>0</v>
      </c>
      <c r="AO105" s="27">
        <f t="shared" si="46"/>
        <v>0</v>
      </c>
      <c r="AP105" s="27">
        <f t="shared" si="46"/>
        <v>0</v>
      </c>
      <c r="AQ105" s="27">
        <f t="shared" si="46"/>
        <v>0</v>
      </c>
      <c r="AR105" s="27">
        <f t="shared" si="46"/>
        <v>0</v>
      </c>
      <c r="AS105" s="27">
        <f t="shared" si="46"/>
        <v>0</v>
      </c>
      <c r="AT105" s="27">
        <f t="shared" si="46"/>
        <v>0</v>
      </c>
      <c r="AU105" s="27">
        <f t="shared" si="46"/>
        <v>0</v>
      </c>
      <c r="AV105" s="27">
        <f t="shared" si="46"/>
        <v>0</v>
      </c>
      <c r="AW105" s="27">
        <f t="shared" si="46"/>
        <v>0</v>
      </c>
      <c r="AX105" s="27">
        <f t="shared" si="46"/>
        <v>0</v>
      </c>
      <c r="AY105" s="27">
        <f t="shared" si="46"/>
        <v>0</v>
      </c>
      <c r="AZ105" s="27">
        <f t="shared" si="46"/>
        <v>0</v>
      </c>
      <c r="BA105" s="27">
        <f t="shared" si="46"/>
        <v>0</v>
      </c>
      <c r="BB105" s="27">
        <f t="shared" si="46"/>
        <v>0</v>
      </c>
      <c r="BC105" s="27">
        <f t="shared" si="46"/>
        <v>13888.888888888889</v>
      </c>
      <c r="BD105" s="27">
        <f t="shared" si="46"/>
        <v>27777.777777777777</v>
      </c>
      <c r="BE105" s="27">
        <f t="shared" si="46"/>
        <v>41666.666666666664</v>
      </c>
      <c r="BF105" s="27">
        <f t="shared" si="46"/>
        <v>55555.555555555555</v>
      </c>
      <c r="BG105" s="27">
        <f t="shared" si="46"/>
        <v>69444.444444444438</v>
      </c>
      <c r="BH105" s="27">
        <f t="shared" si="46"/>
        <v>83333.333333333328</v>
      </c>
      <c r="BI105" s="27">
        <f t="shared" si="46"/>
        <v>97222.222222222219</v>
      </c>
      <c r="BJ105" s="27">
        <f t="shared" si="46"/>
        <v>111111.11111111111</v>
      </c>
      <c r="BK105" s="27">
        <f t="shared" si="46"/>
        <v>125000</v>
      </c>
      <c r="BL105" s="27">
        <f t="shared" si="46"/>
        <v>138888.88888888888</v>
      </c>
      <c r="BM105" s="27">
        <f t="shared" si="46"/>
        <v>152777.77777777775</v>
      </c>
      <c r="BN105" s="27">
        <f t="shared" si="46"/>
        <v>166666.66666666663</v>
      </c>
      <c r="BO105" s="27">
        <f t="shared" si="46"/>
        <v>180555.5555555555</v>
      </c>
      <c r="BP105" s="27">
        <f t="shared" si="46"/>
        <v>194444.44444444438</v>
      </c>
      <c r="BQ105" s="27">
        <f t="shared" si="46"/>
        <v>208333.33333333326</v>
      </c>
      <c r="BR105" s="27">
        <f t="shared" si="46"/>
        <v>222222.22222222213</v>
      </c>
      <c r="BS105" s="27">
        <f t="shared" si="46"/>
        <v>236111.11111111101</v>
      </c>
      <c r="BT105" s="27">
        <f t="shared" si="46"/>
        <v>249999.99999999988</v>
      </c>
      <c r="BU105" s="27">
        <f t="shared" si="46"/>
        <v>263888.88888888876</v>
      </c>
      <c r="BV105" s="27">
        <f t="shared" si="46"/>
        <v>277777.77777777764</v>
      </c>
      <c r="BW105" s="27">
        <f t="shared" si="46"/>
        <v>291666.66666666651</v>
      </c>
      <c r="BX105" s="27">
        <f t="shared" si="46"/>
        <v>305555.55555555539</v>
      </c>
      <c r="BY105" s="27">
        <f t="shared" si="46"/>
        <v>319444.44444444426</v>
      </c>
      <c r="BZ105" s="27">
        <f t="shared" si="46"/>
        <v>333333.33333333314</v>
      </c>
      <c r="CA105" s="27">
        <f t="shared" si="46"/>
        <v>347222.22222222202</v>
      </c>
      <c r="CB105" s="27">
        <f t="shared" si="46"/>
        <v>361111.11111111089</v>
      </c>
      <c r="CC105" s="27">
        <f t="shared" si="46"/>
        <v>374999.99999999977</v>
      </c>
      <c r="CD105" s="27">
        <f t="shared" si="46"/>
        <v>388888.88888888864</v>
      </c>
      <c r="CE105" s="27">
        <f t="shared" si="46"/>
        <v>402777.77777777752</v>
      </c>
      <c r="CF105" s="27">
        <f t="shared" si="46"/>
        <v>416666.6666666664</v>
      </c>
      <c r="CG105" s="27">
        <f t="shared" si="46"/>
        <v>430555.55555555527</v>
      </c>
      <c r="CH105" s="27">
        <f t="shared" si="46"/>
        <v>444444.44444444415</v>
      </c>
      <c r="CI105" s="27">
        <f t="shared" si="46"/>
        <v>458333.33333333302</v>
      </c>
      <c r="CJ105" s="27">
        <f t="shared" si="46"/>
        <v>472222.2222222219</v>
      </c>
      <c r="CK105" s="27">
        <f t="shared" si="46"/>
        <v>486111.11111111077</v>
      </c>
      <c r="CL105" s="27">
        <f t="shared" si="46"/>
        <v>499999.99999999965</v>
      </c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21"/>
      <c r="JO105" s="21"/>
      <c r="JP105" s="21"/>
      <c r="JQ105" s="21"/>
      <c r="JR105" s="21"/>
      <c r="JS105" s="21"/>
      <c r="JT105" s="21"/>
      <c r="JU105" s="21"/>
      <c r="JV105" s="21"/>
      <c r="JW105" s="21"/>
      <c r="JX105" s="21"/>
      <c r="JY105" s="21"/>
      <c r="JZ105" s="21"/>
      <c r="KA105" s="21"/>
      <c r="KB105" s="21"/>
      <c r="KC105" s="21"/>
      <c r="KD105" s="21"/>
      <c r="KE105" s="21"/>
      <c r="KF105" s="21"/>
      <c r="KG105" s="21"/>
      <c r="KH105" s="21"/>
      <c r="KI105" s="21"/>
      <c r="KJ105" s="21"/>
      <c r="KK105" s="21"/>
      <c r="KL105" s="21"/>
      <c r="KM105" s="21"/>
      <c r="KN105" s="21"/>
      <c r="KO105" s="21"/>
      <c r="KP105" s="21"/>
      <c r="KQ105" s="21"/>
      <c r="KR105" s="21"/>
      <c r="KS105" s="21"/>
      <c r="KT105" s="21"/>
      <c r="KU105" s="21"/>
      <c r="KV105" s="21"/>
      <c r="KW105" s="21"/>
      <c r="KX105" s="21"/>
      <c r="KY105" s="21"/>
      <c r="KZ105" s="21"/>
      <c r="LA105" s="21"/>
      <c r="LB105" s="21"/>
      <c r="LC105" s="21"/>
      <c r="LD105" s="21"/>
      <c r="LE105" s="21"/>
      <c r="LF105" s="21"/>
      <c r="LG105" s="21"/>
      <c r="LH105" s="21"/>
      <c r="LI105" s="21"/>
      <c r="LJ105" s="21"/>
      <c r="LK105" s="21"/>
      <c r="LL105" s="21"/>
      <c r="LM105" s="21"/>
      <c r="LN105" s="21"/>
      <c r="LO105" s="21"/>
      <c r="LP105" s="21"/>
      <c r="LQ105" s="21"/>
      <c r="LR105" s="21"/>
      <c r="LS105" s="21"/>
      <c r="LT105" s="21"/>
      <c r="LU105" s="21"/>
      <c r="LV105" s="21"/>
      <c r="LW105" s="21"/>
      <c r="LX105" s="21"/>
      <c r="LY105" s="21"/>
      <c r="LZ105" s="21"/>
      <c r="MA105" s="21"/>
      <c r="MB105" s="21"/>
      <c r="MC105" s="21"/>
      <c r="MD105" s="21"/>
      <c r="ME105" s="21"/>
      <c r="MF105" s="21"/>
      <c r="MG105" s="21"/>
      <c r="MH105" s="21"/>
      <c r="MI105" s="21"/>
      <c r="MJ105" s="21"/>
      <c r="MK105" s="21"/>
      <c r="ML105" s="21"/>
      <c r="MM105" s="21"/>
      <c r="MN105" s="21"/>
      <c r="MO105" s="21"/>
      <c r="MP105" s="21"/>
      <c r="MQ105" s="21"/>
      <c r="MR105" s="21"/>
      <c r="MS105" s="21"/>
      <c r="MT105" s="21"/>
      <c r="MU105" s="21"/>
      <c r="MV105" s="21"/>
      <c r="MW105" s="21"/>
      <c r="MX105" s="21"/>
      <c r="MY105" s="21"/>
      <c r="MZ105" s="21"/>
      <c r="NA105" s="21"/>
      <c r="NB105" s="21"/>
      <c r="NC105" s="21"/>
      <c r="ND105" s="21"/>
      <c r="NE105" s="21"/>
      <c r="NF105" s="21"/>
      <c r="NG105" s="21"/>
      <c r="NH105" s="21"/>
      <c r="NI105" s="21"/>
      <c r="NJ105" s="21"/>
      <c r="NK105" s="21"/>
      <c r="NL105" s="21"/>
      <c r="NM105" s="21"/>
      <c r="NN105" s="21"/>
      <c r="NO105" s="21"/>
      <c r="NP105" s="21"/>
      <c r="NQ105" s="21"/>
      <c r="NR105" s="21"/>
      <c r="NS105" s="21"/>
      <c r="NT105" s="21"/>
      <c r="NU105" s="21"/>
      <c r="NV105" s="21"/>
      <c r="NW105" s="21"/>
      <c r="NX105" s="21"/>
      <c r="NY105" s="21"/>
      <c r="NZ105" s="21"/>
      <c r="OA105" s="21"/>
      <c r="OB105" s="21"/>
      <c r="OC105" s="21"/>
      <c r="OD105" s="21"/>
      <c r="OE105" s="21"/>
      <c r="OF105" s="21"/>
      <c r="OG105" s="21"/>
      <c r="OH105" s="21"/>
      <c r="OI105" s="21"/>
      <c r="OJ105" s="21"/>
      <c r="OK105" s="21"/>
      <c r="OL105" s="21"/>
      <c r="OM105" s="21"/>
      <c r="ON105" s="21"/>
      <c r="OO105" s="21"/>
      <c r="OP105" s="21"/>
      <c r="OQ105" s="21"/>
      <c r="OR105" s="21"/>
      <c r="OS105" s="21"/>
      <c r="OT105" s="21"/>
      <c r="OU105" s="21"/>
      <c r="OV105" s="21"/>
      <c r="OW105" s="21"/>
      <c r="OX105" s="21"/>
      <c r="OY105" s="21"/>
      <c r="OZ105" s="21"/>
      <c r="PA105" s="21"/>
      <c r="PB105" s="21"/>
      <c r="PC105" s="21"/>
      <c r="PD105" s="21"/>
      <c r="PE105" s="21"/>
      <c r="PF105" s="21"/>
      <c r="PG105" s="21"/>
      <c r="PH105" s="21"/>
      <c r="PI105" s="21"/>
      <c r="PJ105" s="21"/>
      <c r="PK105" s="21"/>
      <c r="PL105" s="21"/>
      <c r="PM105" s="21"/>
      <c r="PN105" s="21"/>
      <c r="PO105" s="21"/>
      <c r="PP105" s="21"/>
      <c r="PQ105" s="21"/>
      <c r="PR105" s="21"/>
      <c r="PS105" s="21"/>
      <c r="PT105" s="21"/>
      <c r="PU105" s="21"/>
      <c r="PV105" s="21"/>
      <c r="PW105" s="21"/>
      <c r="PX105" s="21"/>
      <c r="PY105" s="21"/>
      <c r="PZ105" s="21"/>
      <c r="QA105" s="21"/>
      <c r="QB105" s="21"/>
      <c r="QC105" s="21"/>
      <c r="QD105" s="21"/>
      <c r="QE105" s="21"/>
      <c r="QF105" s="21"/>
      <c r="QG105" s="21"/>
      <c r="QH105" s="21"/>
      <c r="QI105" s="21"/>
      <c r="QJ105" s="21"/>
      <c r="QK105" s="21"/>
      <c r="QL105" s="21"/>
      <c r="QM105" s="21"/>
      <c r="QN105" s="21"/>
      <c r="QO105" s="21"/>
      <c r="QP105" s="21"/>
      <c r="QQ105" s="21"/>
      <c r="QR105" s="21"/>
      <c r="QS105" s="21"/>
      <c r="QT105" s="21"/>
      <c r="QU105" s="21"/>
      <c r="QV105" s="21"/>
      <c r="QW105" s="21"/>
      <c r="QX105" s="21"/>
      <c r="QY105" s="21"/>
      <c r="QZ105" s="21"/>
      <c r="RA105" s="21"/>
      <c r="RB105" s="21"/>
      <c r="RC105" s="21"/>
      <c r="RD105" s="21"/>
      <c r="RE105" s="21"/>
      <c r="RF105" s="21"/>
      <c r="RG105" s="21"/>
      <c r="RH105" s="21"/>
      <c r="RI105" s="21"/>
      <c r="RJ105" s="21"/>
      <c r="RK105" s="21"/>
      <c r="RL105" s="21"/>
      <c r="RM105" s="21"/>
      <c r="RN105" s="21"/>
      <c r="RO105" s="21"/>
      <c r="RP105" s="21"/>
      <c r="RQ105" s="21"/>
      <c r="RR105" s="21"/>
      <c r="RS105" s="21"/>
      <c r="RT105" s="21"/>
      <c r="RU105" s="21"/>
      <c r="RV105" s="21"/>
      <c r="RW105" s="21"/>
      <c r="RX105" s="21"/>
      <c r="RY105" s="21"/>
      <c r="RZ105" s="21"/>
      <c r="SA105" s="21"/>
      <c r="SB105" s="21"/>
      <c r="SC105" s="21"/>
      <c r="SD105" s="21"/>
      <c r="SE105" s="21"/>
      <c r="SF105" s="21"/>
      <c r="SG105" s="21"/>
      <c r="SH105" s="21"/>
      <c r="SI105" s="21"/>
      <c r="SJ105" s="21"/>
      <c r="SK105" s="21"/>
      <c r="SL105" s="21"/>
      <c r="SM105" s="21"/>
      <c r="SN105" s="21"/>
      <c r="SO105" s="21"/>
      <c r="SP105" s="21"/>
      <c r="SQ105" s="21"/>
      <c r="SR105" s="21"/>
      <c r="SS105" s="21"/>
      <c r="ST105" s="21"/>
      <c r="SU105" s="21"/>
      <c r="SV105" s="21"/>
      <c r="SW105" s="21"/>
      <c r="SX105" s="21"/>
      <c r="SY105" s="21"/>
      <c r="SZ105" s="21"/>
      <c r="TA105" s="21"/>
      <c r="TB105" s="21"/>
      <c r="TC105" s="21"/>
      <c r="TD105" s="21"/>
      <c r="TE105" s="21"/>
      <c r="TF105" s="21"/>
      <c r="TG105" s="21"/>
      <c r="TH105" s="21"/>
      <c r="TI105" s="21"/>
      <c r="TJ105" s="21"/>
      <c r="TK105" s="21"/>
      <c r="TL105" s="21"/>
      <c r="TM105" s="21"/>
      <c r="TN105" s="21"/>
      <c r="TO105" s="21"/>
      <c r="TP105" s="21"/>
      <c r="TQ105" s="21"/>
      <c r="TR105" s="21"/>
      <c r="TS105" s="21"/>
      <c r="TT105" s="21"/>
      <c r="TU105" s="21"/>
      <c r="TV105" s="21"/>
      <c r="TW105" s="21"/>
      <c r="TX105" s="21"/>
      <c r="TY105" s="21"/>
      <c r="TZ105" s="21"/>
      <c r="UA105" s="21"/>
      <c r="UB105" s="21"/>
      <c r="UC105" s="21"/>
      <c r="UD105" s="21"/>
      <c r="UE105" s="21"/>
      <c r="UF105" s="21"/>
      <c r="UG105" s="21"/>
      <c r="UH105" s="21"/>
      <c r="UI105" s="21"/>
      <c r="UJ105" s="21"/>
      <c r="UK105" s="21"/>
      <c r="UL105" s="21"/>
      <c r="UM105" s="21"/>
      <c r="UN105" s="21"/>
      <c r="UO105" s="21"/>
      <c r="UP105" s="21"/>
      <c r="UQ105" s="21"/>
      <c r="UR105" s="21"/>
      <c r="US105" s="21"/>
      <c r="UT105" s="21"/>
      <c r="UU105" s="21"/>
      <c r="UV105" s="21"/>
      <c r="UW105" s="21"/>
      <c r="UX105" s="21"/>
      <c r="UY105" s="21"/>
      <c r="UZ105" s="21"/>
      <c r="VA105" s="21"/>
      <c r="VB105" s="21"/>
      <c r="VC105" s="21"/>
      <c r="VD105" s="21"/>
      <c r="VE105" s="21"/>
      <c r="VF105" s="21"/>
      <c r="VG105" s="21"/>
      <c r="VH105" s="21"/>
      <c r="VI105" s="21"/>
      <c r="VJ105" s="21"/>
      <c r="VK105" s="21"/>
      <c r="VL105" s="21"/>
      <c r="VM105" s="21"/>
      <c r="VN105" s="21"/>
      <c r="VO105" s="21"/>
      <c r="VP105" s="21"/>
      <c r="VQ105" s="21"/>
      <c r="VR105" s="21"/>
      <c r="VS105" s="21"/>
      <c r="VT105" s="21"/>
      <c r="VU105" s="21"/>
      <c r="VV105" s="21"/>
      <c r="VW105" s="21"/>
      <c r="VX105" s="21"/>
      <c r="VY105" s="21"/>
      <c r="VZ105" s="21"/>
      <c r="WA105" s="21"/>
      <c r="WB105" s="21"/>
      <c r="WC105" s="21"/>
      <c r="WD105" s="21"/>
      <c r="WE105" s="21"/>
      <c r="WF105" s="21"/>
      <c r="WG105" s="21"/>
      <c r="WH105" s="21"/>
      <c r="WI105" s="21"/>
      <c r="WJ105" s="21"/>
      <c r="WK105" s="21"/>
      <c r="WL105" s="21"/>
      <c r="WM105" s="21"/>
      <c r="WN105" s="21"/>
      <c r="WO105" s="21"/>
      <c r="WP105" s="21"/>
      <c r="WQ105" s="21"/>
      <c r="WR105" s="21"/>
      <c r="WS105" s="21"/>
      <c r="WT105" s="21"/>
      <c r="WU105" s="21"/>
      <c r="WV105" s="21"/>
      <c r="WW105" s="21"/>
      <c r="WX105" s="21"/>
      <c r="WY105" s="21"/>
      <c r="WZ105" s="21"/>
      <c r="XA105" s="21"/>
      <c r="XB105" s="21"/>
      <c r="XC105" s="21"/>
      <c r="XD105" s="21"/>
      <c r="XE105" s="21"/>
      <c r="XF105" s="21"/>
      <c r="XG105" s="21"/>
      <c r="XH105" s="21"/>
      <c r="XI105" s="21"/>
      <c r="XJ105" s="21"/>
      <c r="XK105" s="21"/>
      <c r="XL105" s="21"/>
      <c r="XM105" s="21"/>
      <c r="XN105" s="21"/>
      <c r="XO105" s="21"/>
      <c r="XP105" s="21"/>
      <c r="XQ105" s="21"/>
      <c r="XR105" s="21"/>
      <c r="XS105" s="21"/>
      <c r="XT105" s="21"/>
      <c r="XU105" s="21"/>
      <c r="XV105" s="21"/>
      <c r="XW105" s="21"/>
      <c r="XX105" s="21"/>
      <c r="XY105" s="21"/>
      <c r="XZ105" s="21"/>
      <c r="YA105" s="21"/>
      <c r="YB105" s="21"/>
      <c r="YC105" s="21"/>
      <c r="YD105" s="21"/>
      <c r="YE105" s="21"/>
      <c r="YF105" s="21"/>
      <c r="YG105" s="21"/>
      <c r="YH105" s="21"/>
      <c r="YI105" s="21"/>
      <c r="YJ105" s="21"/>
      <c r="YK105" s="21"/>
      <c r="YL105" s="21"/>
      <c r="YM105" s="21"/>
      <c r="YN105" s="21"/>
      <c r="YO105" s="21"/>
      <c r="YP105" s="21"/>
      <c r="YQ105" s="21"/>
      <c r="YR105" s="21"/>
      <c r="YS105" s="21"/>
      <c r="YT105" s="21"/>
      <c r="YU105" s="21"/>
      <c r="YV105" s="21"/>
      <c r="YW105" s="21"/>
      <c r="YX105" s="21"/>
      <c r="YY105" s="21"/>
      <c r="YZ105" s="21"/>
      <c r="ZA105" s="21"/>
      <c r="ZB105" s="21"/>
      <c r="ZC105" s="21"/>
      <c r="ZD105" s="21"/>
      <c r="ZE105" s="21"/>
      <c r="ZF105" s="21"/>
      <c r="ZG105" s="21"/>
      <c r="ZH105" s="21"/>
      <c r="ZI105" s="21"/>
      <c r="ZJ105" s="21"/>
      <c r="ZK105" s="21"/>
      <c r="ZL105" s="21"/>
      <c r="ZM105" s="21"/>
      <c r="ZN105" s="21"/>
      <c r="ZO105" s="21"/>
      <c r="ZP105" s="21"/>
      <c r="ZQ105" s="21"/>
      <c r="ZR105" s="21"/>
      <c r="ZS105" s="21"/>
      <c r="ZT105" s="21"/>
      <c r="ZU105" s="21"/>
      <c r="ZV105" s="21"/>
      <c r="ZW105" s="21"/>
      <c r="ZX105" s="21"/>
      <c r="ZY105" s="21"/>
      <c r="ZZ105" s="21"/>
      <c r="AAA105" s="21"/>
      <c r="AAB105" s="21"/>
      <c r="AAC105" s="21"/>
      <c r="AAD105" s="21"/>
      <c r="AAE105" s="21"/>
      <c r="AAF105" s="21"/>
      <c r="AAG105" s="21"/>
      <c r="AAH105" s="21"/>
      <c r="AAI105" s="21"/>
      <c r="AAJ105" s="21"/>
      <c r="AAK105" s="21"/>
      <c r="AAL105" s="21"/>
      <c r="AAM105" s="21"/>
      <c r="AAN105" s="21"/>
      <c r="AAO105" s="21"/>
      <c r="AAP105" s="21"/>
      <c r="AAQ105" s="21"/>
      <c r="AAR105" s="21"/>
      <c r="AAS105" s="21"/>
      <c r="AAT105" s="21"/>
      <c r="AAU105" s="21"/>
      <c r="AAV105" s="21"/>
      <c r="AAW105" s="21"/>
      <c r="AAX105" s="21"/>
      <c r="AAY105" s="21"/>
      <c r="AAZ105" s="21"/>
      <c r="ABA105" s="21"/>
      <c r="ABB105" s="21"/>
      <c r="ABC105" s="21"/>
      <c r="ABD105" s="21"/>
      <c r="ABE105" s="21"/>
      <c r="ABF105" s="21"/>
      <c r="ABG105" s="21"/>
      <c r="ABH105" s="21"/>
      <c r="ABI105" s="21"/>
      <c r="ABJ105" s="21"/>
      <c r="ABK105" s="21"/>
      <c r="ABL105" s="21"/>
      <c r="ABM105" s="21"/>
      <c r="ABN105" s="21"/>
      <c r="ABO105" s="21"/>
      <c r="ABP105" s="21"/>
      <c r="ABQ105" s="21"/>
      <c r="ABR105" s="21"/>
      <c r="ABS105" s="21"/>
      <c r="ABT105" s="21"/>
      <c r="ABU105" s="21"/>
      <c r="ABV105" s="21"/>
      <c r="ABW105" s="21"/>
      <c r="ABX105" s="21"/>
      <c r="ABY105" s="21"/>
      <c r="ABZ105" s="21"/>
      <c r="ACA105" s="21"/>
      <c r="ACB105" s="21"/>
      <c r="ACC105" s="21"/>
      <c r="ACD105" s="21"/>
      <c r="ACE105" s="21"/>
      <c r="ACF105" s="21"/>
      <c r="ACG105" s="21"/>
      <c r="ACH105" s="21"/>
      <c r="ACI105" s="21"/>
      <c r="ACJ105" s="21"/>
      <c r="ACK105" s="21"/>
      <c r="ACL105" s="21"/>
      <c r="ACM105" s="21"/>
      <c r="ACN105" s="21"/>
      <c r="ACO105" s="21"/>
      <c r="ACP105" s="21"/>
      <c r="ACQ105" s="21"/>
      <c r="ACR105" s="21"/>
      <c r="ACS105" s="21"/>
      <c r="ACT105" s="21"/>
      <c r="ACU105" s="21"/>
      <c r="ACV105" s="21"/>
      <c r="ACW105" s="21"/>
      <c r="ACX105" s="21"/>
      <c r="ACY105" s="21"/>
      <c r="ACZ105" s="21"/>
      <c r="ADA105" s="21"/>
      <c r="ADB105" s="21"/>
      <c r="ADC105" s="21"/>
      <c r="ADD105" s="21"/>
      <c r="ADE105" s="21"/>
      <c r="ADF105" s="21"/>
      <c r="ADG105" s="21"/>
      <c r="ADH105" s="21"/>
      <c r="ADI105" s="21"/>
      <c r="ADJ105" s="21"/>
      <c r="ADK105" s="21"/>
      <c r="ADL105" s="21"/>
      <c r="ADM105" s="21"/>
      <c r="ADN105" s="21"/>
      <c r="ADO105" s="21"/>
      <c r="ADP105" s="21"/>
      <c r="ADQ105" s="21"/>
      <c r="ADR105" s="21"/>
      <c r="ADS105" s="21"/>
      <c r="ADT105" s="21"/>
      <c r="ADU105" s="21"/>
      <c r="ADV105" s="21"/>
      <c r="ADW105" s="21"/>
      <c r="ADX105" s="21"/>
      <c r="ADY105" s="21"/>
      <c r="ADZ105" s="21"/>
      <c r="AEA105" s="21"/>
      <c r="AEB105" s="21"/>
      <c r="AEC105" s="21"/>
      <c r="AED105" s="21"/>
      <c r="AEE105" s="21"/>
      <c r="AEF105" s="21"/>
      <c r="AEG105" s="21"/>
      <c r="AEH105" s="21"/>
      <c r="AEI105" s="21"/>
      <c r="AEJ105" s="21"/>
      <c r="AEK105" s="21"/>
      <c r="AEL105" s="21"/>
      <c r="AEM105" s="21"/>
      <c r="AEN105" s="21"/>
      <c r="AEO105" s="21"/>
      <c r="AEP105" s="21"/>
      <c r="AEQ105" s="21"/>
      <c r="AER105" s="21"/>
      <c r="AES105" s="21"/>
      <c r="AET105" s="21"/>
      <c r="AEU105" s="21"/>
      <c r="AEV105" s="21"/>
      <c r="AEW105" s="21"/>
      <c r="AEX105" s="21"/>
      <c r="AEY105" s="21"/>
      <c r="AEZ105" s="21"/>
      <c r="AFA105" s="21"/>
      <c r="AFB105" s="21"/>
      <c r="AFC105" s="21"/>
      <c r="AFD105" s="21"/>
      <c r="AFE105" s="21"/>
      <c r="AFF105" s="21"/>
      <c r="AFG105" s="21"/>
      <c r="AFH105" s="21"/>
      <c r="AFI105" s="21"/>
      <c r="AFJ105" s="21"/>
      <c r="AFK105" s="21"/>
      <c r="AFL105" s="21"/>
      <c r="AFM105" s="21"/>
      <c r="AFN105" s="21"/>
      <c r="AFO105" s="21"/>
      <c r="AFP105" s="21"/>
      <c r="AFQ105" s="21"/>
      <c r="AFR105" s="21"/>
      <c r="AFS105" s="21"/>
      <c r="AFT105" s="21"/>
      <c r="AFU105" s="21"/>
      <c r="AFV105" s="21"/>
      <c r="AFW105" s="21"/>
      <c r="AFX105" s="21"/>
      <c r="AFY105" s="21"/>
      <c r="AFZ105" s="21"/>
      <c r="AGA105" s="21"/>
      <c r="AGB105" s="21"/>
      <c r="AGC105" s="21"/>
      <c r="AGD105" s="21"/>
      <c r="AGE105" s="21"/>
      <c r="AGF105" s="21"/>
      <c r="AGG105" s="21"/>
      <c r="AGH105" s="21"/>
      <c r="AGI105" s="21"/>
      <c r="AGJ105" s="21"/>
      <c r="AGK105" s="21"/>
      <c r="AGL105" s="21"/>
      <c r="AGM105" s="21"/>
      <c r="AGN105" s="21"/>
      <c r="AGO105" s="21"/>
      <c r="AGP105" s="21"/>
      <c r="AGQ105" s="21"/>
      <c r="AGR105" s="21"/>
      <c r="AGS105" s="21"/>
    </row>
    <row r="106" spans="1:877" ht="13">
      <c r="A106" s="12"/>
      <c r="B106" s="62" t="str">
        <f t="shared" si="35"/>
        <v>Facility 6 Assets</v>
      </c>
      <c r="C106" s="12"/>
      <c r="D106" s="12"/>
      <c r="E106" s="12"/>
      <c r="F106" s="55"/>
      <c r="G106" s="27">
        <f t="shared" ref="G106:CL106" si="47">MIN(F106+ IF(G$4&gt;=$D89,$C89/($E89*12),0),$C89)</f>
        <v>0</v>
      </c>
      <c r="H106" s="27">
        <f t="shared" si="47"/>
        <v>0</v>
      </c>
      <c r="I106" s="27">
        <f t="shared" si="47"/>
        <v>0</v>
      </c>
      <c r="J106" s="27">
        <f t="shared" si="47"/>
        <v>0</v>
      </c>
      <c r="K106" s="27">
        <f t="shared" si="47"/>
        <v>0</v>
      </c>
      <c r="L106" s="27">
        <f t="shared" si="47"/>
        <v>0</v>
      </c>
      <c r="M106" s="27">
        <f t="shared" si="47"/>
        <v>0</v>
      </c>
      <c r="N106" s="27">
        <f t="shared" si="47"/>
        <v>0</v>
      </c>
      <c r="O106" s="27">
        <f t="shared" si="47"/>
        <v>0</v>
      </c>
      <c r="P106" s="27">
        <f t="shared" si="47"/>
        <v>0</v>
      </c>
      <c r="Q106" s="27">
        <f t="shared" si="47"/>
        <v>0</v>
      </c>
      <c r="R106" s="27">
        <f t="shared" si="47"/>
        <v>0</v>
      </c>
      <c r="S106" s="27">
        <f t="shared" si="47"/>
        <v>0</v>
      </c>
      <c r="T106" s="27">
        <f t="shared" si="47"/>
        <v>0</v>
      </c>
      <c r="U106" s="27">
        <f t="shared" si="47"/>
        <v>0</v>
      </c>
      <c r="V106" s="27">
        <f t="shared" si="47"/>
        <v>0</v>
      </c>
      <c r="W106" s="27">
        <f t="shared" si="47"/>
        <v>0</v>
      </c>
      <c r="X106" s="27">
        <f t="shared" si="47"/>
        <v>0</v>
      </c>
      <c r="Y106" s="27">
        <f t="shared" si="47"/>
        <v>0</v>
      </c>
      <c r="Z106" s="27">
        <f t="shared" si="47"/>
        <v>0</v>
      </c>
      <c r="AA106" s="27">
        <f t="shared" si="47"/>
        <v>0</v>
      </c>
      <c r="AB106" s="27">
        <f t="shared" si="47"/>
        <v>0</v>
      </c>
      <c r="AC106" s="27">
        <f t="shared" si="47"/>
        <v>0</v>
      </c>
      <c r="AD106" s="27">
        <f t="shared" si="47"/>
        <v>0</v>
      </c>
      <c r="AE106" s="27">
        <f t="shared" si="47"/>
        <v>0</v>
      </c>
      <c r="AF106" s="27">
        <f t="shared" si="47"/>
        <v>0</v>
      </c>
      <c r="AG106" s="27">
        <f t="shared" si="47"/>
        <v>0</v>
      </c>
      <c r="AH106" s="27">
        <f t="shared" si="47"/>
        <v>0</v>
      </c>
      <c r="AI106" s="27">
        <f t="shared" si="47"/>
        <v>0</v>
      </c>
      <c r="AJ106" s="27">
        <f t="shared" si="47"/>
        <v>0</v>
      </c>
      <c r="AK106" s="27">
        <f t="shared" si="47"/>
        <v>0</v>
      </c>
      <c r="AL106" s="27">
        <f t="shared" si="47"/>
        <v>0</v>
      </c>
      <c r="AM106" s="27">
        <f t="shared" si="47"/>
        <v>0</v>
      </c>
      <c r="AN106" s="27">
        <f t="shared" si="47"/>
        <v>0</v>
      </c>
      <c r="AO106" s="27">
        <f t="shared" si="47"/>
        <v>0</v>
      </c>
      <c r="AP106" s="27">
        <f t="shared" si="47"/>
        <v>0</v>
      </c>
      <c r="AQ106" s="27">
        <f t="shared" si="47"/>
        <v>30000</v>
      </c>
      <c r="AR106" s="27">
        <f t="shared" si="47"/>
        <v>60000</v>
      </c>
      <c r="AS106" s="27">
        <f t="shared" si="47"/>
        <v>90000</v>
      </c>
      <c r="AT106" s="27">
        <f t="shared" si="47"/>
        <v>120000</v>
      </c>
      <c r="AU106" s="27">
        <f t="shared" si="47"/>
        <v>150000</v>
      </c>
      <c r="AV106" s="27">
        <f t="shared" si="47"/>
        <v>180000</v>
      </c>
      <c r="AW106" s="27">
        <f t="shared" si="47"/>
        <v>210000</v>
      </c>
      <c r="AX106" s="27">
        <f t="shared" si="47"/>
        <v>240000</v>
      </c>
      <c r="AY106" s="27">
        <f t="shared" si="47"/>
        <v>270000</v>
      </c>
      <c r="AZ106" s="27">
        <f t="shared" si="47"/>
        <v>300000</v>
      </c>
      <c r="BA106" s="27">
        <f t="shared" si="47"/>
        <v>330000</v>
      </c>
      <c r="BB106" s="27">
        <f t="shared" si="47"/>
        <v>360000</v>
      </c>
      <c r="BC106" s="27">
        <f t="shared" si="47"/>
        <v>390000</v>
      </c>
      <c r="BD106" s="27">
        <f t="shared" si="47"/>
        <v>420000</v>
      </c>
      <c r="BE106" s="27">
        <f t="shared" si="47"/>
        <v>450000</v>
      </c>
      <c r="BF106" s="27">
        <f t="shared" si="47"/>
        <v>480000</v>
      </c>
      <c r="BG106" s="27">
        <f t="shared" si="47"/>
        <v>510000</v>
      </c>
      <c r="BH106" s="27">
        <f t="shared" si="47"/>
        <v>540000</v>
      </c>
      <c r="BI106" s="27">
        <f t="shared" si="47"/>
        <v>570000</v>
      </c>
      <c r="BJ106" s="27">
        <f t="shared" si="47"/>
        <v>600000</v>
      </c>
      <c r="BK106" s="27">
        <f t="shared" si="47"/>
        <v>630000</v>
      </c>
      <c r="BL106" s="27">
        <f t="shared" si="47"/>
        <v>660000</v>
      </c>
      <c r="BM106" s="27">
        <f t="shared" si="47"/>
        <v>690000</v>
      </c>
      <c r="BN106" s="27">
        <f t="shared" si="47"/>
        <v>720000</v>
      </c>
      <c r="BO106" s="27">
        <f t="shared" si="47"/>
        <v>750000</v>
      </c>
      <c r="BP106" s="27">
        <f t="shared" si="47"/>
        <v>780000</v>
      </c>
      <c r="BQ106" s="27">
        <f t="shared" si="47"/>
        <v>810000</v>
      </c>
      <c r="BR106" s="27">
        <f t="shared" si="47"/>
        <v>840000</v>
      </c>
      <c r="BS106" s="27">
        <f t="shared" si="47"/>
        <v>870000</v>
      </c>
      <c r="BT106" s="27">
        <f t="shared" si="47"/>
        <v>900000</v>
      </c>
      <c r="BU106" s="27">
        <f t="shared" si="47"/>
        <v>930000</v>
      </c>
      <c r="BV106" s="27">
        <f t="shared" si="47"/>
        <v>960000</v>
      </c>
      <c r="BW106" s="27">
        <f t="shared" si="47"/>
        <v>990000</v>
      </c>
      <c r="BX106" s="27">
        <f t="shared" si="47"/>
        <v>1020000</v>
      </c>
      <c r="BY106" s="27">
        <f t="shared" si="47"/>
        <v>1050000</v>
      </c>
      <c r="BZ106" s="27">
        <f t="shared" si="47"/>
        <v>1080000</v>
      </c>
      <c r="CA106" s="27">
        <f t="shared" si="47"/>
        <v>1110000</v>
      </c>
      <c r="CB106" s="27">
        <f t="shared" si="47"/>
        <v>1140000</v>
      </c>
      <c r="CC106" s="27">
        <f t="shared" si="47"/>
        <v>1170000</v>
      </c>
      <c r="CD106" s="27">
        <f t="shared" si="47"/>
        <v>1200000</v>
      </c>
      <c r="CE106" s="27">
        <f t="shared" si="47"/>
        <v>1230000</v>
      </c>
      <c r="CF106" s="27">
        <f t="shared" si="47"/>
        <v>1260000</v>
      </c>
      <c r="CG106" s="27">
        <f t="shared" si="47"/>
        <v>1290000</v>
      </c>
      <c r="CH106" s="27">
        <f t="shared" si="47"/>
        <v>1320000</v>
      </c>
      <c r="CI106" s="27">
        <f t="shared" si="47"/>
        <v>1350000</v>
      </c>
      <c r="CJ106" s="27">
        <f t="shared" si="47"/>
        <v>1380000</v>
      </c>
      <c r="CK106" s="27">
        <f t="shared" si="47"/>
        <v>1410000</v>
      </c>
      <c r="CL106" s="27">
        <f t="shared" si="47"/>
        <v>1440000</v>
      </c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21"/>
      <c r="JO106" s="21"/>
      <c r="JP106" s="21"/>
      <c r="JQ106" s="21"/>
      <c r="JR106" s="21"/>
      <c r="JS106" s="21"/>
      <c r="JT106" s="21"/>
      <c r="JU106" s="21"/>
      <c r="JV106" s="21"/>
      <c r="JW106" s="21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  <c r="KJ106" s="21"/>
      <c r="KK106" s="21"/>
      <c r="KL106" s="21"/>
      <c r="KM106" s="21"/>
      <c r="KN106" s="21"/>
      <c r="KO106" s="21"/>
      <c r="KP106" s="21"/>
      <c r="KQ106" s="21"/>
      <c r="KR106" s="21"/>
      <c r="KS106" s="21"/>
      <c r="KT106" s="21"/>
      <c r="KU106" s="21"/>
      <c r="KV106" s="21"/>
      <c r="KW106" s="21"/>
      <c r="KX106" s="21"/>
      <c r="KY106" s="21"/>
      <c r="KZ106" s="21"/>
      <c r="LA106" s="21"/>
      <c r="LB106" s="21"/>
      <c r="LC106" s="21"/>
      <c r="LD106" s="21"/>
      <c r="LE106" s="21"/>
      <c r="LF106" s="21"/>
      <c r="LG106" s="21"/>
      <c r="LH106" s="21"/>
      <c r="LI106" s="21"/>
      <c r="LJ106" s="21"/>
      <c r="LK106" s="21"/>
      <c r="LL106" s="21"/>
      <c r="LM106" s="21"/>
      <c r="LN106" s="21"/>
      <c r="LO106" s="21"/>
      <c r="LP106" s="21"/>
      <c r="LQ106" s="21"/>
      <c r="LR106" s="21"/>
      <c r="LS106" s="21"/>
      <c r="LT106" s="21"/>
      <c r="LU106" s="21"/>
      <c r="LV106" s="21"/>
      <c r="LW106" s="21"/>
      <c r="LX106" s="21"/>
      <c r="LY106" s="21"/>
      <c r="LZ106" s="21"/>
      <c r="MA106" s="21"/>
      <c r="MB106" s="21"/>
      <c r="MC106" s="21"/>
      <c r="MD106" s="21"/>
      <c r="ME106" s="21"/>
      <c r="MF106" s="21"/>
      <c r="MG106" s="21"/>
      <c r="MH106" s="21"/>
      <c r="MI106" s="21"/>
      <c r="MJ106" s="21"/>
      <c r="MK106" s="21"/>
      <c r="ML106" s="21"/>
      <c r="MM106" s="21"/>
      <c r="MN106" s="21"/>
      <c r="MO106" s="21"/>
      <c r="MP106" s="21"/>
      <c r="MQ106" s="21"/>
      <c r="MR106" s="21"/>
      <c r="MS106" s="21"/>
      <c r="MT106" s="21"/>
      <c r="MU106" s="21"/>
      <c r="MV106" s="21"/>
      <c r="MW106" s="21"/>
      <c r="MX106" s="21"/>
      <c r="MY106" s="21"/>
      <c r="MZ106" s="21"/>
      <c r="NA106" s="21"/>
      <c r="NB106" s="21"/>
      <c r="NC106" s="21"/>
      <c r="ND106" s="21"/>
      <c r="NE106" s="21"/>
      <c r="NF106" s="21"/>
      <c r="NG106" s="21"/>
      <c r="NH106" s="21"/>
      <c r="NI106" s="21"/>
      <c r="NJ106" s="21"/>
      <c r="NK106" s="21"/>
      <c r="NL106" s="21"/>
      <c r="NM106" s="21"/>
      <c r="NN106" s="21"/>
      <c r="NO106" s="21"/>
      <c r="NP106" s="21"/>
      <c r="NQ106" s="21"/>
      <c r="NR106" s="21"/>
      <c r="NS106" s="21"/>
      <c r="NT106" s="21"/>
      <c r="NU106" s="21"/>
      <c r="NV106" s="21"/>
      <c r="NW106" s="21"/>
      <c r="NX106" s="21"/>
      <c r="NY106" s="21"/>
      <c r="NZ106" s="21"/>
      <c r="OA106" s="21"/>
      <c r="OB106" s="21"/>
      <c r="OC106" s="21"/>
      <c r="OD106" s="21"/>
      <c r="OE106" s="21"/>
      <c r="OF106" s="21"/>
      <c r="OG106" s="21"/>
      <c r="OH106" s="21"/>
      <c r="OI106" s="21"/>
      <c r="OJ106" s="21"/>
      <c r="OK106" s="21"/>
      <c r="OL106" s="21"/>
      <c r="OM106" s="21"/>
      <c r="ON106" s="21"/>
      <c r="OO106" s="21"/>
      <c r="OP106" s="21"/>
      <c r="OQ106" s="21"/>
      <c r="OR106" s="21"/>
      <c r="OS106" s="21"/>
      <c r="OT106" s="21"/>
      <c r="OU106" s="21"/>
      <c r="OV106" s="21"/>
      <c r="OW106" s="21"/>
      <c r="OX106" s="21"/>
      <c r="OY106" s="21"/>
      <c r="OZ106" s="21"/>
      <c r="PA106" s="21"/>
      <c r="PB106" s="21"/>
      <c r="PC106" s="21"/>
      <c r="PD106" s="21"/>
      <c r="PE106" s="21"/>
      <c r="PF106" s="21"/>
      <c r="PG106" s="21"/>
      <c r="PH106" s="21"/>
      <c r="PI106" s="21"/>
      <c r="PJ106" s="21"/>
      <c r="PK106" s="21"/>
      <c r="PL106" s="21"/>
      <c r="PM106" s="21"/>
      <c r="PN106" s="21"/>
      <c r="PO106" s="21"/>
      <c r="PP106" s="21"/>
      <c r="PQ106" s="21"/>
      <c r="PR106" s="21"/>
      <c r="PS106" s="21"/>
      <c r="PT106" s="21"/>
      <c r="PU106" s="21"/>
      <c r="PV106" s="21"/>
      <c r="PW106" s="21"/>
      <c r="PX106" s="21"/>
      <c r="PY106" s="21"/>
      <c r="PZ106" s="21"/>
      <c r="QA106" s="21"/>
      <c r="QB106" s="21"/>
      <c r="QC106" s="21"/>
      <c r="QD106" s="21"/>
      <c r="QE106" s="21"/>
      <c r="QF106" s="21"/>
      <c r="QG106" s="21"/>
      <c r="QH106" s="21"/>
      <c r="QI106" s="21"/>
      <c r="QJ106" s="21"/>
      <c r="QK106" s="21"/>
      <c r="QL106" s="21"/>
      <c r="QM106" s="21"/>
      <c r="QN106" s="21"/>
      <c r="QO106" s="21"/>
      <c r="QP106" s="21"/>
      <c r="QQ106" s="21"/>
      <c r="QR106" s="21"/>
      <c r="QS106" s="21"/>
      <c r="QT106" s="21"/>
      <c r="QU106" s="21"/>
      <c r="QV106" s="21"/>
      <c r="QW106" s="21"/>
      <c r="QX106" s="21"/>
      <c r="QY106" s="21"/>
      <c r="QZ106" s="21"/>
      <c r="RA106" s="21"/>
      <c r="RB106" s="21"/>
      <c r="RC106" s="21"/>
      <c r="RD106" s="21"/>
      <c r="RE106" s="21"/>
      <c r="RF106" s="21"/>
      <c r="RG106" s="21"/>
      <c r="RH106" s="21"/>
      <c r="RI106" s="21"/>
      <c r="RJ106" s="21"/>
      <c r="RK106" s="21"/>
      <c r="RL106" s="21"/>
      <c r="RM106" s="21"/>
      <c r="RN106" s="21"/>
      <c r="RO106" s="21"/>
      <c r="RP106" s="21"/>
      <c r="RQ106" s="21"/>
      <c r="RR106" s="21"/>
      <c r="RS106" s="21"/>
      <c r="RT106" s="21"/>
      <c r="RU106" s="21"/>
      <c r="RV106" s="21"/>
      <c r="RW106" s="21"/>
      <c r="RX106" s="21"/>
      <c r="RY106" s="21"/>
      <c r="RZ106" s="21"/>
      <c r="SA106" s="21"/>
      <c r="SB106" s="21"/>
      <c r="SC106" s="21"/>
      <c r="SD106" s="21"/>
      <c r="SE106" s="21"/>
      <c r="SF106" s="21"/>
      <c r="SG106" s="21"/>
      <c r="SH106" s="21"/>
      <c r="SI106" s="21"/>
      <c r="SJ106" s="21"/>
      <c r="SK106" s="21"/>
      <c r="SL106" s="21"/>
      <c r="SM106" s="21"/>
      <c r="SN106" s="21"/>
      <c r="SO106" s="21"/>
      <c r="SP106" s="21"/>
      <c r="SQ106" s="21"/>
      <c r="SR106" s="21"/>
      <c r="SS106" s="21"/>
      <c r="ST106" s="21"/>
      <c r="SU106" s="21"/>
      <c r="SV106" s="21"/>
      <c r="SW106" s="21"/>
      <c r="SX106" s="21"/>
      <c r="SY106" s="21"/>
      <c r="SZ106" s="21"/>
      <c r="TA106" s="21"/>
      <c r="TB106" s="21"/>
      <c r="TC106" s="21"/>
      <c r="TD106" s="21"/>
      <c r="TE106" s="21"/>
      <c r="TF106" s="21"/>
      <c r="TG106" s="21"/>
      <c r="TH106" s="21"/>
      <c r="TI106" s="21"/>
      <c r="TJ106" s="21"/>
      <c r="TK106" s="21"/>
      <c r="TL106" s="21"/>
      <c r="TM106" s="21"/>
      <c r="TN106" s="21"/>
      <c r="TO106" s="21"/>
      <c r="TP106" s="21"/>
      <c r="TQ106" s="21"/>
      <c r="TR106" s="21"/>
      <c r="TS106" s="21"/>
      <c r="TT106" s="21"/>
      <c r="TU106" s="21"/>
      <c r="TV106" s="21"/>
      <c r="TW106" s="21"/>
      <c r="TX106" s="21"/>
      <c r="TY106" s="21"/>
      <c r="TZ106" s="21"/>
      <c r="UA106" s="21"/>
      <c r="UB106" s="21"/>
      <c r="UC106" s="21"/>
      <c r="UD106" s="21"/>
      <c r="UE106" s="21"/>
      <c r="UF106" s="21"/>
      <c r="UG106" s="21"/>
      <c r="UH106" s="21"/>
      <c r="UI106" s="21"/>
      <c r="UJ106" s="21"/>
      <c r="UK106" s="21"/>
      <c r="UL106" s="21"/>
      <c r="UM106" s="21"/>
      <c r="UN106" s="21"/>
      <c r="UO106" s="21"/>
      <c r="UP106" s="21"/>
      <c r="UQ106" s="21"/>
      <c r="UR106" s="21"/>
      <c r="US106" s="21"/>
      <c r="UT106" s="21"/>
      <c r="UU106" s="21"/>
      <c r="UV106" s="21"/>
      <c r="UW106" s="21"/>
      <c r="UX106" s="21"/>
      <c r="UY106" s="21"/>
      <c r="UZ106" s="21"/>
      <c r="VA106" s="21"/>
      <c r="VB106" s="21"/>
      <c r="VC106" s="21"/>
      <c r="VD106" s="21"/>
      <c r="VE106" s="21"/>
      <c r="VF106" s="21"/>
      <c r="VG106" s="21"/>
      <c r="VH106" s="21"/>
      <c r="VI106" s="21"/>
      <c r="VJ106" s="21"/>
      <c r="VK106" s="21"/>
      <c r="VL106" s="21"/>
      <c r="VM106" s="21"/>
      <c r="VN106" s="21"/>
      <c r="VO106" s="21"/>
      <c r="VP106" s="21"/>
      <c r="VQ106" s="21"/>
      <c r="VR106" s="21"/>
      <c r="VS106" s="21"/>
      <c r="VT106" s="21"/>
      <c r="VU106" s="21"/>
      <c r="VV106" s="21"/>
      <c r="VW106" s="21"/>
      <c r="VX106" s="21"/>
      <c r="VY106" s="21"/>
      <c r="VZ106" s="21"/>
      <c r="WA106" s="21"/>
      <c r="WB106" s="21"/>
      <c r="WC106" s="21"/>
      <c r="WD106" s="21"/>
      <c r="WE106" s="21"/>
      <c r="WF106" s="21"/>
      <c r="WG106" s="21"/>
      <c r="WH106" s="21"/>
      <c r="WI106" s="21"/>
      <c r="WJ106" s="21"/>
      <c r="WK106" s="21"/>
      <c r="WL106" s="21"/>
      <c r="WM106" s="21"/>
      <c r="WN106" s="21"/>
      <c r="WO106" s="21"/>
      <c r="WP106" s="21"/>
      <c r="WQ106" s="21"/>
      <c r="WR106" s="21"/>
      <c r="WS106" s="21"/>
      <c r="WT106" s="21"/>
      <c r="WU106" s="21"/>
      <c r="WV106" s="21"/>
      <c r="WW106" s="21"/>
      <c r="WX106" s="21"/>
      <c r="WY106" s="21"/>
      <c r="WZ106" s="21"/>
      <c r="XA106" s="21"/>
      <c r="XB106" s="21"/>
      <c r="XC106" s="21"/>
      <c r="XD106" s="21"/>
      <c r="XE106" s="21"/>
      <c r="XF106" s="21"/>
      <c r="XG106" s="21"/>
      <c r="XH106" s="21"/>
      <c r="XI106" s="21"/>
      <c r="XJ106" s="21"/>
      <c r="XK106" s="21"/>
      <c r="XL106" s="21"/>
      <c r="XM106" s="21"/>
      <c r="XN106" s="21"/>
      <c r="XO106" s="21"/>
      <c r="XP106" s="21"/>
      <c r="XQ106" s="21"/>
      <c r="XR106" s="21"/>
      <c r="XS106" s="21"/>
      <c r="XT106" s="21"/>
      <c r="XU106" s="21"/>
      <c r="XV106" s="21"/>
      <c r="XW106" s="21"/>
      <c r="XX106" s="21"/>
      <c r="XY106" s="21"/>
      <c r="XZ106" s="21"/>
      <c r="YA106" s="21"/>
      <c r="YB106" s="21"/>
      <c r="YC106" s="21"/>
      <c r="YD106" s="21"/>
      <c r="YE106" s="21"/>
      <c r="YF106" s="21"/>
      <c r="YG106" s="21"/>
      <c r="YH106" s="21"/>
      <c r="YI106" s="21"/>
      <c r="YJ106" s="21"/>
      <c r="YK106" s="21"/>
      <c r="YL106" s="21"/>
      <c r="YM106" s="21"/>
      <c r="YN106" s="21"/>
      <c r="YO106" s="21"/>
      <c r="YP106" s="21"/>
      <c r="YQ106" s="21"/>
      <c r="YR106" s="21"/>
      <c r="YS106" s="21"/>
      <c r="YT106" s="21"/>
      <c r="YU106" s="21"/>
      <c r="YV106" s="21"/>
      <c r="YW106" s="21"/>
      <c r="YX106" s="21"/>
      <c r="YY106" s="21"/>
      <c r="YZ106" s="21"/>
      <c r="ZA106" s="21"/>
      <c r="ZB106" s="21"/>
      <c r="ZC106" s="21"/>
      <c r="ZD106" s="21"/>
      <c r="ZE106" s="21"/>
      <c r="ZF106" s="21"/>
      <c r="ZG106" s="21"/>
      <c r="ZH106" s="21"/>
      <c r="ZI106" s="21"/>
      <c r="ZJ106" s="21"/>
      <c r="ZK106" s="21"/>
      <c r="ZL106" s="21"/>
      <c r="ZM106" s="21"/>
      <c r="ZN106" s="21"/>
      <c r="ZO106" s="21"/>
      <c r="ZP106" s="21"/>
      <c r="ZQ106" s="21"/>
      <c r="ZR106" s="21"/>
      <c r="ZS106" s="21"/>
      <c r="ZT106" s="21"/>
      <c r="ZU106" s="21"/>
      <c r="ZV106" s="21"/>
      <c r="ZW106" s="21"/>
      <c r="ZX106" s="21"/>
      <c r="ZY106" s="21"/>
      <c r="ZZ106" s="21"/>
      <c r="AAA106" s="21"/>
      <c r="AAB106" s="21"/>
      <c r="AAC106" s="21"/>
      <c r="AAD106" s="21"/>
      <c r="AAE106" s="21"/>
      <c r="AAF106" s="21"/>
      <c r="AAG106" s="21"/>
      <c r="AAH106" s="21"/>
      <c r="AAI106" s="21"/>
      <c r="AAJ106" s="21"/>
      <c r="AAK106" s="21"/>
      <c r="AAL106" s="21"/>
      <c r="AAM106" s="21"/>
      <c r="AAN106" s="21"/>
      <c r="AAO106" s="21"/>
      <c r="AAP106" s="21"/>
      <c r="AAQ106" s="21"/>
      <c r="AAR106" s="21"/>
      <c r="AAS106" s="21"/>
      <c r="AAT106" s="21"/>
      <c r="AAU106" s="21"/>
      <c r="AAV106" s="21"/>
      <c r="AAW106" s="21"/>
      <c r="AAX106" s="21"/>
      <c r="AAY106" s="21"/>
      <c r="AAZ106" s="21"/>
      <c r="ABA106" s="21"/>
      <c r="ABB106" s="21"/>
      <c r="ABC106" s="21"/>
      <c r="ABD106" s="21"/>
      <c r="ABE106" s="21"/>
      <c r="ABF106" s="21"/>
      <c r="ABG106" s="21"/>
      <c r="ABH106" s="21"/>
      <c r="ABI106" s="21"/>
      <c r="ABJ106" s="21"/>
      <c r="ABK106" s="21"/>
      <c r="ABL106" s="21"/>
      <c r="ABM106" s="21"/>
      <c r="ABN106" s="21"/>
      <c r="ABO106" s="21"/>
      <c r="ABP106" s="21"/>
      <c r="ABQ106" s="21"/>
      <c r="ABR106" s="21"/>
      <c r="ABS106" s="21"/>
      <c r="ABT106" s="21"/>
      <c r="ABU106" s="21"/>
      <c r="ABV106" s="21"/>
      <c r="ABW106" s="21"/>
      <c r="ABX106" s="21"/>
      <c r="ABY106" s="21"/>
      <c r="ABZ106" s="21"/>
      <c r="ACA106" s="21"/>
      <c r="ACB106" s="21"/>
      <c r="ACC106" s="21"/>
      <c r="ACD106" s="21"/>
      <c r="ACE106" s="21"/>
      <c r="ACF106" s="21"/>
      <c r="ACG106" s="21"/>
      <c r="ACH106" s="21"/>
      <c r="ACI106" s="21"/>
      <c r="ACJ106" s="21"/>
      <c r="ACK106" s="21"/>
      <c r="ACL106" s="21"/>
      <c r="ACM106" s="21"/>
      <c r="ACN106" s="21"/>
      <c r="ACO106" s="21"/>
      <c r="ACP106" s="21"/>
      <c r="ACQ106" s="21"/>
      <c r="ACR106" s="21"/>
      <c r="ACS106" s="21"/>
      <c r="ACT106" s="21"/>
      <c r="ACU106" s="21"/>
      <c r="ACV106" s="21"/>
      <c r="ACW106" s="21"/>
      <c r="ACX106" s="21"/>
      <c r="ACY106" s="21"/>
      <c r="ACZ106" s="21"/>
      <c r="ADA106" s="21"/>
      <c r="ADB106" s="21"/>
      <c r="ADC106" s="21"/>
      <c r="ADD106" s="21"/>
      <c r="ADE106" s="21"/>
      <c r="ADF106" s="21"/>
      <c r="ADG106" s="21"/>
      <c r="ADH106" s="21"/>
      <c r="ADI106" s="21"/>
      <c r="ADJ106" s="21"/>
      <c r="ADK106" s="21"/>
      <c r="ADL106" s="21"/>
      <c r="ADM106" s="21"/>
      <c r="ADN106" s="21"/>
      <c r="ADO106" s="21"/>
      <c r="ADP106" s="21"/>
      <c r="ADQ106" s="21"/>
      <c r="ADR106" s="21"/>
      <c r="ADS106" s="21"/>
      <c r="ADT106" s="21"/>
      <c r="ADU106" s="21"/>
      <c r="ADV106" s="21"/>
      <c r="ADW106" s="21"/>
      <c r="ADX106" s="21"/>
      <c r="ADY106" s="21"/>
      <c r="ADZ106" s="21"/>
      <c r="AEA106" s="21"/>
      <c r="AEB106" s="21"/>
      <c r="AEC106" s="21"/>
      <c r="AED106" s="21"/>
      <c r="AEE106" s="21"/>
      <c r="AEF106" s="21"/>
      <c r="AEG106" s="21"/>
      <c r="AEH106" s="21"/>
      <c r="AEI106" s="21"/>
      <c r="AEJ106" s="21"/>
      <c r="AEK106" s="21"/>
      <c r="AEL106" s="21"/>
      <c r="AEM106" s="21"/>
      <c r="AEN106" s="21"/>
      <c r="AEO106" s="21"/>
      <c r="AEP106" s="21"/>
      <c r="AEQ106" s="21"/>
      <c r="AER106" s="21"/>
      <c r="AES106" s="21"/>
      <c r="AET106" s="21"/>
      <c r="AEU106" s="21"/>
      <c r="AEV106" s="21"/>
      <c r="AEW106" s="21"/>
      <c r="AEX106" s="21"/>
      <c r="AEY106" s="21"/>
      <c r="AEZ106" s="21"/>
      <c r="AFA106" s="21"/>
      <c r="AFB106" s="21"/>
      <c r="AFC106" s="21"/>
      <c r="AFD106" s="21"/>
      <c r="AFE106" s="21"/>
      <c r="AFF106" s="21"/>
      <c r="AFG106" s="21"/>
      <c r="AFH106" s="21"/>
      <c r="AFI106" s="21"/>
      <c r="AFJ106" s="21"/>
      <c r="AFK106" s="21"/>
      <c r="AFL106" s="21"/>
      <c r="AFM106" s="21"/>
      <c r="AFN106" s="21"/>
      <c r="AFO106" s="21"/>
      <c r="AFP106" s="21"/>
      <c r="AFQ106" s="21"/>
      <c r="AFR106" s="21"/>
      <c r="AFS106" s="21"/>
      <c r="AFT106" s="21"/>
      <c r="AFU106" s="21"/>
      <c r="AFV106" s="21"/>
      <c r="AFW106" s="21"/>
      <c r="AFX106" s="21"/>
      <c r="AFY106" s="21"/>
      <c r="AFZ106" s="21"/>
      <c r="AGA106" s="21"/>
      <c r="AGB106" s="21"/>
      <c r="AGC106" s="21"/>
      <c r="AGD106" s="21"/>
      <c r="AGE106" s="21"/>
      <c r="AGF106" s="21"/>
      <c r="AGG106" s="21"/>
      <c r="AGH106" s="21"/>
      <c r="AGI106" s="21"/>
      <c r="AGJ106" s="21"/>
      <c r="AGK106" s="21"/>
      <c r="AGL106" s="21"/>
      <c r="AGM106" s="21"/>
      <c r="AGN106" s="21"/>
      <c r="AGO106" s="21"/>
      <c r="AGP106" s="21"/>
      <c r="AGQ106" s="21"/>
      <c r="AGR106" s="21"/>
      <c r="AGS106" s="21"/>
    </row>
    <row r="107" spans="1:877" ht="13">
      <c r="A107" s="12"/>
      <c r="B107" s="62" t="str">
        <f t="shared" si="35"/>
        <v>Facility 6 Assets Expansion 1</v>
      </c>
      <c r="C107" s="12"/>
      <c r="D107" s="12"/>
      <c r="E107" s="12"/>
      <c r="F107" s="55"/>
      <c r="G107" s="27">
        <f t="shared" ref="G107:CL107" si="48">MIN(F107+ IF(G$4&gt;=$D90,$C90/($E90*12),0),$C90)</f>
        <v>0</v>
      </c>
      <c r="H107" s="27">
        <f t="shared" si="48"/>
        <v>0</v>
      </c>
      <c r="I107" s="27">
        <f t="shared" si="48"/>
        <v>0</v>
      </c>
      <c r="J107" s="27">
        <f t="shared" si="48"/>
        <v>0</v>
      </c>
      <c r="K107" s="27">
        <f t="shared" si="48"/>
        <v>0</v>
      </c>
      <c r="L107" s="27">
        <f t="shared" si="48"/>
        <v>0</v>
      </c>
      <c r="M107" s="27">
        <f t="shared" si="48"/>
        <v>0</v>
      </c>
      <c r="N107" s="27">
        <f t="shared" si="48"/>
        <v>0</v>
      </c>
      <c r="O107" s="27">
        <f t="shared" si="48"/>
        <v>0</v>
      </c>
      <c r="P107" s="27">
        <f t="shared" si="48"/>
        <v>0</v>
      </c>
      <c r="Q107" s="27">
        <f t="shared" si="48"/>
        <v>0</v>
      </c>
      <c r="R107" s="27">
        <f t="shared" si="48"/>
        <v>0</v>
      </c>
      <c r="S107" s="27">
        <f t="shared" si="48"/>
        <v>0</v>
      </c>
      <c r="T107" s="27">
        <f t="shared" si="48"/>
        <v>0</v>
      </c>
      <c r="U107" s="27">
        <f t="shared" si="48"/>
        <v>0</v>
      </c>
      <c r="V107" s="27">
        <f t="shared" si="48"/>
        <v>0</v>
      </c>
      <c r="W107" s="27">
        <f t="shared" si="48"/>
        <v>0</v>
      </c>
      <c r="X107" s="27">
        <f t="shared" si="48"/>
        <v>0</v>
      </c>
      <c r="Y107" s="27">
        <f t="shared" si="48"/>
        <v>0</v>
      </c>
      <c r="Z107" s="27">
        <f t="shared" si="48"/>
        <v>0</v>
      </c>
      <c r="AA107" s="27">
        <f t="shared" si="48"/>
        <v>0</v>
      </c>
      <c r="AB107" s="27">
        <f t="shared" si="48"/>
        <v>0</v>
      </c>
      <c r="AC107" s="27">
        <f t="shared" si="48"/>
        <v>0</v>
      </c>
      <c r="AD107" s="27">
        <f t="shared" si="48"/>
        <v>0</v>
      </c>
      <c r="AE107" s="27">
        <f t="shared" si="48"/>
        <v>0</v>
      </c>
      <c r="AF107" s="27">
        <f t="shared" si="48"/>
        <v>0</v>
      </c>
      <c r="AG107" s="27">
        <f t="shared" si="48"/>
        <v>0</v>
      </c>
      <c r="AH107" s="27">
        <f t="shared" si="48"/>
        <v>0</v>
      </c>
      <c r="AI107" s="27">
        <f t="shared" si="48"/>
        <v>0</v>
      </c>
      <c r="AJ107" s="27">
        <f t="shared" si="48"/>
        <v>0</v>
      </c>
      <c r="AK107" s="27">
        <f t="shared" si="48"/>
        <v>0</v>
      </c>
      <c r="AL107" s="27">
        <f t="shared" si="48"/>
        <v>0</v>
      </c>
      <c r="AM107" s="27">
        <f t="shared" si="48"/>
        <v>0</v>
      </c>
      <c r="AN107" s="27">
        <f t="shared" si="48"/>
        <v>0</v>
      </c>
      <c r="AO107" s="27">
        <f t="shared" si="48"/>
        <v>0</v>
      </c>
      <c r="AP107" s="27">
        <f t="shared" si="48"/>
        <v>0</v>
      </c>
      <c r="AQ107" s="27">
        <f t="shared" si="48"/>
        <v>0</v>
      </c>
      <c r="AR107" s="27">
        <f t="shared" si="48"/>
        <v>0</v>
      </c>
      <c r="AS107" s="27">
        <f t="shared" si="48"/>
        <v>0</v>
      </c>
      <c r="AT107" s="27">
        <f t="shared" si="48"/>
        <v>0</v>
      </c>
      <c r="AU107" s="27">
        <f t="shared" si="48"/>
        <v>0</v>
      </c>
      <c r="AV107" s="27">
        <f t="shared" si="48"/>
        <v>0</v>
      </c>
      <c r="AW107" s="27">
        <f t="shared" si="48"/>
        <v>0</v>
      </c>
      <c r="AX107" s="27">
        <f t="shared" si="48"/>
        <v>0</v>
      </c>
      <c r="AY107" s="27">
        <f t="shared" si="48"/>
        <v>0</v>
      </c>
      <c r="AZ107" s="27">
        <f t="shared" si="48"/>
        <v>0</v>
      </c>
      <c r="BA107" s="27">
        <f t="shared" si="48"/>
        <v>0</v>
      </c>
      <c r="BB107" s="27">
        <f t="shared" si="48"/>
        <v>0</v>
      </c>
      <c r="BC107" s="27">
        <f t="shared" si="48"/>
        <v>13888.888888888889</v>
      </c>
      <c r="BD107" s="27">
        <f t="shared" si="48"/>
        <v>27777.777777777777</v>
      </c>
      <c r="BE107" s="27">
        <f t="shared" si="48"/>
        <v>41666.666666666664</v>
      </c>
      <c r="BF107" s="27">
        <f t="shared" si="48"/>
        <v>55555.555555555555</v>
      </c>
      <c r="BG107" s="27">
        <f t="shared" si="48"/>
        <v>69444.444444444438</v>
      </c>
      <c r="BH107" s="27">
        <f t="shared" si="48"/>
        <v>83333.333333333328</v>
      </c>
      <c r="BI107" s="27">
        <f t="shared" si="48"/>
        <v>97222.222222222219</v>
      </c>
      <c r="BJ107" s="27">
        <f t="shared" si="48"/>
        <v>111111.11111111111</v>
      </c>
      <c r="BK107" s="27">
        <f t="shared" si="48"/>
        <v>125000</v>
      </c>
      <c r="BL107" s="27">
        <f t="shared" si="48"/>
        <v>138888.88888888888</v>
      </c>
      <c r="BM107" s="27">
        <f t="shared" si="48"/>
        <v>152777.77777777775</v>
      </c>
      <c r="BN107" s="27">
        <f t="shared" si="48"/>
        <v>166666.66666666663</v>
      </c>
      <c r="BO107" s="27">
        <f t="shared" si="48"/>
        <v>180555.5555555555</v>
      </c>
      <c r="BP107" s="27">
        <f t="shared" si="48"/>
        <v>194444.44444444438</v>
      </c>
      <c r="BQ107" s="27">
        <f t="shared" si="48"/>
        <v>208333.33333333326</v>
      </c>
      <c r="BR107" s="27">
        <f t="shared" si="48"/>
        <v>222222.22222222213</v>
      </c>
      <c r="BS107" s="27">
        <f t="shared" si="48"/>
        <v>236111.11111111101</v>
      </c>
      <c r="BT107" s="27">
        <f t="shared" si="48"/>
        <v>249999.99999999988</v>
      </c>
      <c r="BU107" s="27">
        <f t="shared" si="48"/>
        <v>263888.88888888876</v>
      </c>
      <c r="BV107" s="27">
        <f t="shared" si="48"/>
        <v>277777.77777777764</v>
      </c>
      <c r="BW107" s="27">
        <f t="shared" si="48"/>
        <v>291666.66666666651</v>
      </c>
      <c r="BX107" s="27">
        <f t="shared" si="48"/>
        <v>305555.55555555539</v>
      </c>
      <c r="BY107" s="27">
        <f t="shared" si="48"/>
        <v>319444.44444444426</v>
      </c>
      <c r="BZ107" s="27">
        <f t="shared" si="48"/>
        <v>333333.33333333314</v>
      </c>
      <c r="CA107" s="27">
        <f t="shared" si="48"/>
        <v>347222.22222222202</v>
      </c>
      <c r="CB107" s="27">
        <f t="shared" si="48"/>
        <v>361111.11111111089</v>
      </c>
      <c r="CC107" s="27">
        <f t="shared" si="48"/>
        <v>374999.99999999977</v>
      </c>
      <c r="CD107" s="27">
        <f t="shared" si="48"/>
        <v>388888.88888888864</v>
      </c>
      <c r="CE107" s="27">
        <f t="shared" si="48"/>
        <v>402777.77777777752</v>
      </c>
      <c r="CF107" s="27">
        <f t="shared" si="48"/>
        <v>416666.6666666664</v>
      </c>
      <c r="CG107" s="27">
        <f t="shared" si="48"/>
        <v>430555.55555555527</v>
      </c>
      <c r="CH107" s="27">
        <f t="shared" si="48"/>
        <v>444444.44444444415</v>
      </c>
      <c r="CI107" s="27">
        <f t="shared" si="48"/>
        <v>458333.33333333302</v>
      </c>
      <c r="CJ107" s="27">
        <f t="shared" si="48"/>
        <v>472222.2222222219</v>
      </c>
      <c r="CK107" s="27">
        <f t="shared" si="48"/>
        <v>486111.11111111077</v>
      </c>
      <c r="CL107" s="27">
        <f t="shared" si="48"/>
        <v>499999.99999999965</v>
      </c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1"/>
      <c r="JV107" s="21"/>
      <c r="JW107" s="21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  <c r="KJ107" s="21"/>
      <c r="KK107" s="21"/>
      <c r="KL107" s="21"/>
      <c r="KM107" s="21"/>
      <c r="KN107" s="21"/>
      <c r="KO107" s="21"/>
      <c r="KP107" s="21"/>
      <c r="KQ107" s="21"/>
      <c r="KR107" s="21"/>
      <c r="KS107" s="21"/>
      <c r="KT107" s="21"/>
      <c r="KU107" s="21"/>
      <c r="KV107" s="21"/>
      <c r="KW107" s="21"/>
      <c r="KX107" s="21"/>
      <c r="KY107" s="21"/>
      <c r="KZ107" s="21"/>
      <c r="LA107" s="21"/>
      <c r="LB107" s="21"/>
      <c r="LC107" s="21"/>
      <c r="LD107" s="21"/>
      <c r="LE107" s="21"/>
      <c r="LF107" s="21"/>
      <c r="LG107" s="21"/>
      <c r="LH107" s="21"/>
      <c r="LI107" s="21"/>
      <c r="LJ107" s="21"/>
      <c r="LK107" s="21"/>
      <c r="LL107" s="21"/>
      <c r="LM107" s="21"/>
      <c r="LN107" s="21"/>
      <c r="LO107" s="21"/>
      <c r="LP107" s="21"/>
      <c r="LQ107" s="21"/>
      <c r="LR107" s="21"/>
      <c r="LS107" s="21"/>
      <c r="LT107" s="21"/>
      <c r="LU107" s="21"/>
      <c r="LV107" s="21"/>
      <c r="LW107" s="21"/>
      <c r="LX107" s="21"/>
      <c r="LY107" s="21"/>
      <c r="LZ107" s="21"/>
      <c r="MA107" s="21"/>
      <c r="MB107" s="21"/>
      <c r="MC107" s="21"/>
      <c r="MD107" s="21"/>
      <c r="ME107" s="21"/>
      <c r="MF107" s="21"/>
      <c r="MG107" s="21"/>
      <c r="MH107" s="21"/>
      <c r="MI107" s="21"/>
      <c r="MJ107" s="21"/>
      <c r="MK107" s="21"/>
      <c r="ML107" s="21"/>
      <c r="MM107" s="21"/>
      <c r="MN107" s="21"/>
      <c r="MO107" s="21"/>
      <c r="MP107" s="21"/>
      <c r="MQ107" s="21"/>
      <c r="MR107" s="21"/>
      <c r="MS107" s="21"/>
      <c r="MT107" s="21"/>
      <c r="MU107" s="21"/>
      <c r="MV107" s="21"/>
      <c r="MW107" s="21"/>
      <c r="MX107" s="21"/>
      <c r="MY107" s="21"/>
      <c r="MZ107" s="21"/>
      <c r="NA107" s="21"/>
      <c r="NB107" s="21"/>
      <c r="NC107" s="21"/>
      <c r="ND107" s="21"/>
      <c r="NE107" s="21"/>
      <c r="NF107" s="21"/>
      <c r="NG107" s="21"/>
      <c r="NH107" s="21"/>
      <c r="NI107" s="21"/>
      <c r="NJ107" s="21"/>
      <c r="NK107" s="21"/>
      <c r="NL107" s="21"/>
      <c r="NM107" s="21"/>
      <c r="NN107" s="21"/>
      <c r="NO107" s="21"/>
      <c r="NP107" s="21"/>
      <c r="NQ107" s="21"/>
      <c r="NR107" s="21"/>
      <c r="NS107" s="21"/>
      <c r="NT107" s="21"/>
      <c r="NU107" s="21"/>
      <c r="NV107" s="21"/>
      <c r="NW107" s="21"/>
      <c r="NX107" s="21"/>
      <c r="NY107" s="21"/>
      <c r="NZ107" s="21"/>
      <c r="OA107" s="21"/>
      <c r="OB107" s="21"/>
      <c r="OC107" s="21"/>
      <c r="OD107" s="21"/>
      <c r="OE107" s="21"/>
      <c r="OF107" s="21"/>
      <c r="OG107" s="21"/>
      <c r="OH107" s="21"/>
      <c r="OI107" s="21"/>
      <c r="OJ107" s="21"/>
      <c r="OK107" s="21"/>
      <c r="OL107" s="21"/>
      <c r="OM107" s="21"/>
      <c r="ON107" s="21"/>
      <c r="OO107" s="21"/>
      <c r="OP107" s="21"/>
      <c r="OQ107" s="21"/>
      <c r="OR107" s="21"/>
      <c r="OS107" s="21"/>
      <c r="OT107" s="21"/>
      <c r="OU107" s="21"/>
      <c r="OV107" s="21"/>
      <c r="OW107" s="21"/>
      <c r="OX107" s="21"/>
      <c r="OY107" s="21"/>
      <c r="OZ107" s="21"/>
      <c r="PA107" s="21"/>
      <c r="PB107" s="21"/>
      <c r="PC107" s="21"/>
      <c r="PD107" s="21"/>
      <c r="PE107" s="21"/>
      <c r="PF107" s="21"/>
      <c r="PG107" s="21"/>
      <c r="PH107" s="21"/>
      <c r="PI107" s="21"/>
      <c r="PJ107" s="21"/>
      <c r="PK107" s="21"/>
      <c r="PL107" s="21"/>
      <c r="PM107" s="21"/>
      <c r="PN107" s="21"/>
      <c r="PO107" s="21"/>
      <c r="PP107" s="21"/>
      <c r="PQ107" s="21"/>
      <c r="PR107" s="21"/>
      <c r="PS107" s="21"/>
      <c r="PT107" s="21"/>
      <c r="PU107" s="21"/>
      <c r="PV107" s="21"/>
      <c r="PW107" s="21"/>
      <c r="PX107" s="21"/>
      <c r="PY107" s="21"/>
      <c r="PZ107" s="21"/>
      <c r="QA107" s="21"/>
      <c r="QB107" s="21"/>
      <c r="QC107" s="21"/>
      <c r="QD107" s="21"/>
      <c r="QE107" s="21"/>
      <c r="QF107" s="21"/>
      <c r="QG107" s="21"/>
      <c r="QH107" s="21"/>
      <c r="QI107" s="21"/>
      <c r="QJ107" s="21"/>
      <c r="QK107" s="21"/>
      <c r="QL107" s="21"/>
      <c r="QM107" s="21"/>
      <c r="QN107" s="21"/>
      <c r="QO107" s="21"/>
      <c r="QP107" s="21"/>
      <c r="QQ107" s="21"/>
      <c r="QR107" s="21"/>
      <c r="QS107" s="21"/>
      <c r="QT107" s="21"/>
      <c r="QU107" s="21"/>
      <c r="QV107" s="21"/>
      <c r="QW107" s="21"/>
      <c r="QX107" s="21"/>
      <c r="QY107" s="21"/>
      <c r="QZ107" s="21"/>
      <c r="RA107" s="21"/>
      <c r="RB107" s="21"/>
      <c r="RC107" s="21"/>
      <c r="RD107" s="21"/>
      <c r="RE107" s="21"/>
      <c r="RF107" s="21"/>
      <c r="RG107" s="21"/>
      <c r="RH107" s="21"/>
      <c r="RI107" s="21"/>
      <c r="RJ107" s="21"/>
      <c r="RK107" s="21"/>
      <c r="RL107" s="21"/>
      <c r="RM107" s="21"/>
      <c r="RN107" s="21"/>
      <c r="RO107" s="21"/>
      <c r="RP107" s="21"/>
      <c r="RQ107" s="21"/>
      <c r="RR107" s="21"/>
      <c r="RS107" s="21"/>
      <c r="RT107" s="21"/>
      <c r="RU107" s="21"/>
      <c r="RV107" s="21"/>
      <c r="RW107" s="21"/>
      <c r="RX107" s="21"/>
      <c r="RY107" s="21"/>
      <c r="RZ107" s="21"/>
      <c r="SA107" s="21"/>
      <c r="SB107" s="21"/>
      <c r="SC107" s="21"/>
      <c r="SD107" s="21"/>
      <c r="SE107" s="21"/>
      <c r="SF107" s="21"/>
      <c r="SG107" s="21"/>
      <c r="SH107" s="21"/>
      <c r="SI107" s="21"/>
      <c r="SJ107" s="21"/>
      <c r="SK107" s="21"/>
      <c r="SL107" s="21"/>
      <c r="SM107" s="21"/>
      <c r="SN107" s="21"/>
      <c r="SO107" s="21"/>
      <c r="SP107" s="21"/>
      <c r="SQ107" s="21"/>
      <c r="SR107" s="21"/>
      <c r="SS107" s="21"/>
      <c r="ST107" s="21"/>
      <c r="SU107" s="21"/>
      <c r="SV107" s="21"/>
      <c r="SW107" s="21"/>
      <c r="SX107" s="21"/>
      <c r="SY107" s="21"/>
      <c r="SZ107" s="21"/>
      <c r="TA107" s="21"/>
      <c r="TB107" s="21"/>
      <c r="TC107" s="21"/>
      <c r="TD107" s="21"/>
      <c r="TE107" s="21"/>
      <c r="TF107" s="21"/>
      <c r="TG107" s="21"/>
      <c r="TH107" s="21"/>
      <c r="TI107" s="21"/>
      <c r="TJ107" s="21"/>
      <c r="TK107" s="21"/>
      <c r="TL107" s="21"/>
      <c r="TM107" s="21"/>
      <c r="TN107" s="21"/>
      <c r="TO107" s="21"/>
      <c r="TP107" s="21"/>
      <c r="TQ107" s="21"/>
      <c r="TR107" s="21"/>
      <c r="TS107" s="21"/>
      <c r="TT107" s="21"/>
      <c r="TU107" s="21"/>
      <c r="TV107" s="21"/>
      <c r="TW107" s="21"/>
      <c r="TX107" s="21"/>
      <c r="TY107" s="21"/>
      <c r="TZ107" s="21"/>
      <c r="UA107" s="21"/>
      <c r="UB107" s="21"/>
      <c r="UC107" s="21"/>
      <c r="UD107" s="21"/>
      <c r="UE107" s="21"/>
      <c r="UF107" s="21"/>
      <c r="UG107" s="21"/>
      <c r="UH107" s="21"/>
      <c r="UI107" s="21"/>
      <c r="UJ107" s="21"/>
      <c r="UK107" s="21"/>
      <c r="UL107" s="21"/>
      <c r="UM107" s="21"/>
      <c r="UN107" s="21"/>
      <c r="UO107" s="21"/>
      <c r="UP107" s="21"/>
      <c r="UQ107" s="21"/>
      <c r="UR107" s="21"/>
      <c r="US107" s="21"/>
      <c r="UT107" s="21"/>
      <c r="UU107" s="21"/>
      <c r="UV107" s="21"/>
      <c r="UW107" s="21"/>
      <c r="UX107" s="21"/>
      <c r="UY107" s="21"/>
      <c r="UZ107" s="21"/>
      <c r="VA107" s="21"/>
      <c r="VB107" s="21"/>
      <c r="VC107" s="21"/>
      <c r="VD107" s="21"/>
      <c r="VE107" s="21"/>
      <c r="VF107" s="21"/>
      <c r="VG107" s="21"/>
      <c r="VH107" s="21"/>
      <c r="VI107" s="21"/>
      <c r="VJ107" s="21"/>
      <c r="VK107" s="21"/>
      <c r="VL107" s="21"/>
      <c r="VM107" s="21"/>
      <c r="VN107" s="21"/>
      <c r="VO107" s="21"/>
      <c r="VP107" s="21"/>
      <c r="VQ107" s="21"/>
      <c r="VR107" s="21"/>
      <c r="VS107" s="21"/>
      <c r="VT107" s="21"/>
      <c r="VU107" s="21"/>
      <c r="VV107" s="21"/>
      <c r="VW107" s="21"/>
      <c r="VX107" s="21"/>
      <c r="VY107" s="21"/>
      <c r="VZ107" s="21"/>
      <c r="WA107" s="21"/>
      <c r="WB107" s="21"/>
      <c r="WC107" s="21"/>
      <c r="WD107" s="21"/>
      <c r="WE107" s="21"/>
      <c r="WF107" s="21"/>
      <c r="WG107" s="21"/>
      <c r="WH107" s="21"/>
      <c r="WI107" s="21"/>
      <c r="WJ107" s="21"/>
      <c r="WK107" s="21"/>
      <c r="WL107" s="21"/>
      <c r="WM107" s="21"/>
      <c r="WN107" s="21"/>
      <c r="WO107" s="21"/>
      <c r="WP107" s="21"/>
      <c r="WQ107" s="21"/>
      <c r="WR107" s="21"/>
      <c r="WS107" s="21"/>
      <c r="WT107" s="21"/>
      <c r="WU107" s="21"/>
      <c r="WV107" s="21"/>
      <c r="WW107" s="21"/>
      <c r="WX107" s="21"/>
      <c r="WY107" s="21"/>
      <c r="WZ107" s="21"/>
      <c r="XA107" s="21"/>
      <c r="XB107" s="21"/>
      <c r="XC107" s="21"/>
      <c r="XD107" s="21"/>
      <c r="XE107" s="21"/>
      <c r="XF107" s="21"/>
      <c r="XG107" s="21"/>
      <c r="XH107" s="21"/>
      <c r="XI107" s="21"/>
      <c r="XJ107" s="21"/>
      <c r="XK107" s="21"/>
      <c r="XL107" s="21"/>
      <c r="XM107" s="21"/>
      <c r="XN107" s="21"/>
      <c r="XO107" s="21"/>
      <c r="XP107" s="21"/>
      <c r="XQ107" s="21"/>
      <c r="XR107" s="21"/>
      <c r="XS107" s="21"/>
      <c r="XT107" s="21"/>
      <c r="XU107" s="21"/>
      <c r="XV107" s="21"/>
      <c r="XW107" s="21"/>
      <c r="XX107" s="21"/>
      <c r="XY107" s="21"/>
      <c r="XZ107" s="21"/>
      <c r="YA107" s="21"/>
      <c r="YB107" s="21"/>
      <c r="YC107" s="21"/>
      <c r="YD107" s="21"/>
      <c r="YE107" s="21"/>
      <c r="YF107" s="21"/>
      <c r="YG107" s="21"/>
      <c r="YH107" s="21"/>
      <c r="YI107" s="21"/>
      <c r="YJ107" s="21"/>
      <c r="YK107" s="21"/>
      <c r="YL107" s="21"/>
      <c r="YM107" s="21"/>
      <c r="YN107" s="21"/>
      <c r="YO107" s="21"/>
      <c r="YP107" s="21"/>
      <c r="YQ107" s="21"/>
      <c r="YR107" s="21"/>
      <c r="YS107" s="21"/>
      <c r="YT107" s="21"/>
      <c r="YU107" s="21"/>
      <c r="YV107" s="21"/>
      <c r="YW107" s="21"/>
      <c r="YX107" s="21"/>
      <c r="YY107" s="21"/>
      <c r="YZ107" s="21"/>
      <c r="ZA107" s="21"/>
      <c r="ZB107" s="21"/>
      <c r="ZC107" s="21"/>
      <c r="ZD107" s="21"/>
      <c r="ZE107" s="21"/>
      <c r="ZF107" s="21"/>
      <c r="ZG107" s="21"/>
      <c r="ZH107" s="21"/>
      <c r="ZI107" s="21"/>
      <c r="ZJ107" s="21"/>
      <c r="ZK107" s="21"/>
      <c r="ZL107" s="21"/>
      <c r="ZM107" s="21"/>
      <c r="ZN107" s="21"/>
      <c r="ZO107" s="21"/>
      <c r="ZP107" s="21"/>
      <c r="ZQ107" s="21"/>
      <c r="ZR107" s="21"/>
      <c r="ZS107" s="21"/>
      <c r="ZT107" s="21"/>
      <c r="ZU107" s="21"/>
      <c r="ZV107" s="21"/>
      <c r="ZW107" s="21"/>
      <c r="ZX107" s="21"/>
      <c r="ZY107" s="21"/>
      <c r="ZZ107" s="21"/>
      <c r="AAA107" s="21"/>
      <c r="AAB107" s="21"/>
      <c r="AAC107" s="21"/>
      <c r="AAD107" s="21"/>
      <c r="AAE107" s="21"/>
      <c r="AAF107" s="21"/>
      <c r="AAG107" s="21"/>
      <c r="AAH107" s="21"/>
      <c r="AAI107" s="21"/>
      <c r="AAJ107" s="21"/>
      <c r="AAK107" s="21"/>
      <c r="AAL107" s="21"/>
      <c r="AAM107" s="21"/>
      <c r="AAN107" s="21"/>
      <c r="AAO107" s="21"/>
      <c r="AAP107" s="21"/>
      <c r="AAQ107" s="21"/>
      <c r="AAR107" s="21"/>
      <c r="AAS107" s="21"/>
      <c r="AAT107" s="21"/>
      <c r="AAU107" s="21"/>
      <c r="AAV107" s="21"/>
      <c r="AAW107" s="21"/>
      <c r="AAX107" s="21"/>
      <c r="AAY107" s="21"/>
      <c r="AAZ107" s="21"/>
      <c r="ABA107" s="21"/>
      <c r="ABB107" s="21"/>
      <c r="ABC107" s="21"/>
      <c r="ABD107" s="21"/>
      <c r="ABE107" s="21"/>
      <c r="ABF107" s="21"/>
      <c r="ABG107" s="21"/>
      <c r="ABH107" s="21"/>
      <c r="ABI107" s="21"/>
      <c r="ABJ107" s="21"/>
      <c r="ABK107" s="21"/>
      <c r="ABL107" s="21"/>
      <c r="ABM107" s="21"/>
      <c r="ABN107" s="21"/>
      <c r="ABO107" s="21"/>
      <c r="ABP107" s="21"/>
      <c r="ABQ107" s="21"/>
      <c r="ABR107" s="21"/>
      <c r="ABS107" s="21"/>
      <c r="ABT107" s="21"/>
      <c r="ABU107" s="21"/>
      <c r="ABV107" s="21"/>
      <c r="ABW107" s="21"/>
      <c r="ABX107" s="21"/>
      <c r="ABY107" s="21"/>
      <c r="ABZ107" s="21"/>
      <c r="ACA107" s="21"/>
      <c r="ACB107" s="21"/>
      <c r="ACC107" s="21"/>
      <c r="ACD107" s="21"/>
      <c r="ACE107" s="21"/>
      <c r="ACF107" s="21"/>
      <c r="ACG107" s="21"/>
      <c r="ACH107" s="21"/>
      <c r="ACI107" s="21"/>
      <c r="ACJ107" s="21"/>
      <c r="ACK107" s="21"/>
      <c r="ACL107" s="21"/>
      <c r="ACM107" s="21"/>
      <c r="ACN107" s="21"/>
      <c r="ACO107" s="21"/>
      <c r="ACP107" s="21"/>
      <c r="ACQ107" s="21"/>
      <c r="ACR107" s="21"/>
      <c r="ACS107" s="21"/>
      <c r="ACT107" s="21"/>
      <c r="ACU107" s="21"/>
      <c r="ACV107" s="21"/>
      <c r="ACW107" s="21"/>
      <c r="ACX107" s="21"/>
      <c r="ACY107" s="21"/>
      <c r="ACZ107" s="21"/>
      <c r="ADA107" s="21"/>
      <c r="ADB107" s="21"/>
      <c r="ADC107" s="21"/>
      <c r="ADD107" s="21"/>
      <c r="ADE107" s="21"/>
      <c r="ADF107" s="21"/>
      <c r="ADG107" s="21"/>
      <c r="ADH107" s="21"/>
      <c r="ADI107" s="21"/>
      <c r="ADJ107" s="21"/>
      <c r="ADK107" s="21"/>
      <c r="ADL107" s="21"/>
      <c r="ADM107" s="21"/>
      <c r="ADN107" s="21"/>
      <c r="ADO107" s="21"/>
      <c r="ADP107" s="21"/>
      <c r="ADQ107" s="21"/>
      <c r="ADR107" s="21"/>
      <c r="ADS107" s="21"/>
      <c r="ADT107" s="21"/>
      <c r="ADU107" s="21"/>
      <c r="ADV107" s="21"/>
      <c r="ADW107" s="21"/>
      <c r="ADX107" s="21"/>
      <c r="ADY107" s="21"/>
      <c r="ADZ107" s="21"/>
      <c r="AEA107" s="21"/>
      <c r="AEB107" s="21"/>
      <c r="AEC107" s="21"/>
      <c r="AED107" s="21"/>
      <c r="AEE107" s="21"/>
      <c r="AEF107" s="21"/>
      <c r="AEG107" s="21"/>
      <c r="AEH107" s="21"/>
      <c r="AEI107" s="21"/>
      <c r="AEJ107" s="21"/>
      <c r="AEK107" s="21"/>
      <c r="AEL107" s="21"/>
      <c r="AEM107" s="21"/>
      <c r="AEN107" s="21"/>
      <c r="AEO107" s="21"/>
      <c r="AEP107" s="21"/>
      <c r="AEQ107" s="21"/>
      <c r="AER107" s="21"/>
      <c r="AES107" s="21"/>
      <c r="AET107" s="21"/>
      <c r="AEU107" s="21"/>
      <c r="AEV107" s="21"/>
      <c r="AEW107" s="21"/>
      <c r="AEX107" s="21"/>
      <c r="AEY107" s="21"/>
      <c r="AEZ107" s="21"/>
      <c r="AFA107" s="21"/>
      <c r="AFB107" s="21"/>
      <c r="AFC107" s="21"/>
      <c r="AFD107" s="21"/>
      <c r="AFE107" s="21"/>
      <c r="AFF107" s="21"/>
      <c r="AFG107" s="21"/>
      <c r="AFH107" s="21"/>
      <c r="AFI107" s="21"/>
      <c r="AFJ107" s="21"/>
      <c r="AFK107" s="21"/>
      <c r="AFL107" s="21"/>
      <c r="AFM107" s="21"/>
      <c r="AFN107" s="21"/>
      <c r="AFO107" s="21"/>
      <c r="AFP107" s="21"/>
      <c r="AFQ107" s="21"/>
      <c r="AFR107" s="21"/>
      <c r="AFS107" s="21"/>
      <c r="AFT107" s="21"/>
      <c r="AFU107" s="21"/>
      <c r="AFV107" s="21"/>
      <c r="AFW107" s="21"/>
      <c r="AFX107" s="21"/>
      <c r="AFY107" s="21"/>
      <c r="AFZ107" s="21"/>
      <c r="AGA107" s="21"/>
      <c r="AGB107" s="21"/>
      <c r="AGC107" s="21"/>
      <c r="AGD107" s="21"/>
      <c r="AGE107" s="21"/>
      <c r="AGF107" s="21"/>
      <c r="AGG107" s="21"/>
      <c r="AGH107" s="21"/>
      <c r="AGI107" s="21"/>
      <c r="AGJ107" s="21"/>
      <c r="AGK107" s="21"/>
      <c r="AGL107" s="21"/>
      <c r="AGM107" s="21"/>
      <c r="AGN107" s="21"/>
      <c r="AGO107" s="21"/>
      <c r="AGP107" s="21"/>
      <c r="AGQ107" s="21"/>
      <c r="AGR107" s="21"/>
      <c r="AGS107" s="21"/>
    </row>
    <row r="108" spans="1:877" ht="13">
      <c r="A108" s="12"/>
      <c r="B108" s="62" t="str">
        <f t="shared" si="35"/>
        <v>Facility 7-12 Assets</v>
      </c>
      <c r="C108" s="12"/>
      <c r="D108" s="12"/>
      <c r="E108" s="12"/>
      <c r="F108" s="55"/>
      <c r="G108" s="27">
        <f t="shared" ref="G108:CL108" si="49">MIN(F108+ IF(G$4&gt;=$D91,$C91/($E91*12),0),$C91)</f>
        <v>0</v>
      </c>
      <c r="H108" s="27">
        <f t="shared" si="49"/>
        <v>0</v>
      </c>
      <c r="I108" s="27">
        <f t="shared" si="49"/>
        <v>0</v>
      </c>
      <c r="J108" s="27">
        <f t="shared" si="49"/>
        <v>0</v>
      </c>
      <c r="K108" s="27">
        <f t="shared" si="49"/>
        <v>0</v>
      </c>
      <c r="L108" s="27">
        <f t="shared" si="49"/>
        <v>0</v>
      </c>
      <c r="M108" s="27">
        <f t="shared" si="49"/>
        <v>0</v>
      </c>
      <c r="N108" s="27">
        <f t="shared" si="49"/>
        <v>0</v>
      </c>
      <c r="O108" s="27">
        <f t="shared" si="49"/>
        <v>0</v>
      </c>
      <c r="P108" s="27">
        <f t="shared" si="49"/>
        <v>0</v>
      </c>
      <c r="Q108" s="27">
        <f t="shared" si="49"/>
        <v>0</v>
      </c>
      <c r="R108" s="27">
        <f t="shared" si="49"/>
        <v>0</v>
      </c>
      <c r="S108" s="27">
        <f t="shared" si="49"/>
        <v>0</v>
      </c>
      <c r="T108" s="27">
        <f t="shared" si="49"/>
        <v>0</v>
      </c>
      <c r="U108" s="27">
        <f t="shared" si="49"/>
        <v>0</v>
      </c>
      <c r="V108" s="27">
        <f t="shared" si="49"/>
        <v>0</v>
      </c>
      <c r="W108" s="27">
        <f t="shared" si="49"/>
        <v>0</v>
      </c>
      <c r="X108" s="27">
        <f t="shared" si="49"/>
        <v>0</v>
      </c>
      <c r="Y108" s="27">
        <f t="shared" si="49"/>
        <v>0</v>
      </c>
      <c r="Z108" s="27">
        <f t="shared" si="49"/>
        <v>0</v>
      </c>
      <c r="AA108" s="27">
        <f t="shared" si="49"/>
        <v>0</v>
      </c>
      <c r="AB108" s="27">
        <f t="shared" si="49"/>
        <v>0</v>
      </c>
      <c r="AC108" s="27">
        <f t="shared" si="49"/>
        <v>0</v>
      </c>
      <c r="AD108" s="27">
        <f t="shared" si="49"/>
        <v>0</v>
      </c>
      <c r="AE108" s="27">
        <f t="shared" si="49"/>
        <v>0</v>
      </c>
      <c r="AF108" s="27">
        <f t="shared" si="49"/>
        <v>0</v>
      </c>
      <c r="AG108" s="27">
        <f t="shared" si="49"/>
        <v>0</v>
      </c>
      <c r="AH108" s="27">
        <f t="shared" si="49"/>
        <v>0</v>
      </c>
      <c r="AI108" s="27">
        <f t="shared" si="49"/>
        <v>0</v>
      </c>
      <c r="AJ108" s="27">
        <f t="shared" si="49"/>
        <v>0</v>
      </c>
      <c r="AK108" s="27">
        <f t="shared" si="49"/>
        <v>0</v>
      </c>
      <c r="AL108" s="27">
        <f t="shared" si="49"/>
        <v>0</v>
      </c>
      <c r="AM108" s="27">
        <f t="shared" si="49"/>
        <v>0</v>
      </c>
      <c r="AN108" s="27">
        <f t="shared" si="49"/>
        <v>0</v>
      </c>
      <c r="AO108" s="27">
        <f t="shared" si="49"/>
        <v>0</v>
      </c>
      <c r="AP108" s="27">
        <f t="shared" si="49"/>
        <v>0</v>
      </c>
      <c r="AQ108" s="27">
        <f t="shared" si="49"/>
        <v>0</v>
      </c>
      <c r="AR108" s="27">
        <f t="shared" si="49"/>
        <v>0</v>
      </c>
      <c r="AS108" s="27">
        <f t="shared" si="49"/>
        <v>0</v>
      </c>
      <c r="AT108" s="27">
        <f t="shared" si="49"/>
        <v>0</v>
      </c>
      <c r="AU108" s="27">
        <f t="shared" si="49"/>
        <v>0</v>
      </c>
      <c r="AV108" s="27">
        <f t="shared" si="49"/>
        <v>0</v>
      </c>
      <c r="AW108" s="27">
        <f t="shared" si="49"/>
        <v>0</v>
      </c>
      <c r="AX108" s="27">
        <f t="shared" si="49"/>
        <v>0</v>
      </c>
      <c r="AY108" s="27">
        <f t="shared" si="49"/>
        <v>0</v>
      </c>
      <c r="AZ108" s="27">
        <f t="shared" si="49"/>
        <v>0</v>
      </c>
      <c r="BA108" s="27">
        <f t="shared" si="49"/>
        <v>0</v>
      </c>
      <c r="BB108" s="27">
        <f t="shared" si="49"/>
        <v>0</v>
      </c>
      <c r="BC108" s="27">
        <f t="shared" si="49"/>
        <v>180000</v>
      </c>
      <c r="BD108" s="27">
        <f t="shared" si="49"/>
        <v>360000</v>
      </c>
      <c r="BE108" s="27">
        <f t="shared" si="49"/>
        <v>540000</v>
      </c>
      <c r="BF108" s="27">
        <f t="shared" si="49"/>
        <v>720000</v>
      </c>
      <c r="BG108" s="27">
        <f t="shared" si="49"/>
        <v>900000</v>
      </c>
      <c r="BH108" s="27">
        <f t="shared" si="49"/>
        <v>1080000</v>
      </c>
      <c r="BI108" s="27">
        <f t="shared" si="49"/>
        <v>1260000</v>
      </c>
      <c r="BJ108" s="27">
        <f t="shared" si="49"/>
        <v>1440000</v>
      </c>
      <c r="BK108" s="27">
        <f t="shared" si="49"/>
        <v>1620000</v>
      </c>
      <c r="BL108" s="27">
        <f t="shared" si="49"/>
        <v>1800000</v>
      </c>
      <c r="BM108" s="27">
        <f t="shared" si="49"/>
        <v>1980000</v>
      </c>
      <c r="BN108" s="27">
        <f t="shared" si="49"/>
        <v>2160000</v>
      </c>
      <c r="BO108" s="27">
        <f t="shared" si="49"/>
        <v>2340000</v>
      </c>
      <c r="BP108" s="27">
        <f t="shared" si="49"/>
        <v>2520000</v>
      </c>
      <c r="BQ108" s="27">
        <f t="shared" si="49"/>
        <v>2700000</v>
      </c>
      <c r="BR108" s="27">
        <f t="shared" si="49"/>
        <v>2880000</v>
      </c>
      <c r="BS108" s="27">
        <f t="shared" si="49"/>
        <v>3060000</v>
      </c>
      <c r="BT108" s="27">
        <f t="shared" si="49"/>
        <v>3240000</v>
      </c>
      <c r="BU108" s="27">
        <f t="shared" si="49"/>
        <v>3420000</v>
      </c>
      <c r="BV108" s="27">
        <f t="shared" si="49"/>
        <v>3600000</v>
      </c>
      <c r="BW108" s="27">
        <f t="shared" si="49"/>
        <v>3780000</v>
      </c>
      <c r="BX108" s="27">
        <f t="shared" si="49"/>
        <v>3960000</v>
      </c>
      <c r="BY108" s="27">
        <f t="shared" si="49"/>
        <v>4140000</v>
      </c>
      <c r="BZ108" s="27">
        <f t="shared" si="49"/>
        <v>4320000</v>
      </c>
      <c r="CA108" s="27">
        <f t="shared" si="49"/>
        <v>4500000</v>
      </c>
      <c r="CB108" s="27">
        <f t="shared" si="49"/>
        <v>4680000</v>
      </c>
      <c r="CC108" s="27">
        <f t="shared" si="49"/>
        <v>4860000</v>
      </c>
      <c r="CD108" s="27">
        <f t="shared" si="49"/>
        <v>5040000</v>
      </c>
      <c r="CE108" s="27">
        <f t="shared" si="49"/>
        <v>5220000</v>
      </c>
      <c r="CF108" s="27">
        <f t="shared" si="49"/>
        <v>5400000</v>
      </c>
      <c r="CG108" s="27">
        <f t="shared" si="49"/>
        <v>5580000</v>
      </c>
      <c r="CH108" s="27">
        <f t="shared" si="49"/>
        <v>5760000</v>
      </c>
      <c r="CI108" s="27">
        <f t="shared" si="49"/>
        <v>5940000</v>
      </c>
      <c r="CJ108" s="27">
        <f t="shared" si="49"/>
        <v>6120000</v>
      </c>
      <c r="CK108" s="27">
        <f t="shared" si="49"/>
        <v>6300000</v>
      </c>
      <c r="CL108" s="27">
        <f t="shared" si="49"/>
        <v>6480000</v>
      </c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1"/>
      <c r="JV108" s="21"/>
      <c r="JW108" s="21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  <c r="KJ108" s="21"/>
      <c r="KK108" s="21"/>
      <c r="KL108" s="21"/>
      <c r="KM108" s="21"/>
      <c r="KN108" s="21"/>
      <c r="KO108" s="21"/>
      <c r="KP108" s="21"/>
      <c r="KQ108" s="21"/>
      <c r="KR108" s="21"/>
      <c r="KS108" s="21"/>
      <c r="KT108" s="21"/>
      <c r="KU108" s="21"/>
      <c r="KV108" s="21"/>
      <c r="KW108" s="21"/>
      <c r="KX108" s="21"/>
      <c r="KY108" s="21"/>
      <c r="KZ108" s="21"/>
      <c r="LA108" s="21"/>
      <c r="LB108" s="21"/>
      <c r="LC108" s="21"/>
      <c r="LD108" s="21"/>
      <c r="LE108" s="21"/>
      <c r="LF108" s="21"/>
      <c r="LG108" s="21"/>
      <c r="LH108" s="21"/>
      <c r="LI108" s="21"/>
      <c r="LJ108" s="21"/>
      <c r="LK108" s="21"/>
      <c r="LL108" s="21"/>
      <c r="LM108" s="21"/>
      <c r="LN108" s="21"/>
      <c r="LO108" s="21"/>
      <c r="LP108" s="21"/>
      <c r="LQ108" s="21"/>
      <c r="LR108" s="21"/>
      <c r="LS108" s="21"/>
      <c r="LT108" s="21"/>
      <c r="LU108" s="21"/>
      <c r="LV108" s="21"/>
      <c r="LW108" s="21"/>
      <c r="LX108" s="21"/>
      <c r="LY108" s="21"/>
      <c r="LZ108" s="21"/>
      <c r="MA108" s="21"/>
      <c r="MB108" s="21"/>
      <c r="MC108" s="21"/>
      <c r="MD108" s="21"/>
      <c r="ME108" s="21"/>
      <c r="MF108" s="21"/>
      <c r="MG108" s="21"/>
      <c r="MH108" s="21"/>
      <c r="MI108" s="21"/>
      <c r="MJ108" s="21"/>
      <c r="MK108" s="21"/>
      <c r="ML108" s="21"/>
      <c r="MM108" s="21"/>
      <c r="MN108" s="21"/>
      <c r="MO108" s="21"/>
      <c r="MP108" s="21"/>
      <c r="MQ108" s="21"/>
      <c r="MR108" s="21"/>
      <c r="MS108" s="21"/>
      <c r="MT108" s="21"/>
      <c r="MU108" s="21"/>
      <c r="MV108" s="21"/>
      <c r="MW108" s="21"/>
      <c r="MX108" s="21"/>
      <c r="MY108" s="21"/>
      <c r="MZ108" s="21"/>
      <c r="NA108" s="21"/>
      <c r="NB108" s="21"/>
      <c r="NC108" s="21"/>
      <c r="ND108" s="21"/>
      <c r="NE108" s="21"/>
      <c r="NF108" s="21"/>
      <c r="NG108" s="21"/>
      <c r="NH108" s="21"/>
      <c r="NI108" s="21"/>
      <c r="NJ108" s="21"/>
      <c r="NK108" s="21"/>
      <c r="NL108" s="21"/>
      <c r="NM108" s="21"/>
      <c r="NN108" s="21"/>
      <c r="NO108" s="21"/>
      <c r="NP108" s="21"/>
      <c r="NQ108" s="21"/>
      <c r="NR108" s="21"/>
      <c r="NS108" s="21"/>
      <c r="NT108" s="21"/>
      <c r="NU108" s="21"/>
      <c r="NV108" s="21"/>
      <c r="NW108" s="21"/>
      <c r="NX108" s="21"/>
      <c r="NY108" s="21"/>
      <c r="NZ108" s="21"/>
      <c r="OA108" s="21"/>
      <c r="OB108" s="21"/>
      <c r="OC108" s="21"/>
      <c r="OD108" s="21"/>
      <c r="OE108" s="21"/>
      <c r="OF108" s="21"/>
      <c r="OG108" s="21"/>
      <c r="OH108" s="21"/>
      <c r="OI108" s="21"/>
      <c r="OJ108" s="21"/>
      <c r="OK108" s="21"/>
      <c r="OL108" s="21"/>
      <c r="OM108" s="21"/>
      <c r="ON108" s="21"/>
      <c r="OO108" s="21"/>
      <c r="OP108" s="21"/>
      <c r="OQ108" s="21"/>
      <c r="OR108" s="21"/>
      <c r="OS108" s="21"/>
      <c r="OT108" s="21"/>
      <c r="OU108" s="21"/>
      <c r="OV108" s="21"/>
      <c r="OW108" s="21"/>
      <c r="OX108" s="21"/>
      <c r="OY108" s="21"/>
      <c r="OZ108" s="21"/>
      <c r="PA108" s="21"/>
      <c r="PB108" s="21"/>
      <c r="PC108" s="21"/>
      <c r="PD108" s="21"/>
      <c r="PE108" s="21"/>
      <c r="PF108" s="21"/>
      <c r="PG108" s="21"/>
      <c r="PH108" s="21"/>
      <c r="PI108" s="21"/>
      <c r="PJ108" s="21"/>
      <c r="PK108" s="21"/>
      <c r="PL108" s="21"/>
      <c r="PM108" s="21"/>
      <c r="PN108" s="21"/>
      <c r="PO108" s="21"/>
      <c r="PP108" s="21"/>
      <c r="PQ108" s="21"/>
      <c r="PR108" s="21"/>
      <c r="PS108" s="21"/>
      <c r="PT108" s="21"/>
      <c r="PU108" s="21"/>
      <c r="PV108" s="21"/>
      <c r="PW108" s="21"/>
      <c r="PX108" s="21"/>
      <c r="PY108" s="21"/>
      <c r="PZ108" s="21"/>
      <c r="QA108" s="21"/>
      <c r="QB108" s="21"/>
      <c r="QC108" s="21"/>
      <c r="QD108" s="21"/>
      <c r="QE108" s="21"/>
      <c r="QF108" s="21"/>
      <c r="QG108" s="21"/>
      <c r="QH108" s="21"/>
      <c r="QI108" s="21"/>
      <c r="QJ108" s="21"/>
      <c r="QK108" s="21"/>
      <c r="QL108" s="21"/>
      <c r="QM108" s="21"/>
      <c r="QN108" s="21"/>
      <c r="QO108" s="21"/>
      <c r="QP108" s="21"/>
      <c r="QQ108" s="21"/>
      <c r="QR108" s="21"/>
      <c r="QS108" s="21"/>
      <c r="QT108" s="21"/>
      <c r="QU108" s="21"/>
      <c r="QV108" s="21"/>
      <c r="QW108" s="21"/>
      <c r="QX108" s="21"/>
      <c r="QY108" s="21"/>
      <c r="QZ108" s="21"/>
      <c r="RA108" s="21"/>
      <c r="RB108" s="21"/>
      <c r="RC108" s="21"/>
      <c r="RD108" s="21"/>
      <c r="RE108" s="21"/>
      <c r="RF108" s="21"/>
      <c r="RG108" s="21"/>
      <c r="RH108" s="21"/>
      <c r="RI108" s="21"/>
      <c r="RJ108" s="21"/>
      <c r="RK108" s="21"/>
      <c r="RL108" s="21"/>
      <c r="RM108" s="21"/>
      <c r="RN108" s="21"/>
      <c r="RO108" s="21"/>
      <c r="RP108" s="21"/>
      <c r="RQ108" s="21"/>
      <c r="RR108" s="21"/>
      <c r="RS108" s="21"/>
      <c r="RT108" s="21"/>
      <c r="RU108" s="21"/>
      <c r="RV108" s="21"/>
      <c r="RW108" s="21"/>
      <c r="RX108" s="21"/>
      <c r="RY108" s="21"/>
      <c r="RZ108" s="21"/>
      <c r="SA108" s="21"/>
      <c r="SB108" s="21"/>
      <c r="SC108" s="21"/>
      <c r="SD108" s="21"/>
      <c r="SE108" s="21"/>
      <c r="SF108" s="21"/>
      <c r="SG108" s="21"/>
      <c r="SH108" s="21"/>
      <c r="SI108" s="21"/>
      <c r="SJ108" s="21"/>
      <c r="SK108" s="21"/>
      <c r="SL108" s="21"/>
      <c r="SM108" s="21"/>
      <c r="SN108" s="21"/>
      <c r="SO108" s="21"/>
      <c r="SP108" s="21"/>
      <c r="SQ108" s="21"/>
      <c r="SR108" s="21"/>
      <c r="SS108" s="21"/>
      <c r="ST108" s="21"/>
      <c r="SU108" s="21"/>
      <c r="SV108" s="21"/>
      <c r="SW108" s="21"/>
      <c r="SX108" s="21"/>
      <c r="SY108" s="21"/>
      <c r="SZ108" s="21"/>
      <c r="TA108" s="21"/>
      <c r="TB108" s="21"/>
      <c r="TC108" s="21"/>
      <c r="TD108" s="21"/>
      <c r="TE108" s="21"/>
      <c r="TF108" s="21"/>
      <c r="TG108" s="21"/>
      <c r="TH108" s="21"/>
      <c r="TI108" s="21"/>
      <c r="TJ108" s="21"/>
      <c r="TK108" s="21"/>
      <c r="TL108" s="21"/>
      <c r="TM108" s="21"/>
      <c r="TN108" s="21"/>
      <c r="TO108" s="21"/>
      <c r="TP108" s="21"/>
      <c r="TQ108" s="21"/>
      <c r="TR108" s="21"/>
      <c r="TS108" s="21"/>
      <c r="TT108" s="21"/>
      <c r="TU108" s="21"/>
      <c r="TV108" s="21"/>
      <c r="TW108" s="21"/>
      <c r="TX108" s="21"/>
      <c r="TY108" s="21"/>
      <c r="TZ108" s="21"/>
      <c r="UA108" s="21"/>
      <c r="UB108" s="21"/>
      <c r="UC108" s="21"/>
      <c r="UD108" s="21"/>
      <c r="UE108" s="21"/>
      <c r="UF108" s="21"/>
      <c r="UG108" s="21"/>
      <c r="UH108" s="21"/>
      <c r="UI108" s="21"/>
      <c r="UJ108" s="21"/>
      <c r="UK108" s="21"/>
      <c r="UL108" s="21"/>
      <c r="UM108" s="21"/>
      <c r="UN108" s="21"/>
      <c r="UO108" s="21"/>
      <c r="UP108" s="21"/>
      <c r="UQ108" s="21"/>
      <c r="UR108" s="21"/>
      <c r="US108" s="21"/>
      <c r="UT108" s="21"/>
      <c r="UU108" s="21"/>
      <c r="UV108" s="21"/>
      <c r="UW108" s="21"/>
      <c r="UX108" s="21"/>
      <c r="UY108" s="21"/>
      <c r="UZ108" s="21"/>
      <c r="VA108" s="21"/>
      <c r="VB108" s="21"/>
      <c r="VC108" s="21"/>
      <c r="VD108" s="21"/>
      <c r="VE108" s="21"/>
      <c r="VF108" s="21"/>
      <c r="VG108" s="21"/>
      <c r="VH108" s="21"/>
      <c r="VI108" s="21"/>
      <c r="VJ108" s="21"/>
      <c r="VK108" s="21"/>
      <c r="VL108" s="21"/>
      <c r="VM108" s="21"/>
      <c r="VN108" s="21"/>
      <c r="VO108" s="21"/>
      <c r="VP108" s="21"/>
      <c r="VQ108" s="21"/>
      <c r="VR108" s="21"/>
      <c r="VS108" s="21"/>
      <c r="VT108" s="21"/>
      <c r="VU108" s="21"/>
      <c r="VV108" s="21"/>
      <c r="VW108" s="21"/>
      <c r="VX108" s="21"/>
      <c r="VY108" s="21"/>
      <c r="VZ108" s="21"/>
      <c r="WA108" s="21"/>
      <c r="WB108" s="21"/>
      <c r="WC108" s="21"/>
      <c r="WD108" s="21"/>
      <c r="WE108" s="21"/>
      <c r="WF108" s="21"/>
      <c r="WG108" s="21"/>
      <c r="WH108" s="21"/>
      <c r="WI108" s="21"/>
      <c r="WJ108" s="21"/>
      <c r="WK108" s="21"/>
      <c r="WL108" s="21"/>
      <c r="WM108" s="21"/>
      <c r="WN108" s="21"/>
      <c r="WO108" s="21"/>
      <c r="WP108" s="21"/>
      <c r="WQ108" s="21"/>
      <c r="WR108" s="21"/>
      <c r="WS108" s="21"/>
      <c r="WT108" s="21"/>
      <c r="WU108" s="21"/>
      <c r="WV108" s="21"/>
      <c r="WW108" s="21"/>
      <c r="WX108" s="21"/>
      <c r="WY108" s="21"/>
      <c r="WZ108" s="21"/>
      <c r="XA108" s="21"/>
      <c r="XB108" s="21"/>
      <c r="XC108" s="21"/>
      <c r="XD108" s="21"/>
      <c r="XE108" s="21"/>
      <c r="XF108" s="21"/>
      <c r="XG108" s="21"/>
      <c r="XH108" s="21"/>
      <c r="XI108" s="21"/>
      <c r="XJ108" s="21"/>
      <c r="XK108" s="21"/>
      <c r="XL108" s="21"/>
      <c r="XM108" s="21"/>
      <c r="XN108" s="21"/>
      <c r="XO108" s="21"/>
      <c r="XP108" s="21"/>
      <c r="XQ108" s="21"/>
      <c r="XR108" s="21"/>
      <c r="XS108" s="21"/>
      <c r="XT108" s="21"/>
      <c r="XU108" s="21"/>
      <c r="XV108" s="21"/>
      <c r="XW108" s="21"/>
      <c r="XX108" s="21"/>
      <c r="XY108" s="21"/>
      <c r="XZ108" s="21"/>
      <c r="YA108" s="21"/>
      <c r="YB108" s="21"/>
      <c r="YC108" s="21"/>
      <c r="YD108" s="21"/>
      <c r="YE108" s="21"/>
      <c r="YF108" s="21"/>
      <c r="YG108" s="21"/>
      <c r="YH108" s="21"/>
      <c r="YI108" s="21"/>
      <c r="YJ108" s="21"/>
      <c r="YK108" s="21"/>
      <c r="YL108" s="21"/>
      <c r="YM108" s="21"/>
      <c r="YN108" s="21"/>
      <c r="YO108" s="21"/>
      <c r="YP108" s="21"/>
      <c r="YQ108" s="21"/>
      <c r="YR108" s="21"/>
      <c r="YS108" s="21"/>
      <c r="YT108" s="21"/>
      <c r="YU108" s="21"/>
      <c r="YV108" s="21"/>
      <c r="YW108" s="21"/>
      <c r="YX108" s="21"/>
      <c r="YY108" s="21"/>
      <c r="YZ108" s="21"/>
      <c r="ZA108" s="21"/>
      <c r="ZB108" s="21"/>
      <c r="ZC108" s="21"/>
      <c r="ZD108" s="21"/>
      <c r="ZE108" s="21"/>
      <c r="ZF108" s="21"/>
      <c r="ZG108" s="21"/>
      <c r="ZH108" s="21"/>
      <c r="ZI108" s="21"/>
      <c r="ZJ108" s="21"/>
      <c r="ZK108" s="21"/>
      <c r="ZL108" s="21"/>
      <c r="ZM108" s="21"/>
      <c r="ZN108" s="21"/>
      <c r="ZO108" s="21"/>
      <c r="ZP108" s="21"/>
      <c r="ZQ108" s="21"/>
      <c r="ZR108" s="21"/>
      <c r="ZS108" s="21"/>
      <c r="ZT108" s="21"/>
      <c r="ZU108" s="21"/>
      <c r="ZV108" s="21"/>
      <c r="ZW108" s="21"/>
      <c r="ZX108" s="21"/>
      <c r="ZY108" s="21"/>
      <c r="ZZ108" s="21"/>
      <c r="AAA108" s="21"/>
      <c r="AAB108" s="21"/>
      <c r="AAC108" s="21"/>
      <c r="AAD108" s="21"/>
      <c r="AAE108" s="21"/>
      <c r="AAF108" s="21"/>
      <c r="AAG108" s="21"/>
      <c r="AAH108" s="21"/>
      <c r="AAI108" s="21"/>
      <c r="AAJ108" s="21"/>
      <c r="AAK108" s="21"/>
      <c r="AAL108" s="21"/>
      <c r="AAM108" s="21"/>
      <c r="AAN108" s="21"/>
      <c r="AAO108" s="21"/>
      <c r="AAP108" s="21"/>
      <c r="AAQ108" s="21"/>
      <c r="AAR108" s="21"/>
      <c r="AAS108" s="21"/>
      <c r="AAT108" s="21"/>
      <c r="AAU108" s="21"/>
      <c r="AAV108" s="21"/>
      <c r="AAW108" s="21"/>
      <c r="AAX108" s="21"/>
      <c r="AAY108" s="21"/>
      <c r="AAZ108" s="21"/>
      <c r="ABA108" s="21"/>
      <c r="ABB108" s="21"/>
      <c r="ABC108" s="21"/>
      <c r="ABD108" s="21"/>
      <c r="ABE108" s="21"/>
      <c r="ABF108" s="21"/>
      <c r="ABG108" s="21"/>
      <c r="ABH108" s="21"/>
      <c r="ABI108" s="21"/>
      <c r="ABJ108" s="21"/>
      <c r="ABK108" s="21"/>
      <c r="ABL108" s="21"/>
      <c r="ABM108" s="21"/>
      <c r="ABN108" s="21"/>
      <c r="ABO108" s="21"/>
      <c r="ABP108" s="21"/>
      <c r="ABQ108" s="21"/>
      <c r="ABR108" s="21"/>
      <c r="ABS108" s="21"/>
      <c r="ABT108" s="21"/>
      <c r="ABU108" s="21"/>
      <c r="ABV108" s="21"/>
      <c r="ABW108" s="21"/>
      <c r="ABX108" s="21"/>
      <c r="ABY108" s="21"/>
      <c r="ABZ108" s="21"/>
      <c r="ACA108" s="21"/>
      <c r="ACB108" s="21"/>
      <c r="ACC108" s="21"/>
      <c r="ACD108" s="21"/>
      <c r="ACE108" s="21"/>
      <c r="ACF108" s="21"/>
      <c r="ACG108" s="21"/>
      <c r="ACH108" s="21"/>
      <c r="ACI108" s="21"/>
      <c r="ACJ108" s="21"/>
      <c r="ACK108" s="21"/>
      <c r="ACL108" s="21"/>
      <c r="ACM108" s="21"/>
      <c r="ACN108" s="21"/>
      <c r="ACO108" s="21"/>
      <c r="ACP108" s="21"/>
      <c r="ACQ108" s="21"/>
      <c r="ACR108" s="21"/>
      <c r="ACS108" s="21"/>
      <c r="ACT108" s="21"/>
      <c r="ACU108" s="21"/>
      <c r="ACV108" s="21"/>
      <c r="ACW108" s="21"/>
      <c r="ACX108" s="21"/>
      <c r="ACY108" s="21"/>
      <c r="ACZ108" s="21"/>
      <c r="ADA108" s="21"/>
      <c r="ADB108" s="21"/>
      <c r="ADC108" s="21"/>
      <c r="ADD108" s="21"/>
      <c r="ADE108" s="21"/>
      <c r="ADF108" s="21"/>
      <c r="ADG108" s="21"/>
      <c r="ADH108" s="21"/>
      <c r="ADI108" s="21"/>
      <c r="ADJ108" s="21"/>
      <c r="ADK108" s="21"/>
      <c r="ADL108" s="21"/>
      <c r="ADM108" s="21"/>
      <c r="ADN108" s="21"/>
      <c r="ADO108" s="21"/>
      <c r="ADP108" s="21"/>
      <c r="ADQ108" s="21"/>
      <c r="ADR108" s="21"/>
      <c r="ADS108" s="21"/>
      <c r="ADT108" s="21"/>
      <c r="ADU108" s="21"/>
      <c r="ADV108" s="21"/>
      <c r="ADW108" s="21"/>
      <c r="ADX108" s="21"/>
      <c r="ADY108" s="21"/>
      <c r="ADZ108" s="21"/>
      <c r="AEA108" s="21"/>
      <c r="AEB108" s="21"/>
      <c r="AEC108" s="21"/>
      <c r="AED108" s="21"/>
      <c r="AEE108" s="21"/>
      <c r="AEF108" s="21"/>
      <c r="AEG108" s="21"/>
      <c r="AEH108" s="21"/>
      <c r="AEI108" s="21"/>
      <c r="AEJ108" s="21"/>
      <c r="AEK108" s="21"/>
      <c r="AEL108" s="21"/>
      <c r="AEM108" s="21"/>
      <c r="AEN108" s="21"/>
      <c r="AEO108" s="21"/>
      <c r="AEP108" s="21"/>
      <c r="AEQ108" s="21"/>
      <c r="AER108" s="21"/>
      <c r="AES108" s="21"/>
      <c r="AET108" s="21"/>
      <c r="AEU108" s="21"/>
      <c r="AEV108" s="21"/>
      <c r="AEW108" s="21"/>
      <c r="AEX108" s="21"/>
      <c r="AEY108" s="21"/>
      <c r="AEZ108" s="21"/>
      <c r="AFA108" s="21"/>
      <c r="AFB108" s="21"/>
      <c r="AFC108" s="21"/>
      <c r="AFD108" s="21"/>
      <c r="AFE108" s="21"/>
      <c r="AFF108" s="21"/>
      <c r="AFG108" s="21"/>
      <c r="AFH108" s="21"/>
      <c r="AFI108" s="21"/>
      <c r="AFJ108" s="21"/>
      <c r="AFK108" s="21"/>
      <c r="AFL108" s="21"/>
      <c r="AFM108" s="21"/>
      <c r="AFN108" s="21"/>
      <c r="AFO108" s="21"/>
      <c r="AFP108" s="21"/>
      <c r="AFQ108" s="21"/>
      <c r="AFR108" s="21"/>
      <c r="AFS108" s="21"/>
      <c r="AFT108" s="21"/>
      <c r="AFU108" s="21"/>
      <c r="AFV108" s="21"/>
      <c r="AFW108" s="21"/>
      <c r="AFX108" s="21"/>
      <c r="AFY108" s="21"/>
      <c r="AFZ108" s="21"/>
      <c r="AGA108" s="21"/>
      <c r="AGB108" s="21"/>
      <c r="AGC108" s="21"/>
      <c r="AGD108" s="21"/>
      <c r="AGE108" s="21"/>
      <c r="AGF108" s="21"/>
      <c r="AGG108" s="21"/>
      <c r="AGH108" s="21"/>
      <c r="AGI108" s="21"/>
      <c r="AGJ108" s="21"/>
      <c r="AGK108" s="21"/>
      <c r="AGL108" s="21"/>
      <c r="AGM108" s="21"/>
      <c r="AGN108" s="21"/>
      <c r="AGO108" s="21"/>
      <c r="AGP108" s="21"/>
      <c r="AGQ108" s="21"/>
      <c r="AGR108" s="21"/>
      <c r="AGS108" s="21"/>
    </row>
    <row r="109" spans="1:877" ht="13">
      <c r="A109" s="12"/>
      <c r="B109" s="62" t="str">
        <f t="shared" si="35"/>
        <v>Facility 7-12 Assets Expansion 1</v>
      </c>
      <c r="C109" s="12"/>
      <c r="D109" s="12"/>
      <c r="E109" s="12"/>
      <c r="F109" s="55"/>
      <c r="G109" s="27">
        <f t="shared" ref="G109:CL109" si="50">MIN(F109+ IF(G$4&gt;=$D92,$C92/($E92*12),0),$C92)</f>
        <v>0</v>
      </c>
      <c r="H109" s="27">
        <f t="shared" si="50"/>
        <v>0</v>
      </c>
      <c r="I109" s="27">
        <f t="shared" si="50"/>
        <v>0</v>
      </c>
      <c r="J109" s="27">
        <f t="shared" si="50"/>
        <v>0</v>
      </c>
      <c r="K109" s="27">
        <f t="shared" si="50"/>
        <v>0</v>
      </c>
      <c r="L109" s="27">
        <f t="shared" si="50"/>
        <v>0</v>
      </c>
      <c r="M109" s="27">
        <f t="shared" si="50"/>
        <v>0</v>
      </c>
      <c r="N109" s="27">
        <f t="shared" si="50"/>
        <v>0</v>
      </c>
      <c r="O109" s="27">
        <f t="shared" si="50"/>
        <v>0</v>
      </c>
      <c r="P109" s="27">
        <f t="shared" si="50"/>
        <v>0</v>
      </c>
      <c r="Q109" s="27">
        <f t="shared" si="50"/>
        <v>0</v>
      </c>
      <c r="R109" s="27">
        <f t="shared" si="50"/>
        <v>0</v>
      </c>
      <c r="S109" s="27">
        <f t="shared" si="50"/>
        <v>0</v>
      </c>
      <c r="T109" s="27">
        <f t="shared" si="50"/>
        <v>0</v>
      </c>
      <c r="U109" s="27">
        <f t="shared" si="50"/>
        <v>0</v>
      </c>
      <c r="V109" s="27">
        <f t="shared" si="50"/>
        <v>0</v>
      </c>
      <c r="W109" s="27">
        <f t="shared" si="50"/>
        <v>0</v>
      </c>
      <c r="X109" s="27">
        <f t="shared" si="50"/>
        <v>0</v>
      </c>
      <c r="Y109" s="27">
        <f t="shared" si="50"/>
        <v>0</v>
      </c>
      <c r="Z109" s="27">
        <f t="shared" si="50"/>
        <v>0</v>
      </c>
      <c r="AA109" s="27">
        <f t="shared" si="50"/>
        <v>0</v>
      </c>
      <c r="AB109" s="27">
        <f t="shared" si="50"/>
        <v>0</v>
      </c>
      <c r="AC109" s="27">
        <f t="shared" si="50"/>
        <v>0</v>
      </c>
      <c r="AD109" s="27">
        <f t="shared" si="50"/>
        <v>0</v>
      </c>
      <c r="AE109" s="27">
        <f t="shared" si="50"/>
        <v>0</v>
      </c>
      <c r="AF109" s="27">
        <f t="shared" si="50"/>
        <v>0</v>
      </c>
      <c r="AG109" s="27">
        <f t="shared" si="50"/>
        <v>0</v>
      </c>
      <c r="AH109" s="27">
        <f t="shared" si="50"/>
        <v>0</v>
      </c>
      <c r="AI109" s="27">
        <f t="shared" si="50"/>
        <v>0</v>
      </c>
      <c r="AJ109" s="27">
        <f t="shared" si="50"/>
        <v>0</v>
      </c>
      <c r="AK109" s="27">
        <f t="shared" si="50"/>
        <v>0</v>
      </c>
      <c r="AL109" s="27">
        <f t="shared" si="50"/>
        <v>0</v>
      </c>
      <c r="AM109" s="27">
        <f t="shared" si="50"/>
        <v>0</v>
      </c>
      <c r="AN109" s="27">
        <f t="shared" si="50"/>
        <v>0</v>
      </c>
      <c r="AO109" s="27">
        <f t="shared" si="50"/>
        <v>0</v>
      </c>
      <c r="AP109" s="27">
        <f t="shared" si="50"/>
        <v>0</v>
      </c>
      <c r="AQ109" s="27">
        <f t="shared" si="50"/>
        <v>0</v>
      </c>
      <c r="AR109" s="27">
        <f t="shared" si="50"/>
        <v>0</v>
      </c>
      <c r="AS109" s="27">
        <f t="shared" si="50"/>
        <v>0</v>
      </c>
      <c r="AT109" s="27">
        <f t="shared" si="50"/>
        <v>0</v>
      </c>
      <c r="AU109" s="27">
        <f t="shared" si="50"/>
        <v>0</v>
      </c>
      <c r="AV109" s="27">
        <f t="shared" si="50"/>
        <v>0</v>
      </c>
      <c r="AW109" s="27">
        <f t="shared" si="50"/>
        <v>0</v>
      </c>
      <c r="AX109" s="27">
        <f t="shared" si="50"/>
        <v>0</v>
      </c>
      <c r="AY109" s="27">
        <f t="shared" si="50"/>
        <v>0</v>
      </c>
      <c r="AZ109" s="27">
        <f t="shared" si="50"/>
        <v>0</v>
      </c>
      <c r="BA109" s="27">
        <f t="shared" si="50"/>
        <v>0</v>
      </c>
      <c r="BB109" s="27">
        <f t="shared" si="50"/>
        <v>0</v>
      </c>
      <c r="BC109" s="27">
        <f t="shared" si="50"/>
        <v>0</v>
      </c>
      <c r="BD109" s="27">
        <f t="shared" si="50"/>
        <v>0</v>
      </c>
      <c r="BE109" s="27">
        <f t="shared" si="50"/>
        <v>0</v>
      </c>
      <c r="BF109" s="27">
        <f t="shared" si="50"/>
        <v>0</v>
      </c>
      <c r="BG109" s="27">
        <f t="shared" si="50"/>
        <v>0</v>
      </c>
      <c r="BH109" s="27">
        <f t="shared" si="50"/>
        <v>0</v>
      </c>
      <c r="BI109" s="27">
        <f t="shared" si="50"/>
        <v>0</v>
      </c>
      <c r="BJ109" s="27">
        <f t="shared" si="50"/>
        <v>0</v>
      </c>
      <c r="BK109" s="27">
        <f t="shared" si="50"/>
        <v>0</v>
      </c>
      <c r="BL109" s="27">
        <f t="shared" si="50"/>
        <v>0</v>
      </c>
      <c r="BM109" s="27">
        <f t="shared" si="50"/>
        <v>0</v>
      </c>
      <c r="BN109" s="27">
        <f t="shared" si="50"/>
        <v>0</v>
      </c>
      <c r="BO109" s="27">
        <f t="shared" si="50"/>
        <v>83333.333333333328</v>
      </c>
      <c r="BP109" s="27">
        <f t="shared" si="50"/>
        <v>166666.66666666666</v>
      </c>
      <c r="BQ109" s="27">
        <f t="shared" si="50"/>
        <v>250000</v>
      </c>
      <c r="BR109" s="27">
        <f t="shared" si="50"/>
        <v>333333.33333333331</v>
      </c>
      <c r="BS109" s="27">
        <f t="shared" si="50"/>
        <v>416666.66666666663</v>
      </c>
      <c r="BT109" s="27">
        <f t="shared" si="50"/>
        <v>499999.99999999994</v>
      </c>
      <c r="BU109" s="27">
        <f t="shared" si="50"/>
        <v>583333.33333333326</v>
      </c>
      <c r="BV109" s="27">
        <f t="shared" si="50"/>
        <v>666666.66666666663</v>
      </c>
      <c r="BW109" s="27">
        <f t="shared" si="50"/>
        <v>750000</v>
      </c>
      <c r="BX109" s="27">
        <f t="shared" si="50"/>
        <v>833333.33333333337</v>
      </c>
      <c r="BY109" s="27">
        <f t="shared" si="50"/>
        <v>916666.66666666674</v>
      </c>
      <c r="BZ109" s="27">
        <f t="shared" si="50"/>
        <v>1000000.0000000001</v>
      </c>
      <c r="CA109" s="27">
        <f t="shared" si="50"/>
        <v>1083333.3333333335</v>
      </c>
      <c r="CB109" s="27">
        <f t="shared" si="50"/>
        <v>1166666.6666666667</v>
      </c>
      <c r="CC109" s="27">
        <f t="shared" si="50"/>
        <v>1250000</v>
      </c>
      <c r="CD109" s="27">
        <f t="shared" si="50"/>
        <v>1333333.3333333333</v>
      </c>
      <c r="CE109" s="27">
        <f t="shared" si="50"/>
        <v>1416666.6666666665</v>
      </c>
      <c r="CF109" s="27">
        <f t="shared" si="50"/>
        <v>1499999.9999999998</v>
      </c>
      <c r="CG109" s="27">
        <f t="shared" si="50"/>
        <v>1583333.333333333</v>
      </c>
      <c r="CH109" s="27">
        <f t="shared" si="50"/>
        <v>1666666.6666666663</v>
      </c>
      <c r="CI109" s="27">
        <f t="shared" si="50"/>
        <v>1749999.9999999995</v>
      </c>
      <c r="CJ109" s="27">
        <f t="shared" si="50"/>
        <v>1833333.3333333328</v>
      </c>
      <c r="CK109" s="27">
        <f t="shared" si="50"/>
        <v>1916666.666666666</v>
      </c>
      <c r="CL109" s="27">
        <f t="shared" si="50"/>
        <v>1999999.9999999993</v>
      </c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1"/>
      <c r="JV109" s="21"/>
      <c r="JW109" s="21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  <c r="KJ109" s="21"/>
      <c r="KK109" s="21"/>
      <c r="KL109" s="21"/>
      <c r="KM109" s="21"/>
      <c r="KN109" s="21"/>
      <c r="KO109" s="21"/>
      <c r="KP109" s="21"/>
      <c r="KQ109" s="21"/>
      <c r="KR109" s="21"/>
      <c r="KS109" s="21"/>
      <c r="KT109" s="21"/>
      <c r="KU109" s="21"/>
      <c r="KV109" s="21"/>
      <c r="KW109" s="21"/>
      <c r="KX109" s="21"/>
      <c r="KY109" s="21"/>
      <c r="KZ109" s="21"/>
      <c r="LA109" s="21"/>
      <c r="LB109" s="21"/>
      <c r="LC109" s="21"/>
      <c r="LD109" s="21"/>
      <c r="LE109" s="21"/>
      <c r="LF109" s="21"/>
      <c r="LG109" s="21"/>
      <c r="LH109" s="21"/>
      <c r="LI109" s="21"/>
      <c r="LJ109" s="21"/>
      <c r="LK109" s="21"/>
      <c r="LL109" s="21"/>
      <c r="LM109" s="21"/>
      <c r="LN109" s="21"/>
      <c r="LO109" s="21"/>
      <c r="LP109" s="21"/>
      <c r="LQ109" s="21"/>
      <c r="LR109" s="21"/>
      <c r="LS109" s="21"/>
      <c r="LT109" s="21"/>
      <c r="LU109" s="21"/>
      <c r="LV109" s="21"/>
      <c r="LW109" s="21"/>
      <c r="LX109" s="21"/>
      <c r="LY109" s="21"/>
      <c r="LZ109" s="21"/>
      <c r="MA109" s="21"/>
      <c r="MB109" s="21"/>
      <c r="MC109" s="21"/>
      <c r="MD109" s="21"/>
      <c r="ME109" s="21"/>
      <c r="MF109" s="21"/>
      <c r="MG109" s="21"/>
      <c r="MH109" s="21"/>
      <c r="MI109" s="21"/>
      <c r="MJ109" s="21"/>
      <c r="MK109" s="21"/>
      <c r="ML109" s="21"/>
      <c r="MM109" s="21"/>
      <c r="MN109" s="21"/>
      <c r="MO109" s="21"/>
      <c r="MP109" s="21"/>
      <c r="MQ109" s="21"/>
      <c r="MR109" s="21"/>
      <c r="MS109" s="21"/>
      <c r="MT109" s="21"/>
      <c r="MU109" s="21"/>
      <c r="MV109" s="21"/>
      <c r="MW109" s="21"/>
      <c r="MX109" s="21"/>
      <c r="MY109" s="21"/>
      <c r="MZ109" s="21"/>
      <c r="NA109" s="21"/>
      <c r="NB109" s="21"/>
      <c r="NC109" s="21"/>
      <c r="ND109" s="21"/>
      <c r="NE109" s="21"/>
      <c r="NF109" s="21"/>
      <c r="NG109" s="21"/>
      <c r="NH109" s="21"/>
      <c r="NI109" s="21"/>
      <c r="NJ109" s="21"/>
      <c r="NK109" s="21"/>
      <c r="NL109" s="21"/>
      <c r="NM109" s="21"/>
      <c r="NN109" s="21"/>
      <c r="NO109" s="21"/>
      <c r="NP109" s="21"/>
      <c r="NQ109" s="21"/>
      <c r="NR109" s="21"/>
      <c r="NS109" s="21"/>
      <c r="NT109" s="21"/>
      <c r="NU109" s="21"/>
      <c r="NV109" s="21"/>
      <c r="NW109" s="21"/>
      <c r="NX109" s="21"/>
      <c r="NY109" s="21"/>
      <c r="NZ109" s="21"/>
      <c r="OA109" s="21"/>
      <c r="OB109" s="21"/>
      <c r="OC109" s="21"/>
      <c r="OD109" s="21"/>
      <c r="OE109" s="21"/>
      <c r="OF109" s="21"/>
      <c r="OG109" s="21"/>
      <c r="OH109" s="21"/>
      <c r="OI109" s="21"/>
      <c r="OJ109" s="21"/>
      <c r="OK109" s="21"/>
      <c r="OL109" s="21"/>
      <c r="OM109" s="21"/>
      <c r="ON109" s="21"/>
      <c r="OO109" s="21"/>
      <c r="OP109" s="21"/>
      <c r="OQ109" s="21"/>
      <c r="OR109" s="21"/>
      <c r="OS109" s="21"/>
      <c r="OT109" s="21"/>
      <c r="OU109" s="21"/>
      <c r="OV109" s="21"/>
      <c r="OW109" s="21"/>
      <c r="OX109" s="21"/>
      <c r="OY109" s="21"/>
      <c r="OZ109" s="21"/>
      <c r="PA109" s="21"/>
      <c r="PB109" s="21"/>
      <c r="PC109" s="21"/>
      <c r="PD109" s="21"/>
      <c r="PE109" s="21"/>
      <c r="PF109" s="21"/>
      <c r="PG109" s="21"/>
      <c r="PH109" s="21"/>
      <c r="PI109" s="21"/>
      <c r="PJ109" s="21"/>
      <c r="PK109" s="21"/>
      <c r="PL109" s="21"/>
      <c r="PM109" s="21"/>
      <c r="PN109" s="21"/>
      <c r="PO109" s="21"/>
      <c r="PP109" s="21"/>
      <c r="PQ109" s="21"/>
      <c r="PR109" s="21"/>
      <c r="PS109" s="21"/>
      <c r="PT109" s="21"/>
      <c r="PU109" s="21"/>
      <c r="PV109" s="21"/>
      <c r="PW109" s="21"/>
      <c r="PX109" s="21"/>
      <c r="PY109" s="21"/>
      <c r="PZ109" s="21"/>
      <c r="QA109" s="21"/>
      <c r="QB109" s="21"/>
      <c r="QC109" s="21"/>
      <c r="QD109" s="21"/>
      <c r="QE109" s="21"/>
      <c r="QF109" s="21"/>
      <c r="QG109" s="21"/>
      <c r="QH109" s="21"/>
      <c r="QI109" s="21"/>
      <c r="QJ109" s="21"/>
      <c r="QK109" s="21"/>
      <c r="QL109" s="21"/>
      <c r="QM109" s="21"/>
      <c r="QN109" s="21"/>
      <c r="QO109" s="21"/>
      <c r="QP109" s="21"/>
      <c r="QQ109" s="21"/>
      <c r="QR109" s="21"/>
      <c r="QS109" s="21"/>
      <c r="QT109" s="21"/>
      <c r="QU109" s="21"/>
      <c r="QV109" s="21"/>
      <c r="QW109" s="21"/>
      <c r="QX109" s="21"/>
      <c r="QY109" s="21"/>
      <c r="QZ109" s="21"/>
      <c r="RA109" s="21"/>
      <c r="RB109" s="21"/>
      <c r="RC109" s="21"/>
      <c r="RD109" s="21"/>
      <c r="RE109" s="21"/>
      <c r="RF109" s="21"/>
      <c r="RG109" s="21"/>
      <c r="RH109" s="21"/>
      <c r="RI109" s="21"/>
      <c r="RJ109" s="21"/>
      <c r="RK109" s="21"/>
      <c r="RL109" s="21"/>
      <c r="RM109" s="21"/>
      <c r="RN109" s="21"/>
      <c r="RO109" s="21"/>
      <c r="RP109" s="21"/>
      <c r="RQ109" s="21"/>
      <c r="RR109" s="21"/>
      <c r="RS109" s="21"/>
      <c r="RT109" s="21"/>
      <c r="RU109" s="21"/>
      <c r="RV109" s="21"/>
      <c r="RW109" s="21"/>
      <c r="RX109" s="21"/>
      <c r="RY109" s="21"/>
      <c r="RZ109" s="21"/>
      <c r="SA109" s="21"/>
      <c r="SB109" s="21"/>
      <c r="SC109" s="21"/>
      <c r="SD109" s="21"/>
      <c r="SE109" s="21"/>
      <c r="SF109" s="21"/>
      <c r="SG109" s="21"/>
      <c r="SH109" s="21"/>
      <c r="SI109" s="21"/>
      <c r="SJ109" s="21"/>
      <c r="SK109" s="21"/>
      <c r="SL109" s="21"/>
      <c r="SM109" s="21"/>
      <c r="SN109" s="21"/>
      <c r="SO109" s="21"/>
      <c r="SP109" s="21"/>
      <c r="SQ109" s="21"/>
      <c r="SR109" s="21"/>
      <c r="SS109" s="21"/>
      <c r="ST109" s="21"/>
      <c r="SU109" s="21"/>
      <c r="SV109" s="21"/>
      <c r="SW109" s="21"/>
      <c r="SX109" s="21"/>
      <c r="SY109" s="21"/>
      <c r="SZ109" s="21"/>
      <c r="TA109" s="21"/>
      <c r="TB109" s="21"/>
      <c r="TC109" s="21"/>
      <c r="TD109" s="21"/>
      <c r="TE109" s="21"/>
      <c r="TF109" s="21"/>
      <c r="TG109" s="21"/>
      <c r="TH109" s="21"/>
      <c r="TI109" s="21"/>
      <c r="TJ109" s="21"/>
      <c r="TK109" s="21"/>
      <c r="TL109" s="21"/>
      <c r="TM109" s="21"/>
      <c r="TN109" s="21"/>
      <c r="TO109" s="21"/>
      <c r="TP109" s="21"/>
      <c r="TQ109" s="21"/>
      <c r="TR109" s="21"/>
      <c r="TS109" s="21"/>
      <c r="TT109" s="21"/>
      <c r="TU109" s="21"/>
      <c r="TV109" s="21"/>
      <c r="TW109" s="21"/>
      <c r="TX109" s="21"/>
      <c r="TY109" s="21"/>
      <c r="TZ109" s="21"/>
      <c r="UA109" s="21"/>
      <c r="UB109" s="21"/>
      <c r="UC109" s="21"/>
      <c r="UD109" s="21"/>
      <c r="UE109" s="21"/>
      <c r="UF109" s="21"/>
      <c r="UG109" s="21"/>
      <c r="UH109" s="21"/>
      <c r="UI109" s="21"/>
      <c r="UJ109" s="21"/>
      <c r="UK109" s="21"/>
      <c r="UL109" s="21"/>
      <c r="UM109" s="21"/>
      <c r="UN109" s="21"/>
      <c r="UO109" s="21"/>
      <c r="UP109" s="21"/>
      <c r="UQ109" s="21"/>
      <c r="UR109" s="21"/>
      <c r="US109" s="21"/>
      <c r="UT109" s="21"/>
      <c r="UU109" s="21"/>
      <c r="UV109" s="21"/>
      <c r="UW109" s="21"/>
      <c r="UX109" s="21"/>
      <c r="UY109" s="21"/>
      <c r="UZ109" s="21"/>
      <c r="VA109" s="21"/>
      <c r="VB109" s="21"/>
      <c r="VC109" s="21"/>
      <c r="VD109" s="21"/>
      <c r="VE109" s="21"/>
      <c r="VF109" s="21"/>
      <c r="VG109" s="21"/>
      <c r="VH109" s="21"/>
      <c r="VI109" s="21"/>
      <c r="VJ109" s="21"/>
      <c r="VK109" s="21"/>
      <c r="VL109" s="21"/>
      <c r="VM109" s="21"/>
      <c r="VN109" s="21"/>
      <c r="VO109" s="21"/>
      <c r="VP109" s="21"/>
      <c r="VQ109" s="21"/>
      <c r="VR109" s="21"/>
      <c r="VS109" s="21"/>
      <c r="VT109" s="21"/>
      <c r="VU109" s="21"/>
      <c r="VV109" s="21"/>
      <c r="VW109" s="21"/>
      <c r="VX109" s="21"/>
      <c r="VY109" s="21"/>
      <c r="VZ109" s="21"/>
      <c r="WA109" s="21"/>
      <c r="WB109" s="21"/>
      <c r="WC109" s="21"/>
      <c r="WD109" s="21"/>
      <c r="WE109" s="21"/>
      <c r="WF109" s="21"/>
      <c r="WG109" s="21"/>
      <c r="WH109" s="21"/>
      <c r="WI109" s="21"/>
      <c r="WJ109" s="21"/>
      <c r="WK109" s="21"/>
      <c r="WL109" s="21"/>
      <c r="WM109" s="21"/>
      <c r="WN109" s="21"/>
      <c r="WO109" s="21"/>
      <c r="WP109" s="21"/>
      <c r="WQ109" s="21"/>
      <c r="WR109" s="21"/>
      <c r="WS109" s="21"/>
      <c r="WT109" s="21"/>
      <c r="WU109" s="21"/>
      <c r="WV109" s="21"/>
      <c r="WW109" s="21"/>
      <c r="WX109" s="21"/>
      <c r="WY109" s="21"/>
      <c r="WZ109" s="21"/>
      <c r="XA109" s="21"/>
      <c r="XB109" s="21"/>
      <c r="XC109" s="21"/>
      <c r="XD109" s="21"/>
      <c r="XE109" s="21"/>
      <c r="XF109" s="21"/>
      <c r="XG109" s="21"/>
      <c r="XH109" s="21"/>
      <c r="XI109" s="21"/>
      <c r="XJ109" s="21"/>
      <c r="XK109" s="21"/>
      <c r="XL109" s="21"/>
      <c r="XM109" s="21"/>
      <c r="XN109" s="21"/>
      <c r="XO109" s="21"/>
      <c r="XP109" s="21"/>
      <c r="XQ109" s="21"/>
      <c r="XR109" s="21"/>
      <c r="XS109" s="21"/>
      <c r="XT109" s="21"/>
      <c r="XU109" s="21"/>
      <c r="XV109" s="21"/>
      <c r="XW109" s="21"/>
      <c r="XX109" s="21"/>
      <c r="XY109" s="21"/>
      <c r="XZ109" s="21"/>
      <c r="YA109" s="21"/>
      <c r="YB109" s="21"/>
      <c r="YC109" s="21"/>
      <c r="YD109" s="21"/>
      <c r="YE109" s="21"/>
      <c r="YF109" s="21"/>
      <c r="YG109" s="21"/>
      <c r="YH109" s="21"/>
      <c r="YI109" s="21"/>
      <c r="YJ109" s="21"/>
      <c r="YK109" s="21"/>
      <c r="YL109" s="21"/>
      <c r="YM109" s="21"/>
      <c r="YN109" s="21"/>
      <c r="YO109" s="21"/>
      <c r="YP109" s="21"/>
      <c r="YQ109" s="21"/>
      <c r="YR109" s="21"/>
      <c r="YS109" s="21"/>
      <c r="YT109" s="21"/>
      <c r="YU109" s="21"/>
      <c r="YV109" s="21"/>
      <c r="YW109" s="21"/>
      <c r="YX109" s="21"/>
      <c r="YY109" s="21"/>
      <c r="YZ109" s="21"/>
      <c r="ZA109" s="21"/>
      <c r="ZB109" s="21"/>
      <c r="ZC109" s="21"/>
      <c r="ZD109" s="21"/>
      <c r="ZE109" s="21"/>
      <c r="ZF109" s="21"/>
      <c r="ZG109" s="21"/>
      <c r="ZH109" s="21"/>
      <c r="ZI109" s="21"/>
      <c r="ZJ109" s="21"/>
      <c r="ZK109" s="21"/>
      <c r="ZL109" s="21"/>
      <c r="ZM109" s="21"/>
      <c r="ZN109" s="21"/>
      <c r="ZO109" s="21"/>
      <c r="ZP109" s="21"/>
      <c r="ZQ109" s="21"/>
      <c r="ZR109" s="21"/>
      <c r="ZS109" s="21"/>
      <c r="ZT109" s="21"/>
      <c r="ZU109" s="21"/>
      <c r="ZV109" s="21"/>
      <c r="ZW109" s="21"/>
      <c r="ZX109" s="21"/>
      <c r="ZY109" s="21"/>
      <c r="ZZ109" s="21"/>
      <c r="AAA109" s="21"/>
      <c r="AAB109" s="21"/>
      <c r="AAC109" s="21"/>
      <c r="AAD109" s="21"/>
      <c r="AAE109" s="21"/>
      <c r="AAF109" s="21"/>
      <c r="AAG109" s="21"/>
      <c r="AAH109" s="21"/>
      <c r="AAI109" s="21"/>
      <c r="AAJ109" s="21"/>
      <c r="AAK109" s="21"/>
      <c r="AAL109" s="21"/>
      <c r="AAM109" s="21"/>
      <c r="AAN109" s="21"/>
      <c r="AAO109" s="21"/>
      <c r="AAP109" s="21"/>
      <c r="AAQ109" s="21"/>
      <c r="AAR109" s="21"/>
      <c r="AAS109" s="21"/>
      <c r="AAT109" s="21"/>
      <c r="AAU109" s="21"/>
      <c r="AAV109" s="21"/>
      <c r="AAW109" s="21"/>
      <c r="AAX109" s="21"/>
      <c r="AAY109" s="21"/>
      <c r="AAZ109" s="21"/>
      <c r="ABA109" s="21"/>
      <c r="ABB109" s="21"/>
      <c r="ABC109" s="21"/>
      <c r="ABD109" s="21"/>
      <c r="ABE109" s="21"/>
      <c r="ABF109" s="21"/>
      <c r="ABG109" s="21"/>
      <c r="ABH109" s="21"/>
      <c r="ABI109" s="21"/>
      <c r="ABJ109" s="21"/>
      <c r="ABK109" s="21"/>
      <c r="ABL109" s="21"/>
      <c r="ABM109" s="21"/>
      <c r="ABN109" s="21"/>
      <c r="ABO109" s="21"/>
      <c r="ABP109" s="21"/>
      <c r="ABQ109" s="21"/>
      <c r="ABR109" s="21"/>
      <c r="ABS109" s="21"/>
      <c r="ABT109" s="21"/>
      <c r="ABU109" s="21"/>
      <c r="ABV109" s="21"/>
      <c r="ABW109" s="21"/>
      <c r="ABX109" s="21"/>
      <c r="ABY109" s="21"/>
      <c r="ABZ109" s="21"/>
      <c r="ACA109" s="21"/>
      <c r="ACB109" s="21"/>
      <c r="ACC109" s="21"/>
      <c r="ACD109" s="21"/>
      <c r="ACE109" s="21"/>
      <c r="ACF109" s="21"/>
      <c r="ACG109" s="21"/>
      <c r="ACH109" s="21"/>
      <c r="ACI109" s="21"/>
      <c r="ACJ109" s="21"/>
      <c r="ACK109" s="21"/>
      <c r="ACL109" s="21"/>
      <c r="ACM109" s="21"/>
      <c r="ACN109" s="21"/>
      <c r="ACO109" s="21"/>
      <c r="ACP109" s="21"/>
      <c r="ACQ109" s="21"/>
      <c r="ACR109" s="21"/>
      <c r="ACS109" s="21"/>
      <c r="ACT109" s="21"/>
      <c r="ACU109" s="21"/>
      <c r="ACV109" s="21"/>
      <c r="ACW109" s="21"/>
      <c r="ACX109" s="21"/>
      <c r="ACY109" s="21"/>
      <c r="ACZ109" s="21"/>
      <c r="ADA109" s="21"/>
      <c r="ADB109" s="21"/>
      <c r="ADC109" s="21"/>
      <c r="ADD109" s="21"/>
      <c r="ADE109" s="21"/>
      <c r="ADF109" s="21"/>
      <c r="ADG109" s="21"/>
      <c r="ADH109" s="21"/>
      <c r="ADI109" s="21"/>
      <c r="ADJ109" s="21"/>
      <c r="ADK109" s="21"/>
      <c r="ADL109" s="21"/>
      <c r="ADM109" s="21"/>
      <c r="ADN109" s="21"/>
      <c r="ADO109" s="21"/>
      <c r="ADP109" s="21"/>
      <c r="ADQ109" s="21"/>
      <c r="ADR109" s="21"/>
      <c r="ADS109" s="21"/>
      <c r="ADT109" s="21"/>
      <c r="ADU109" s="21"/>
      <c r="ADV109" s="21"/>
      <c r="ADW109" s="21"/>
      <c r="ADX109" s="21"/>
      <c r="ADY109" s="21"/>
      <c r="ADZ109" s="21"/>
      <c r="AEA109" s="21"/>
      <c r="AEB109" s="21"/>
      <c r="AEC109" s="21"/>
      <c r="AED109" s="21"/>
      <c r="AEE109" s="21"/>
      <c r="AEF109" s="21"/>
      <c r="AEG109" s="21"/>
      <c r="AEH109" s="21"/>
      <c r="AEI109" s="21"/>
      <c r="AEJ109" s="21"/>
      <c r="AEK109" s="21"/>
      <c r="AEL109" s="21"/>
      <c r="AEM109" s="21"/>
      <c r="AEN109" s="21"/>
      <c r="AEO109" s="21"/>
      <c r="AEP109" s="21"/>
      <c r="AEQ109" s="21"/>
      <c r="AER109" s="21"/>
      <c r="AES109" s="21"/>
      <c r="AET109" s="21"/>
      <c r="AEU109" s="21"/>
      <c r="AEV109" s="21"/>
      <c r="AEW109" s="21"/>
      <c r="AEX109" s="21"/>
      <c r="AEY109" s="21"/>
      <c r="AEZ109" s="21"/>
      <c r="AFA109" s="21"/>
      <c r="AFB109" s="21"/>
      <c r="AFC109" s="21"/>
      <c r="AFD109" s="21"/>
      <c r="AFE109" s="21"/>
      <c r="AFF109" s="21"/>
      <c r="AFG109" s="21"/>
      <c r="AFH109" s="21"/>
      <c r="AFI109" s="21"/>
      <c r="AFJ109" s="21"/>
      <c r="AFK109" s="21"/>
      <c r="AFL109" s="21"/>
      <c r="AFM109" s="21"/>
      <c r="AFN109" s="21"/>
      <c r="AFO109" s="21"/>
      <c r="AFP109" s="21"/>
      <c r="AFQ109" s="21"/>
      <c r="AFR109" s="21"/>
      <c r="AFS109" s="21"/>
      <c r="AFT109" s="21"/>
      <c r="AFU109" s="21"/>
      <c r="AFV109" s="21"/>
      <c r="AFW109" s="21"/>
      <c r="AFX109" s="21"/>
      <c r="AFY109" s="21"/>
      <c r="AFZ109" s="21"/>
      <c r="AGA109" s="21"/>
      <c r="AGB109" s="21"/>
      <c r="AGC109" s="21"/>
      <c r="AGD109" s="21"/>
      <c r="AGE109" s="21"/>
      <c r="AGF109" s="21"/>
      <c r="AGG109" s="21"/>
      <c r="AGH109" s="21"/>
      <c r="AGI109" s="21"/>
      <c r="AGJ109" s="21"/>
      <c r="AGK109" s="21"/>
      <c r="AGL109" s="21"/>
      <c r="AGM109" s="21"/>
      <c r="AGN109" s="21"/>
      <c r="AGO109" s="21"/>
      <c r="AGP109" s="21"/>
      <c r="AGQ109" s="21"/>
      <c r="AGR109" s="21"/>
      <c r="AGS109" s="21"/>
    </row>
    <row r="110" spans="1:877" ht="13">
      <c r="A110" s="12"/>
      <c r="B110" s="12"/>
      <c r="C110" s="12"/>
      <c r="D110" s="12"/>
      <c r="E110" s="12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5"/>
      <c r="BY110" s="55"/>
      <c r="BZ110" s="55"/>
      <c r="CA110" s="55"/>
      <c r="CB110" s="55"/>
      <c r="CC110" s="55"/>
      <c r="CD110" s="55"/>
      <c r="CE110" s="55"/>
      <c r="CF110" s="55"/>
      <c r="CG110" s="55"/>
      <c r="CH110" s="55"/>
      <c r="CI110" s="55"/>
      <c r="CJ110" s="55"/>
      <c r="CK110" s="55"/>
      <c r="CL110" s="55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21"/>
      <c r="JO110" s="21"/>
      <c r="JP110" s="21"/>
      <c r="JQ110" s="21"/>
      <c r="JR110" s="21"/>
      <c r="JS110" s="21"/>
      <c r="JT110" s="21"/>
      <c r="JU110" s="21"/>
      <c r="JV110" s="21"/>
      <c r="JW110" s="21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  <c r="KJ110" s="21"/>
      <c r="KK110" s="21"/>
      <c r="KL110" s="21"/>
      <c r="KM110" s="21"/>
      <c r="KN110" s="21"/>
      <c r="KO110" s="21"/>
      <c r="KP110" s="21"/>
      <c r="KQ110" s="21"/>
      <c r="KR110" s="21"/>
      <c r="KS110" s="21"/>
      <c r="KT110" s="21"/>
      <c r="KU110" s="21"/>
      <c r="KV110" s="21"/>
      <c r="KW110" s="21"/>
      <c r="KX110" s="21"/>
      <c r="KY110" s="21"/>
      <c r="KZ110" s="21"/>
      <c r="LA110" s="21"/>
      <c r="LB110" s="21"/>
      <c r="LC110" s="21"/>
      <c r="LD110" s="21"/>
      <c r="LE110" s="21"/>
      <c r="LF110" s="21"/>
      <c r="LG110" s="21"/>
      <c r="LH110" s="21"/>
      <c r="LI110" s="21"/>
      <c r="LJ110" s="21"/>
      <c r="LK110" s="21"/>
      <c r="LL110" s="21"/>
      <c r="LM110" s="21"/>
      <c r="LN110" s="21"/>
      <c r="LO110" s="21"/>
      <c r="LP110" s="21"/>
      <c r="LQ110" s="21"/>
      <c r="LR110" s="21"/>
      <c r="LS110" s="21"/>
      <c r="LT110" s="21"/>
      <c r="LU110" s="21"/>
      <c r="LV110" s="21"/>
      <c r="LW110" s="21"/>
      <c r="LX110" s="21"/>
      <c r="LY110" s="21"/>
      <c r="LZ110" s="21"/>
      <c r="MA110" s="21"/>
      <c r="MB110" s="21"/>
      <c r="MC110" s="21"/>
      <c r="MD110" s="21"/>
      <c r="ME110" s="21"/>
      <c r="MF110" s="21"/>
      <c r="MG110" s="21"/>
      <c r="MH110" s="21"/>
      <c r="MI110" s="21"/>
      <c r="MJ110" s="21"/>
      <c r="MK110" s="21"/>
      <c r="ML110" s="21"/>
      <c r="MM110" s="21"/>
      <c r="MN110" s="21"/>
      <c r="MO110" s="21"/>
      <c r="MP110" s="21"/>
      <c r="MQ110" s="21"/>
      <c r="MR110" s="21"/>
      <c r="MS110" s="21"/>
      <c r="MT110" s="21"/>
      <c r="MU110" s="21"/>
      <c r="MV110" s="21"/>
      <c r="MW110" s="21"/>
      <c r="MX110" s="21"/>
      <c r="MY110" s="21"/>
      <c r="MZ110" s="21"/>
      <c r="NA110" s="21"/>
      <c r="NB110" s="21"/>
      <c r="NC110" s="21"/>
      <c r="ND110" s="21"/>
      <c r="NE110" s="21"/>
      <c r="NF110" s="21"/>
      <c r="NG110" s="21"/>
      <c r="NH110" s="21"/>
      <c r="NI110" s="21"/>
      <c r="NJ110" s="21"/>
      <c r="NK110" s="21"/>
      <c r="NL110" s="21"/>
      <c r="NM110" s="21"/>
      <c r="NN110" s="21"/>
      <c r="NO110" s="21"/>
      <c r="NP110" s="21"/>
      <c r="NQ110" s="21"/>
      <c r="NR110" s="21"/>
      <c r="NS110" s="21"/>
      <c r="NT110" s="21"/>
      <c r="NU110" s="21"/>
      <c r="NV110" s="21"/>
      <c r="NW110" s="21"/>
      <c r="NX110" s="21"/>
      <c r="NY110" s="21"/>
      <c r="NZ110" s="21"/>
      <c r="OA110" s="21"/>
      <c r="OB110" s="21"/>
      <c r="OC110" s="21"/>
      <c r="OD110" s="21"/>
      <c r="OE110" s="21"/>
      <c r="OF110" s="21"/>
      <c r="OG110" s="21"/>
      <c r="OH110" s="21"/>
      <c r="OI110" s="21"/>
      <c r="OJ110" s="21"/>
      <c r="OK110" s="21"/>
      <c r="OL110" s="21"/>
      <c r="OM110" s="21"/>
      <c r="ON110" s="21"/>
      <c r="OO110" s="21"/>
      <c r="OP110" s="21"/>
      <c r="OQ110" s="21"/>
      <c r="OR110" s="21"/>
      <c r="OS110" s="21"/>
      <c r="OT110" s="21"/>
      <c r="OU110" s="21"/>
      <c r="OV110" s="21"/>
      <c r="OW110" s="21"/>
      <c r="OX110" s="21"/>
      <c r="OY110" s="21"/>
      <c r="OZ110" s="21"/>
      <c r="PA110" s="21"/>
      <c r="PB110" s="21"/>
      <c r="PC110" s="21"/>
      <c r="PD110" s="21"/>
      <c r="PE110" s="21"/>
      <c r="PF110" s="21"/>
      <c r="PG110" s="21"/>
      <c r="PH110" s="21"/>
      <c r="PI110" s="21"/>
      <c r="PJ110" s="21"/>
      <c r="PK110" s="21"/>
      <c r="PL110" s="21"/>
      <c r="PM110" s="21"/>
      <c r="PN110" s="21"/>
      <c r="PO110" s="21"/>
      <c r="PP110" s="21"/>
      <c r="PQ110" s="21"/>
      <c r="PR110" s="21"/>
      <c r="PS110" s="21"/>
      <c r="PT110" s="21"/>
      <c r="PU110" s="21"/>
      <c r="PV110" s="21"/>
      <c r="PW110" s="21"/>
      <c r="PX110" s="21"/>
      <c r="PY110" s="21"/>
      <c r="PZ110" s="21"/>
      <c r="QA110" s="21"/>
      <c r="QB110" s="21"/>
      <c r="QC110" s="21"/>
      <c r="QD110" s="21"/>
      <c r="QE110" s="21"/>
      <c r="QF110" s="21"/>
      <c r="QG110" s="21"/>
      <c r="QH110" s="21"/>
      <c r="QI110" s="21"/>
      <c r="QJ110" s="21"/>
      <c r="QK110" s="21"/>
      <c r="QL110" s="21"/>
      <c r="QM110" s="21"/>
      <c r="QN110" s="21"/>
      <c r="QO110" s="21"/>
      <c r="QP110" s="21"/>
      <c r="QQ110" s="21"/>
      <c r="QR110" s="21"/>
      <c r="QS110" s="21"/>
      <c r="QT110" s="21"/>
      <c r="QU110" s="21"/>
      <c r="QV110" s="21"/>
      <c r="QW110" s="21"/>
      <c r="QX110" s="21"/>
      <c r="QY110" s="21"/>
      <c r="QZ110" s="21"/>
      <c r="RA110" s="21"/>
      <c r="RB110" s="21"/>
      <c r="RC110" s="21"/>
      <c r="RD110" s="21"/>
      <c r="RE110" s="21"/>
      <c r="RF110" s="21"/>
      <c r="RG110" s="21"/>
      <c r="RH110" s="21"/>
      <c r="RI110" s="21"/>
      <c r="RJ110" s="21"/>
      <c r="RK110" s="21"/>
      <c r="RL110" s="21"/>
      <c r="RM110" s="21"/>
      <c r="RN110" s="21"/>
      <c r="RO110" s="21"/>
      <c r="RP110" s="21"/>
      <c r="RQ110" s="21"/>
      <c r="RR110" s="21"/>
      <c r="RS110" s="21"/>
      <c r="RT110" s="21"/>
      <c r="RU110" s="21"/>
      <c r="RV110" s="21"/>
      <c r="RW110" s="21"/>
      <c r="RX110" s="21"/>
      <c r="RY110" s="21"/>
      <c r="RZ110" s="21"/>
      <c r="SA110" s="21"/>
      <c r="SB110" s="21"/>
      <c r="SC110" s="21"/>
      <c r="SD110" s="21"/>
      <c r="SE110" s="21"/>
      <c r="SF110" s="21"/>
      <c r="SG110" s="21"/>
      <c r="SH110" s="21"/>
      <c r="SI110" s="21"/>
      <c r="SJ110" s="21"/>
      <c r="SK110" s="21"/>
      <c r="SL110" s="21"/>
      <c r="SM110" s="21"/>
      <c r="SN110" s="21"/>
      <c r="SO110" s="21"/>
      <c r="SP110" s="21"/>
      <c r="SQ110" s="21"/>
      <c r="SR110" s="21"/>
      <c r="SS110" s="21"/>
      <c r="ST110" s="21"/>
      <c r="SU110" s="21"/>
      <c r="SV110" s="21"/>
      <c r="SW110" s="21"/>
      <c r="SX110" s="21"/>
      <c r="SY110" s="21"/>
      <c r="SZ110" s="21"/>
      <c r="TA110" s="21"/>
      <c r="TB110" s="21"/>
      <c r="TC110" s="21"/>
      <c r="TD110" s="21"/>
      <c r="TE110" s="21"/>
      <c r="TF110" s="21"/>
      <c r="TG110" s="21"/>
      <c r="TH110" s="21"/>
      <c r="TI110" s="21"/>
      <c r="TJ110" s="21"/>
      <c r="TK110" s="21"/>
      <c r="TL110" s="21"/>
      <c r="TM110" s="21"/>
      <c r="TN110" s="21"/>
      <c r="TO110" s="21"/>
      <c r="TP110" s="21"/>
      <c r="TQ110" s="21"/>
      <c r="TR110" s="21"/>
      <c r="TS110" s="21"/>
      <c r="TT110" s="21"/>
      <c r="TU110" s="21"/>
      <c r="TV110" s="21"/>
      <c r="TW110" s="21"/>
      <c r="TX110" s="21"/>
      <c r="TY110" s="21"/>
      <c r="TZ110" s="21"/>
      <c r="UA110" s="21"/>
      <c r="UB110" s="21"/>
      <c r="UC110" s="21"/>
      <c r="UD110" s="21"/>
      <c r="UE110" s="21"/>
      <c r="UF110" s="21"/>
      <c r="UG110" s="21"/>
      <c r="UH110" s="21"/>
      <c r="UI110" s="21"/>
      <c r="UJ110" s="21"/>
      <c r="UK110" s="21"/>
      <c r="UL110" s="21"/>
      <c r="UM110" s="21"/>
      <c r="UN110" s="21"/>
      <c r="UO110" s="21"/>
      <c r="UP110" s="21"/>
      <c r="UQ110" s="21"/>
      <c r="UR110" s="21"/>
      <c r="US110" s="21"/>
      <c r="UT110" s="21"/>
      <c r="UU110" s="21"/>
      <c r="UV110" s="21"/>
      <c r="UW110" s="21"/>
      <c r="UX110" s="21"/>
      <c r="UY110" s="21"/>
      <c r="UZ110" s="21"/>
      <c r="VA110" s="21"/>
      <c r="VB110" s="21"/>
      <c r="VC110" s="21"/>
      <c r="VD110" s="21"/>
      <c r="VE110" s="21"/>
      <c r="VF110" s="21"/>
      <c r="VG110" s="21"/>
      <c r="VH110" s="21"/>
      <c r="VI110" s="21"/>
      <c r="VJ110" s="21"/>
      <c r="VK110" s="21"/>
      <c r="VL110" s="21"/>
      <c r="VM110" s="21"/>
      <c r="VN110" s="21"/>
      <c r="VO110" s="21"/>
      <c r="VP110" s="21"/>
      <c r="VQ110" s="21"/>
      <c r="VR110" s="21"/>
      <c r="VS110" s="21"/>
      <c r="VT110" s="21"/>
      <c r="VU110" s="21"/>
      <c r="VV110" s="21"/>
      <c r="VW110" s="21"/>
      <c r="VX110" s="21"/>
      <c r="VY110" s="21"/>
      <c r="VZ110" s="21"/>
      <c r="WA110" s="21"/>
      <c r="WB110" s="21"/>
      <c r="WC110" s="21"/>
      <c r="WD110" s="21"/>
      <c r="WE110" s="21"/>
      <c r="WF110" s="21"/>
      <c r="WG110" s="21"/>
      <c r="WH110" s="21"/>
      <c r="WI110" s="21"/>
      <c r="WJ110" s="21"/>
      <c r="WK110" s="21"/>
      <c r="WL110" s="21"/>
      <c r="WM110" s="21"/>
      <c r="WN110" s="21"/>
      <c r="WO110" s="21"/>
      <c r="WP110" s="21"/>
      <c r="WQ110" s="21"/>
      <c r="WR110" s="21"/>
      <c r="WS110" s="21"/>
      <c r="WT110" s="21"/>
      <c r="WU110" s="21"/>
      <c r="WV110" s="21"/>
      <c r="WW110" s="21"/>
      <c r="WX110" s="21"/>
      <c r="WY110" s="21"/>
      <c r="WZ110" s="21"/>
      <c r="XA110" s="21"/>
      <c r="XB110" s="21"/>
      <c r="XC110" s="21"/>
      <c r="XD110" s="21"/>
      <c r="XE110" s="21"/>
      <c r="XF110" s="21"/>
      <c r="XG110" s="21"/>
      <c r="XH110" s="21"/>
      <c r="XI110" s="21"/>
      <c r="XJ110" s="21"/>
      <c r="XK110" s="21"/>
      <c r="XL110" s="21"/>
      <c r="XM110" s="21"/>
      <c r="XN110" s="21"/>
      <c r="XO110" s="21"/>
      <c r="XP110" s="21"/>
      <c r="XQ110" s="21"/>
      <c r="XR110" s="21"/>
      <c r="XS110" s="21"/>
      <c r="XT110" s="21"/>
      <c r="XU110" s="21"/>
      <c r="XV110" s="21"/>
      <c r="XW110" s="21"/>
      <c r="XX110" s="21"/>
      <c r="XY110" s="21"/>
      <c r="XZ110" s="21"/>
      <c r="YA110" s="21"/>
      <c r="YB110" s="21"/>
      <c r="YC110" s="21"/>
      <c r="YD110" s="21"/>
      <c r="YE110" s="21"/>
      <c r="YF110" s="21"/>
      <c r="YG110" s="21"/>
      <c r="YH110" s="21"/>
      <c r="YI110" s="21"/>
      <c r="YJ110" s="21"/>
      <c r="YK110" s="21"/>
      <c r="YL110" s="21"/>
      <c r="YM110" s="21"/>
      <c r="YN110" s="21"/>
      <c r="YO110" s="21"/>
      <c r="YP110" s="21"/>
      <c r="YQ110" s="21"/>
      <c r="YR110" s="21"/>
      <c r="YS110" s="21"/>
      <c r="YT110" s="21"/>
      <c r="YU110" s="21"/>
      <c r="YV110" s="21"/>
      <c r="YW110" s="21"/>
      <c r="YX110" s="21"/>
      <c r="YY110" s="21"/>
      <c r="YZ110" s="21"/>
      <c r="ZA110" s="21"/>
      <c r="ZB110" s="21"/>
      <c r="ZC110" s="21"/>
      <c r="ZD110" s="21"/>
      <c r="ZE110" s="21"/>
      <c r="ZF110" s="21"/>
      <c r="ZG110" s="21"/>
      <c r="ZH110" s="21"/>
      <c r="ZI110" s="21"/>
      <c r="ZJ110" s="21"/>
      <c r="ZK110" s="21"/>
      <c r="ZL110" s="21"/>
      <c r="ZM110" s="21"/>
      <c r="ZN110" s="21"/>
      <c r="ZO110" s="21"/>
      <c r="ZP110" s="21"/>
      <c r="ZQ110" s="21"/>
      <c r="ZR110" s="21"/>
      <c r="ZS110" s="21"/>
      <c r="ZT110" s="21"/>
      <c r="ZU110" s="21"/>
      <c r="ZV110" s="21"/>
      <c r="ZW110" s="21"/>
      <c r="ZX110" s="21"/>
      <c r="ZY110" s="21"/>
      <c r="ZZ110" s="21"/>
      <c r="AAA110" s="21"/>
      <c r="AAB110" s="21"/>
      <c r="AAC110" s="21"/>
      <c r="AAD110" s="21"/>
      <c r="AAE110" s="21"/>
      <c r="AAF110" s="21"/>
      <c r="AAG110" s="21"/>
      <c r="AAH110" s="21"/>
      <c r="AAI110" s="21"/>
      <c r="AAJ110" s="21"/>
      <c r="AAK110" s="21"/>
      <c r="AAL110" s="21"/>
      <c r="AAM110" s="21"/>
      <c r="AAN110" s="21"/>
      <c r="AAO110" s="21"/>
      <c r="AAP110" s="21"/>
      <c r="AAQ110" s="21"/>
      <c r="AAR110" s="21"/>
      <c r="AAS110" s="21"/>
      <c r="AAT110" s="21"/>
      <c r="AAU110" s="21"/>
      <c r="AAV110" s="21"/>
      <c r="AAW110" s="21"/>
      <c r="AAX110" s="21"/>
      <c r="AAY110" s="21"/>
      <c r="AAZ110" s="21"/>
      <c r="ABA110" s="21"/>
      <c r="ABB110" s="21"/>
      <c r="ABC110" s="21"/>
      <c r="ABD110" s="21"/>
      <c r="ABE110" s="21"/>
      <c r="ABF110" s="21"/>
      <c r="ABG110" s="21"/>
      <c r="ABH110" s="21"/>
      <c r="ABI110" s="21"/>
      <c r="ABJ110" s="21"/>
      <c r="ABK110" s="21"/>
      <c r="ABL110" s="21"/>
      <c r="ABM110" s="21"/>
      <c r="ABN110" s="21"/>
      <c r="ABO110" s="21"/>
      <c r="ABP110" s="21"/>
      <c r="ABQ110" s="21"/>
      <c r="ABR110" s="21"/>
      <c r="ABS110" s="21"/>
      <c r="ABT110" s="21"/>
      <c r="ABU110" s="21"/>
      <c r="ABV110" s="21"/>
      <c r="ABW110" s="21"/>
      <c r="ABX110" s="21"/>
      <c r="ABY110" s="21"/>
      <c r="ABZ110" s="21"/>
      <c r="ACA110" s="21"/>
      <c r="ACB110" s="21"/>
      <c r="ACC110" s="21"/>
      <c r="ACD110" s="21"/>
      <c r="ACE110" s="21"/>
      <c r="ACF110" s="21"/>
      <c r="ACG110" s="21"/>
      <c r="ACH110" s="21"/>
      <c r="ACI110" s="21"/>
      <c r="ACJ110" s="21"/>
      <c r="ACK110" s="21"/>
      <c r="ACL110" s="21"/>
      <c r="ACM110" s="21"/>
      <c r="ACN110" s="21"/>
      <c r="ACO110" s="21"/>
      <c r="ACP110" s="21"/>
      <c r="ACQ110" s="21"/>
      <c r="ACR110" s="21"/>
      <c r="ACS110" s="21"/>
      <c r="ACT110" s="21"/>
      <c r="ACU110" s="21"/>
      <c r="ACV110" s="21"/>
      <c r="ACW110" s="21"/>
      <c r="ACX110" s="21"/>
      <c r="ACY110" s="21"/>
      <c r="ACZ110" s="21"/>
      <c r="ADA110" s="21"/>
      <c r="ADB110" s="21"/>
      <c r="ADC110" s="21"/>
      <c r="ADD110" s="21"/>
      <c r="ADE110" s="21"/>
      <c r="ADF110" s="21"/>
      <c r="ADG110" s="21"/>
      <c r="ADH110" s="21"/>
      <c r="ADI110" s="21"/>
      <c r="ADJ110" s="21"/>
      <c r="ADK110" s="21"/>
      <c r="ADL110" s="21"/>
      <c r="ADM110" s="21"/>
      <c r="ADN110" s="21"/>
      <c r="ADO110" s="21"/>
      <c r="ADP110" s="21"/>
      <c r="ADQ110" s="21"/>
      <c r="ADR110" s="21"/>
      <c r="ADS110" s="21"/>
      <c r="ADT110" s="21"/>
      <c r="ADU110" s="21"/>
      <c r="ADV110" s="21"/>
      <c r="ADW110" s="21"/>
      <c r="ADX110" s="21"/>
      <c r="ADY110" s="21"/>
      <c r="ADZ110" s="21"/>
      <c r="AEA110" s="21"/>
      <c r="AEB110" s="21"/>
      <c r="AEC110" s="21"/>
      <c r="AED110" s="21"/>
      <c r="AEE110" s="21"/>
      <c r="AEF110" s="21"/>
      <c r="AEG110" s="21"/>
      <c r="AEH110" s="21"/>
      <c r="AEI110" s="21"/>
      <c r="AEJ110" s="21"/>
      <c r="AEK110" s="21"/>
      <c r="AEL110" s="21"/>
      <c r="AEM110" s="21"/>
      <c r="AEN110" s="21"/>
      <c r="AEO110" s="21"/>
      <c r="AEP110" s="21"/>
      <c r="AEQ110" s="21"/>
      <c r="AER110" s="21"/>
      <c r="AES110" s="21"/>
      <c r="AET110" s="21"/>
      <c r="AEU110" s="21"/>
      <c r="AEV110" s="21"/>
      <c r="AEW110" s="21"/>
      <c r="AEX110" s="21"/>
      <c r="AEY110" s="21"/>
      <c r="AEZ110" s="21"/>
      <c r="AFA110" s="21"/>
      <c r="AFB110" s="21"/>
      <c r="AFC110" s="21"/>
      <c r="AFD110" s="21"/>
      <c r="AFE110" s="21"/>
      <c r="AFF110" s="21"/>
      <c r="AFG110" s="21"/>
      <c r="AFH110" s="21"/>
      <c r="AFI110" s="21"/>
      <c r="AFJ110" s="21"/>
      <c r="AFK110" s="21"/>
      <c r="AFL110" s="21"/>
      <c r="AFM110" s="21"/>
      <c r="AFN110" s="21"/>
      <c r="AFO110" s="21"/>
      <c r="AFP110" s="21"/>
      <c r="AFQ110" s="21"/>
      <c r="AFR110" s="21"/>
      <c r="AFS110" s="21"/>
      <c r="AFT110" s="21"/>
      <c r="AFU110" s="21"/>
      <c r="AFV110" s="21"/>
      <c r="AFW110" s="21"/>
      <c r="AFX110" s="21"/>
      <c r="AFY110" s="21"/>
      <c r="AFZ110" s="21"/>
      <c r="AGA110" s="21"/>
      <c r="AGB110" s="21"/>
      <c r="AGC110" s="21"/>
      <c r="AGD110" s="21"/>
      <c r="AGE110" s="21"/>
      <c r="AGF110" s="21"/>
      <c r="AGG110" s="21"/>
      <c r="AGH110" s="21"/>
      <c r="AGI110" s="21"/>
      <c r="AGJ110" s="21"/>
      <c r="AGK110" s="21"/>
      <c r="AGL110" s="21"/>
      <c r="AGM110" s="21"/>
      <c r="AGN110" s="21"/>
      <c r="AGO110" s="21"/>
      <c r="AGP110" s="21"/>
      <c r="AGQ110" s="21"/>
      <c r="AGR110" s="21"/>
      <c r="AGS110" s="21"/>
    </row>
    <row r="111" spans="1:877" ht="13">
      <c r="A111" s="12"/>
      <c r="B111" s="12"/>
      <c r="C111" s="12"/>
      <c r="D111" s="12"/>
      <c r="E111" s="12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55"/>
      <c r="BL111" s="55"/>
      <c r="BM111" s="55"/>
      <c r="BN111" s="55"/>
      <c r="BO111" s="55"/>
      <c r="BP111" s="55"/>
      <c r="BQ111" s="55"/>
      <c r="BR111" s="55"/>
      <c r="BS111" s="55"/>
      <c r="BT111" s="55"/>
      <c r="BU111" s="55"/>
      <c r="BV111" s="55"/>
      <c r="BW111" s="55"/>
      <c r="BX111" s="55"/>
      <c r="BY111" s="55"/>
      <c r="BZ111" s="55"/>
      <c r="CA111" s="55"/>
      <c r="CB111" s="55"/>
      <c r="CC111" s="55"/>
      <c r="CD111" s="55"/>
      <c r="CE111" s="55"/>
      <c r="CF111" s="55"/>
      <c r="CG111" s="55"/>
      <c r="CH111" s="55"/>
      <c r="CI111" s="55"/>
      <c r="CJ111" s="55"/>
      <c r="CK111" s="55"/>
      <c r="CL111" s="55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1"/>
      <c r="JV111" s="21"/>
      <c r="JW111" s="21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  <c r="KJ111" s="21"/>
      <c r="KK111" s="21"/>
      <c r="KL111" s="21"/>
      <c r="KM111" s="21"/>
      <c r="KN111" s="21"/>
      <c r="KO111" s="21"/>
      <c r="KP111" s="21"/>
      <c r="KQ111" s="21"/>
      <c r="KR111" s="21"/>
      <c r="KS111" s="21"/>
      <c r="KT111" s="21"/>
      <c r="KU111" s="21"/>
      <c r="KV111" s="21"/>
      <c r="KW111" s="21"/>
      <c r="KX111" s="21"/>
      <c r="KY111" s="21"/>
      <c r="KZ111" s="21"/>
      <c r="LA111" s="21"/>
      <c r="LB111" s="21"/>
      <c r="LC111" s="21"/>
      <c r="LD111" s="21"/>
      <c r="LE111" s="21"/>
      <c r="LF111" s="21"/>
      <c r="LG111" s="21"/>
      <c r="LH111" s="21"/>
      <c r="LI111" s="21"/>
      <c r="LJ111" s="21"/>
      <c r="LK111" s="21"/>
      <c r="LL111" s="21"/>
      <c r="LM111" s="21"/>
      <c r="LN111" s="21"/>
      <c r="LO111" s="21"/>
      <c r="LP111" s="21"/>
      <c r="LQ111" s="21"/>
      <c r="LR111" s="21"/>
      <c r="LS111" s="21"/>
      <c r="LT111" s="21"/>
      <c r="LU111" s="21"/>
      <c r="LV111" s="21"/>
      <c r="LW111" s="21"/>
      <c r="LX111" s="21"/>
      <c r="LY111" s="21"/>
      <c r="LZ111" s="21"/>
      <c r="MA111" s="21"/>
      <c r="MB111" s="21"/>
      <c r="MC111" s="21"/>
      <c r="MD111" s="21"/>
      <c r="ME111" s="21"/>
      <c r="MF111" s="21"/>
      <c r="MG111" s="21"/>
      <c r="MH111" s="21"/>
      <c r="MI111" s="21"/>
      <c r="MJ111" s="21"/>
      <c r="MK111" s="21"/>
      <c r="ML111" s="21"/>
      <c r="MM111" s="21"/>
      <c r="MN111" s="21"/>
      <c r="MO111" s="21"/>
      <c r="MP111" s="21"/>
      <c r="MQ111" s="21"/>
      <c r="MR111" s="21"/>
      <c r="MS111" s="21"/>
      <c r="MT111" s="21"/>
      <c r="MU111" s="21"/>
      <c r="MV111" s="21"/>
      <c r="MW111" s="21"/>
      <c r="MX111" s="21"/>
      <c r="MY111" s="21"/>
      <c r="MZ111" s="21"/>
      <c r="NA111" s="21"/>
      <c r="NB111" s="21"/>
      <c r="NC111" s="21"/>
      <c r="ND111" s="21"/>
      <c r="NE111" s="21"/>
      <c r="NF111" s="21"/>
      <c r="NG111" s="21"/>
      <c r="NH111" s="21"/>
      <c r="NI111" s="21"/>
      <c r="NJ111" s="21"/>
      <c r="NK111" s="21"/>
      <c r="NL111" s="21"/>
      <c r="NM111" s="21"/>
      <c r="NN111" s="21"/>
      <c r="NO111" s="21"/>
      <c r="NP111" s="21"/>
      <c r="NQ111" s="21"/>
      <c r="NR111" s="21"/>
      <c r="NS111" s="21"/>
      <c r="NT111" s="21"/>
      <c r="NU111" s="21"/>
      <c r="NV111" s="21"/>
      <c r="NW111" s="21"/>
      <c r="NX111" s="21"/>
      <c r="NY111" s="21"/>
      <c r="NZ111" s="21"/>
      <c r="OA111" s="21"/>
      <c r="OB111" s="21"/>
      <c r="OC111" s="21"/>
      <c r="OD111" s="21"/>
      <c r="OE111" s="21"/>
      <c r="OF111" s="21"/>
      <c r="OG111" s="21"/>
      <c r="OH111" s="21"/>
      <c r="OI111" s="21"/>
      <c r="OJ111" s="21"/>
      <c r="OK111" s="21"/>
      <c r="OL111" s="21"/>
      <c r="OM111" s="21"/>
      <c r="ON111" s="21"/>
      <c r="OO111" s="21"/>
      <c r="OP111" s="21"/>
      <c r="OQ111" s="21"/>
      <c r="OR111" s="21"/>
      <c r="OS111" s="21"/>
      <c r="OT111" s="21"/>
      <c r="OU111" s="21"/>
      <c r="OV111" s="21"/>
      <c r="OW111" s="21"/>
      <c r="OX111" s="21"/>
      <c r="OY111" s="21"/>
      <c r="OZ111" s="21"/>
      <c r="PA111" s="21"/>
      <c r="PB111" s="21"/>
      <c r="PC111" s="21"/>
      <c r="PD111" s="21"/>
      <c r="PE111" s="21"/>
      <c r="PF111" s="21"/>
      <c r="PG111" s="21"/>
      <c r="PH111" s="21"/>
      <c r="PI111" s="21"/>
      <c r="PJ111" s="21"/>
      <c r="PK111" s="21"/>
      <c r="PL111" s="21"/>
      <c r="PM111" s="21"/>
      <c r="PN111" s="21"/>
      <c r="PO111" s="21"/>
      <c r="PP111" s="21"/>
      <c r="PQ111" s="21"/>
      <c r="PR111" s="21"/>
      <c r="PS111" s="21"/>
      <c r="PT111" s="21"/>
      <c r="PU111" s="21"/>
      <c r="PV111" s="21"/>
      <c r="PW111" s="21"/>
      <c r="PX111" s="21"/>
      <c r="PY111" s="21"/>
      <c r="PZ111" s="21"/>
      <c r="QA111" s="21"/>
      <c r="QB111" s="21"/>
      <c r="QC111" s="21"/>
      <c r="QD111" s="21"/>
      <c r="QE111" s="21"/>
      <c r="QF111" s="21"/>
      <c r="QG111" s="21"/>
      <c r="QH111" s="21"/>
      <c r="QI111" s="21"/>
      <c r="QJ111" s="21"/>
      <c r="QK111" s="21"/>
      <c r="QL111" s="21"/>
      <c r="QM111" s="21"/>
      <c r="QN111" s="21"/>
      <c r="QO111" s="21"/>
      <c r="QP111" s="21"/>
      <c r="QQ111" s="21"/>
      <c r="QR111" s="21"/>
      <c r="QS111" s="21"/>
      <c r="QT111" s="21"/>
      <c r="QU111" s="21"/>
      <c r="QV111" s="21"/>
      <c r="QW111" s="21"/>
      <c r="QX111" s="21"/>
      <c r="QY111" s="21"/>
      <c r="QZ111" s="21"/>
      <c r="RA111" s="21"/>
      <c r="RB111" s="21"/>
      <c r="RC111" s="21"/>
      <c r="RD111" s="21"/>
      <c r="RE111" s="21"/>
      <c r="RF111" s="21"/>
      <c r="RG111" s="21"/>
      <c r="RH111" s="21"/>
      <c r="RI111" s="21"/>
      <c r="RJ111" s="21"/>
      <c r="RK111" s="21"/>
      <c r="RL111" s="21"/>
      <c r="RM111" s="21"/>
      <c r="RN111" s="21"/>
      <c r="RO111" s="21"/>
      <c r="RP111" s="21"/>
      <c r="RQ111" s="21"/>
      <c r="RR111" s="21"/>
      <c r="RS111" s="21"/>
      <c r="RT111" s="21"/>
      <c r="RU111" s="21"/>
      <c r="RV111" s="21"/>
      <c r="RW111" s="21"/>
      <c r="RX111" s="21"/>
      <c r="RY111" s="21"/>
      <c r="RZ111" s="21"/>
      <c r="SA111" s="21"/>
      <c r="SB111" s="21"/>
      <c r="SC111" s="21"/>
      <c r="SD111" s="21"/>
      <c r="SE111" s="21"/>
      <c r="SF111" s="21"/>
      <c r="SG111" s="21"/>
      <c r="SH111" s="21"/>
      <c r="SI111" s="21"/>
      <c r="SJ111" s="21"/>
      <c r="SK111" s="21"/>
      <c r="SL111" s="21"/>
      <c r="SM111" s="21"/>
      <c r="SN111" s="21"/>
      <c r="SO111" s="21"/>
      <c r="SP111" s="21"/>
      <c r="SQ111" s="21"/>
      <c r="SR111" s="21"/>
      <c r="SS111" s="21"/>
      <c r="ST111" s="21"/>
      <c r="SU111" s="21"/>
      <c r="SV111" s="21"/>
      <c r="SW111" s="21"/>
      <c r="SX111" s="21"/>
      <c r="SY111" s="21"/>
      <c r="SZ111" s="21"/>
      <c r="TA111" s="21"/>
      <c r="TB111" s="21"/>
      <c r="TC111" s="21"/>
      <c r="TD111" s="21"/>
      <c r="TE111" s="21"/>
      <c r="TF111" s="21"/>
      <c r="TG111" s="21"/>
      <c r="TH111" s="21"/>
      <c r="TI111" s="21"/>
      <c r="TJ111" s="21"/>
      <c r="TK111" s="21"/>
      <c r="TL111" s="21"/>
      <c r="TM111" s="21"/>
      <c r="TN111" s="21"/>
      <c r="TO111" s="21"/>
      <c r="TP111" s="21"/>
      <c r="TQ111" s="21"/>
      <c r="TR111" s="21"/>
      <c r="TS111" s="21"/>
      <c r="TT111" s="21"/>
      <c r="TU111" s="21"/>
      <c r="TV111" s="21"/>
      <c r="TW111" s="21"/>
      <c r="TX111" s="21"/>
      <c r="TY111" s="21"/>
      <c r="TZ111" s="21"/>
      <c r="UA111" s="21"/>
      <c r="UB111" s="21"/>
      <c r="UC111" s="21"/>
      <c r="UD111" s="21"/>
      <c r="UE111" s="21"/>
      <c r="UF111" s="21"/>
      <c r="UG111" s="21"/>
      <c r="UH111" s="21"/>
      <c r="UI111" s="21"/>
      <c r="UJ111" s="21"/>
      <c r="UK111" s="21"/>
      <c r="UL111" s="21"/>
      <c r="UM111" s="21"/>
      <c r="UN111" s="21"/>
      <c r="UO111" s="21"/>
      <c r="UP111" s="21"/>
      <c r="UQ111" s="21"/>
      <c r="UR111" s="21"/>
      <c r="US111" s="21"/>
      <c r="UT111" s="21"/>
      <c r="UU111" s="21"/>
      <c r="UV111" s="21"/>
      <c r="UW111" s="21"/>
      <c r="UX111" s="21"/>
      <c r="UY111" s="21"/>
      <c r="UZ111" s="21"/>
      <c r="VA111" s="21"/>
      <c r="VB111" s="21"/>
      <c r="VC111" s="21"/>
      <c r="VD111" s="21"/>
      <c r="VE111" s="21"/>
      <c r="VF111" s="21"/>
      <c r="VG111" s="21"/>
      <c r="VH111" s="21"/>
      <c r="VI111" s="21"/>
      <c r="VJ111" s="21"/>
      <c r="VK111" s="21"/>
      <c r="VL111" s="21"/>
      <c r="VM111" s="21"/>
      <c r="VN111" s="21"/>
      <c r="VO111" s="21"/>
      <c r="VP111" s="21"/>
      <c r="VQ111" s="21"/>
      <c r="VR111" s="21"/>
      <c r="VS111" s="21"/>
      <c r="VT111" s="21"/>
      <c r="VU111" s="21"/>
      <c r="VV111" s="21"/>
      <c r="VW111" s="21"/>
      <c r="VX111" s="21"/>
      <c r="VY111" s="21"/>
      <c r="VZ111" s="21"/>
      <c r="WA111" s="21"/>
      <c r="WB111" s="21"/>
      <c r="WC111" s="21"/>
      <c r="WD111" s="21"/>
      <c r="WE111" s="21"/>
      <c r="WF111" s="21"/>
      <c r="WG111" s="21"/>
      <c r="WH111" s="21"/>
      <c r="WI111" s="21"/>
      <c r="WJ111" s="21"/>
      <c r="WK111" s="21"/>
      <c r="WL111" s="21"/>
      <c r="WM111" s="21"/>
      <c r="WN111" s="21"/>
      <c r="WO111" s="21"/>
      <c r="WP111" s="21"/>
      <c r="WQ111" s="21"/>
      <c r="WR111" s="21"/>
      <c r="WS111" s="21"/>
      <c r="WT111" s="21"/>
      <c r="WU111" s="21"/>
      <c r="WV111" s="21"/>
      <c r="WW111" s="21"/>
      <c r="WX111" s="21"/>
      <c r="WY111" s="21"/>
      <c r="WZ111" s="21"/>
      <c r="XA111" s="21"/>
      <c r="XB111" s="21"/>
      <c r="XC111" s="21"/>
      <c r="XD111" s="21"/>
      <c r="XE111" s="21"/>
      <c r="XF111" s="21"/>
      <c r="XG111" s="21"/>
      <c r="XH111" s="21"/>
      <c r="XI111" s="21"/>
      <c r="XJ111" s="21"/>
      <c r="XK111" s="21"/>
      <c r="XL111" s="21"/>
      <c r="XM111" s="21"/>
      <c r="XN111" s="21"/>
      <c r="XO111" s="21"/>
      <c r="XP111" s="21"/>
      <c r="XQ111" s="21"/>
      <c r="XR111" s="21"/>
      <c r="XS111" s="21"/>
      <c r="XT111" s="21"/>
      <c r="XU111" s="21"/>
      <c r="XV111" s="21"/>
      <c r="XW111" s="21"/>
      <c r="XX111" s="21"/>
      <c r="XY111" s="21"/>
      <c r="XZ111" s="21"/>
      <c r="YA111" s="21"/>
      <c r="YB111" s="21"/>
      <c r="YC111" s="21"/>
      <c r="YD111" s="21"/>
      <c r="YE111" s="21"/>
      <c r="YF111" s="21"/>
      <c r="YG111" s="21"/>
      <c r="YH111" s="21"/>
      <c r="YI111" s="21"/>
      <c r="YJ111" s="21"/>
      <c r="YK111" s="21"/>
      <c r="YL111" s="21"/>
      <c r="YM111" s="21"/>
      <c r="YN111" s="21"/>
      <c r="YO111" s="21"/>
      <c r="YP111" s="21"/>
      <c r="YQ111" s="21"/>
      <c r="YR111" s="21"/>
      <c r="YS111" s="21"/>
      <c r="YT111" s="21"/>
      <c r="YU111" s="21"/>
      <c r="YV111" s="21"/>
      <c r="YW111" s="21"/>
      <c r="YX111" s="21"/>
      <c r="YY111" s="21"/>
      <c r="YZ111" s="21"/>
      <c r="ZA111" s="21"/>
      <c r="ZB111" s="21"/>
      <c r="ZC111" s="21"/>
      <c r="ZD111" s="21"/>
      <c r="ZE111" s="21"/>
      <c r="ZF111" s="21"/>
      <c r="ZG111" s="21"/>
      <c r="ZH111" s="21"/>
      <c r="ZI111" s="21"/>
      <c r="ZJ111" s="21"/>
      <c r="ZK111" s="21"/>
      <c r="ZL111" s="21"/>
      <c r="ZM111" s="21"/>
      <c r="ZN111" s="21"/>
      <c r="ZO111" s="21"/>
      <c r="ZP111" s="21"/>
      <c r="ZQ111" s="21"/>
      <c r="ZR111" s="21"/>
      <c r="ZS111" s="21"/>
      <c r="ZT111" s="21"/>
      <c r="ZU111" s="21"/>
      <c r="ZV111" s="21"/>
      <c r="ZW111" s="21"/>
      <c r="ZX111" s="21"/>
      <c r="ZY111" s="21"/>
      <c r="ZZ111" s="21"/>
      <c r="AAA111" s="21"/>
      <c r="AAB111" s="21"/>
      <c r="AAC111" s="21"/>
      <c r="AAD111" s="21"/>
      <c r="AAE111" s="21"/>
      <c r="AAF111" s="21"/>
      <c r="AAG111" s="21"/>
      <c r="AAH111" s="21"/>
      <c r="AAI111" s="21"/>
      <c r="AAJ111" s="21"/>
      <c r="AAK111" s="21"/>
      <c r="AAL111" s="21"/>
      <c r="AAM111" s="21"/>
      <c r="AAN111" s="21"/>
      <c r="AAO111" s="21"/>
      <c r="AAP111" s="21"/>
      <c r="AAQ111" s="21"/>
      <c r="AAR111" s="21"/>
      <c r="AAS111" s="21"/>
      <c r="AAT111" s="21"/>
      <c r="AAU111" s="21"/>
      <c r="AAV111" s="21"/>
      <c r="AAW111" s="21"/>
      <c r="AAX111" s="21"/>
      <c r="AAY111" s="21"/>
      <c r="AAZ111" s="21"/>
      <c r="ABA111" s="21"/>
      <c r="ABB111" s="21"/>
      <c r="ABC111" s="21"/>
      <c r="ABD111" s="21"/>
      <c r="ABE111" s="21"/>
      <c r="ABF111" s="21"/>
      <c r="ABG111" s="21"/>
      <c r="ABH111" s="21"/>
      <c r="ABI111" s="21"/>
      <c r="ABJ111" s="21"/>
      <c r="ABK111" s="21"/>
      <c r="ABL111" s="21"/>
      <c r="ABM111" s="21"/>
      <c r="ABN111" s="21"/>
      <c r="ABO111" s="21"/>
      <c r="ABP111" s="21"/>
      <c r="ABQ111" s="21"/>
      <c r="ABR111" s="21"/>
      <c r="ABS111" s="21"/>
      <c r="ABT111" s="21"/>
      <c r="ABU111" s="21"/>
      <c r="ABV111" s="21"/>
      <c r="ABW111" s="21"/>
      <c r="ABX111" s="21"/>
      <c r="ABY111" s="21"/>
      <c r="ABZ111" s="21"/>
      <c r="ACA111" s="21"/>
      <c r="ACB111" s="21"/>
      <c r="ACC111" s="21"/>
      <c r="ACD111" s="21"/>
      <c r="ACE111" s="21"/>
      <c r="ACF111" s="21"/>
      <c r="ACG111" s="21"/>
      <c r="ACH111" s="21"/>
      <c r="ACI111" s="21"/>
      <c r="ACJ111" s="21"/>
      <c r="ACK111" s="21"/>
      <c r="ACL111" s="21"/>
      <c r="ACM111" s="21"/>
      <c r="ACN111" s="21"/>
      <c r="ACO111" s="21"/>
      <c r="ACP111" s="21"/>
      <c r="ACQ111" s="21"/>
      <c r="ACR111" s="21"/>
      <c r="ACS111" s="21"/>
      <c r="ACT111" s="21"/>
      <c r="ACU111" s="21"/>
      <c r="ACV111" s="21"/>
      <c r="ACW111" s="21"/>
      <c r="ACX111" s="21"/>
      <c r="ACY111" s="21"/>
      <c r="ACZ111" s="21"/>
      <c r="ADA111" s="21"/>
      <c r="ADB111" s="21"/>
      <c r="ADC111" s="21"/>
      <c r="ADD111" s="21"/>
      <c r="ADE111" s="21"/>
      <c r="ADF111" s="21"/>
      <c r="ADG111" s="21"/>
      <c r="ADH111" s="21"/>
      <c r="ADI111" s="21"/>
      <c r="ADJ111" s="21"/>
      <c r="ADK111" s="21"/>
      <c r="ADL111" s="21"/>
      <c r="ADM111" s="21"/>
      <c r="ADN111" s="21"/>
      <c r="ADO111" s="21"/>
      <c r="ADP111" s="21"/>
      <c r="ADQ111" s="21"/>
      <c r="ADR111" s="21"/>
      <c r="ADS111" s="21"/>
      <c r="ADT111" s="21"/>
      <c r="ADU111" s="21"/>
      <c r="ADV111" s="21"/>
      <c r="ADW111" s="21"/>
      <c r="ADX111" s="21"/>
      <c r="ADY111" s="21"/>
      <c r="ADZ111" s="21"/>
      <c r="AEA111" s="21"/>
      <c r="AEB111" s="21"/>
      <c r="AEC111" s="21"/>
      <c r="AED111" s="21"/>
      <c r="AEE111" s="21"/>
      <c r="AEF111" s="21"/>
      <c r="AEG111" s="21"/>
      <c r="AEH111" s="21"/>
      <c r="AEI111" s="21"/>
      <c r="AEJ111" s="21"/>
      <c r="AEK111" s="21"/>
      <c r="AEL111" s="21"/>
      <c r="AEM111" s="21"/>
      <c r="AEN111" s="21"/>
      <c r="AEO111" s="21"/>
      <c r="AEP111" s="21"/>
      <c r="AEQ111" s="21"/>
      <c r="AER111" s="21"/>
      <c r="AES111" s="21"/>
      <c r="AET111" s="21"/>
      <c r="AEU111" s="21"/>
      <c r="AEV111" s="21"/>
      <c r="AEW111" s="21"/>
      <c r="AEX111" s="21"/>
      <c r="AEY111" s="21"/>
      <c r="AEZ111" s="21"/>
      <c r="AFA111" s="21"/>
      <c r="AFB111" s="21"/>
      <c r="AFC111" s="21"/>
      <c r="AFD111" s="21"/>
      <c r="AFE111" s="21"/>
      <c r="AFF111" s="21"/>
      <c r="AFG111" s="21"/>
      <c r="AFH111" s="21"/>
      <c r="AFI111" s="21"/>
      <c r="AFJ111" s="21"/>
      <c r="AFK111" s="21"/>
      <c r="AFL111" s="21"/>
      <c r="AFM111" s="21"/>
      <c r="AFN111" s="21"/>
      <c r="AFO111" s="21"/>
      <c r="AFP111" s="21"/>
      <c r="AFQ111" s="21"/>
      <c r="AFR111" s="21"/>
      <c r="AFS111" s="21"/>
      <c r="AFT111" s="21"/>
      <c r="AFU111" s="21"/>
      <c r="AFV111" s="21"/>
      <c r="AFW111" s="21"/>
      <c r="AFX111" s="21"/>
      <c r="AFY111" s="21"/>
      <c r="AFZ111" s="21"/>
      <c r="AGA111" s="21"/>
      <c r="AGB111" s="21"/>
      <c r="AGC111" s="21"/>
      <c r="AGD111" s="21"/>
      <c r="AGE111" s="21"/>
      <c r="AGF111" s="21"/>
      <c r="AGG111" s="21"/>
      <c r="AGH111" s="21"/>
      <c r="AGI111" s="21"/>
      <c r="AGJ111" s="21"/>
      <c r="AGK111" s="21"/>
      <c r="AGL111" s="21"/>
      <c r="AGM111" s="21"/>
      <c r="AGN111" s="21"/>
      <c r="AGO111" s="21"/>
      <c r="AGP111" s="21"/>
      <c r="AGQ111" s="21"/>
      <c r="AGR111" s="21"/>
      <c r="AGS111" s="21"/>
    </row>
    <row r="112" spans="1:877" ht="13">
      <c r="A112" s="12"/>
      <c r="B112" s="58" t="s">
        <v>61</v>
      </c>
      <c r="C112" s="59"/>
      <c r="D112" s="59"/>
      <c r="E112" s="59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0"/>
      <c r="BU112" s="60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1"/>
      <c r="JV112" s="21"/>
      <c r="JW112" s="21"/>
      <c r="JX112" s="21"/>
      <c r="JY112" s="21"/>
      <c r="JZ112" s="21"/>
      <c r="KA112" s="21"/>
      <c r="KB112" s="21"/>
      <c r="KC112" s="21"/>
      <c r="KD112" s="21"/>
      <c r="KE112" s="21"/>
      <c r="KF112" s="21"/>
      <c r="KG112" s="21"/>
      <c r="KH112" s="21"/>
      <c r="KI112" s="21"/>
      <c r="KJ112" s="21"/>
      <c r="KK112" s="21"/>
      <c r="KL112" s="21"/>
      <c r="KM112" s="21"/>
      <c r="KN112" s="21"/>
      <c r="KO112" s="21"/>
      <c r="KP112" s="21"/>
      <c r="KQ112" s="21"/>
      <c r="KR112" s="21"/>
      <c r="KS112" s="21"/>
      <c r="KT112" s="21"/>
      <c r="KU112" s="21"/>
      <c r="KV112" s="21"/>
      <c r="KW112" s="21"/>
      <c r="KX112" s="21"/>
      <c r="KY112" s="21"/>
      <c r="KZ112" s="21"/>
      <c r="LA112" s="21"/>
      <c r="LB112" s="21"/>
      <c r="LC112" s="21"/>
      <c r="LD112" s="21"/>
      <c r="LE112" s="21"/>
      <c r="LF112" s="21"/>
      <c r="LG112" s="21"/>
      <c r="LH112" s="21"/>
      <c r="LI112" s="21"/>
      <c r="LJ112" s="21"/>
      <c r="LK112" s="21"/>
      <c r="LL112" s="21"/>
      <c r="LM112" s="21"/>
      <c r="LN112" s="21"/>
      <c r="LO112" s="21"/>
      <c r="LP112" s="21"/>
      <c r="LQ112" s="21"/>
      <c r="LR112" s="21"/>
      <c r="LS112" s="21"/>
      <c r="LT112" s="21"/>
      <c r="LU112" s="21"/>
      <c r="LV112" s="21"/>
      <c r="LW112" s="21"/>
      <c r="LX112" s="21"/>
      <c r="LY112" s="21"/>
      <c r="LZ112" s="21"/>
      <c r="MA112" s="21"/>
      <c r="MB112" s="21"/>
      <c r="MC112" s="21"/>
      <c r="MD112" s="21"/>
      <c r="ME112" s="21"/>
      <c r="MF112" s="21"/>
      <c r="MG112" s="21"/>
      <c r="MH112" s="21"/>
      <c r="MI112" s="21"/>
      <c r="MJ112" s="21"/>
      <c r="MK112" s="21"/>
      <c r="ML112" s="21"/>
      <c r="MM112" s="21"/>
      <c r="MN112" s="21"/>
      <c r="MO112" s="21"/>
      <c r="MP112" s="21"/>
      <c r="MQ112" s="21"/>
      <c r="MR112" s="21"/>
      <c r="MS112" s="21"/>
      <c r="MT112" s="21"/>
      <c r="MU112" s="21"/>
      <c r="MV112" s="21"/>
      <c r="MW112" s="21"/>
      <c r="MX112" s="21"/>
      <c r="MY112" s="21"/>
      <c r="MZ112" s="21"/>
      <c r="NA112" s="21"/>
      <c r="NB112" s="21"/>
      <c r="NC112" s="21"/>
      <c r="ND112" s="21"/>
      <c r="NE112" s="21"/>
      <c r="NF112" s="21"/>
      <c r="NG112" s="21"/>
      <c r="NH112" s="21"/>
      <c r="NI112" s="21"/>
      <c r="NJ112" s="21"/>
      <c r="NK112" s="21"/>
      <c r="NL112" s="21"/>
      <c r="NM112" s="21"/>
      <c r="NN112" s="21"/>
      <c r="NO112" s="21"/>
      <c r="NP112" s="21"/>
      <c r="NQ112" s="21"/>
      <c r="NR112" s="21"/>
      <c r="NS112" s="21"/>
      <c r="NT112" s="21"/>
      <c r="NU112" s="21"/>
      <c r="NV112" s="21"/>
      <c r="NW112" s="21"/>
      <c r="NX112" s="21"/>
      <c r="NY112" s="21"/>
      <c r="NZ112" s="21"/>
      <c r="OA112" s="21"/>
      <c r="OB112" s="21"/>
      <c r="OC112" s="21"/>
      <c r="OD112" s="21"/>
      <c r="OE112" s="21"/>
      <c r="OF112" s="21"/>
      <c r="OG112" s="21"/>
      <c r="OH112" s="21"/>
      <c r="OI112" s="21"/>
      <c r="OJ112" s="21"/>
      <c r="OK112" s="21"/>
      <c r="OL112" s="21"/>
      <c r="OM112" s="21"/>
      <c r="ON112" s="21"/>
      <c r="OO112" s="21"/>
      <c r="OP112" s="21"/>
      <c r="OQ112" s="21"/>
      <c r="OR112" s="21"/>
      <c r="OS112" s="21"/>
      <c r="OT112" s="21"/>
      <c r="OU112" s="21"/>
      <c r="OV112" s="21"/>
      <c r="OW112" s="21"/>
      <c r="OX112" s="21"/>
      <c r="OY112" s="21"/>
      <c r="OZ112" s="21"/>
      <c r="PA112" s="21"/>
      <c r="PB112" s="21"/>
      <c r="PC112" s="21"/>
      <c r="PD112" s="21"/>
      <c r="PE112" s="21"/>
      <c r="PF112" s="21"/>
      <c r="PG112" s="21"/>
      <c r="PH112" s="21"/>
      <c r="PI112" s="21"/>
      <c r="PJ112" s="21"/>
      <c r="PK112" s="21"/>
      <c r="PL112" s="21"/>
      <c r="PM112" s="21"/>
      <c r="PN112" s="21"/>
      <c r="PO112" s="21"/>
      <c r="PP112" s="21"/>
      <c r="PQ112" s="21"/>
      <c r="PR112" s="21"/>
      <c r="PS112" s="21"/>
      <c r="PT112" s="21"/>
      <c r="PU112" s="21"/>
      <c r="PV112" s="21"/>
      <c r="PW112" s="21"/>
      <c r="PX112" s="21"/>
      <c r="PY112" s="21"/>
      <c r="PZ112" s="21"/>
      <c r="QA112" s="21"/>
      <c r="QB112" s="21"/>
      <c r="QC112" s="21"/>
      <c r="QD112" s="21"/>
      <c r="QE112" s="21"/>
      <c r="QF112" s="21"/>
      <c r="QG112" s="21"/>
      <c r="QH112" s="21"/>
      <c r="QI112" s="21"/>
      <c r="QJ112" s="21"/>
      <c r="QK112" s="21"/>
      <c r="QL112" s="21"/>
      <c r="QM112" s="21"/>
      <c r="QN112" s="21"/>
      <c r="QO112" s="21"/>
      <c r="QP112" s="21"/>
      <c r="QQ112" s="21"/>
      <c r="QR112" s="21"/>
      <c r="QS112" s="21"/>
      <c r="QT112" s="21"/>
      <c r="QU112" s="21"/>
      <c r="QV112" s="21"/>
      <c r="QW112" s="21"/>
      <c r="QX112" s="21"/>
      <c r="QY112" s="21"/>
      <c r="QZ112" s="21"/>
      <c r="RA112" s="21"/>
      <c r="RB112" s="21"/>
      <c r="RC112" s="21"/>
      <c r="RD112" s="21"/>
      <c r="RE112" s="21"/>
      <c r="RF112" s="21"/>
      <c r="RG112" s="21"/>
      <c r="RH112" s="21"/>
      <c r="RI112" s="21"/>
      <c r="RJ112" s="21"/>
      <c r="RK112" s="21"/>
      <c r="RL112" s="21"/>
      <c r="RM112" s="21"/>
      <c r="RN112" s="21"/>
      <c r="RO112" s="21"/>
      <c r="RP112" s="21"/>
      <c r="RQ112" s="21"/>
      <c r="RR112" s="21"/>
      <c r="RS112" s="21"/>
      <c r="RT112" s="21"/>
      <c r="RU112" s="21"/>
      <c r="RV112" s="21"/>
      <c r="RW112" s="21"/>
      <c r="RX112" s="21"/>
      <c r="RY112" s="21"/>
      <c r="RZ112" s="21"/>
      <c r="SA112" s="21"/>
      <c r="SB112" s="21"/>
      <c r="SC112" s="21"/>
      <c r="SD112" s="21"/>
      <c r="SE112" s="21"/>
      <c r="SF112" s="21"/>
      <c r="SG112" s="21"/>
      <c r="SH112" s="21"/>
      <c r="SI112" s="21"/>
      <c r="SJ112" s="21"/>
      <c r="SK112" s="21"/>
      <c r="SL112" s="21"/>
      <c r="SM112" s="21"/>
      <c r="SN112" s="21"/>
      <c r="SO112" s="21"/>
      <c r="SP112" s="21"/>
      <c r="SQ112" s="21"/>
      <c r="SR112" s="21"/>
      <c r="SS112" s="21"/>
      <c r="ST112" s="21"/>
      <c r="SU112" s="21"/>
      <c r="SV112" s="21"/>
      <c r="SW112" s="21"/>
      <c r="SX112" s="21"/>
      <c r="SY112" s="21"/>
      <c r="SZ112" s="21"/>
      <c r="TA112" s="21"/>
      <c r="TB112" s="21"/>
      <c r="TC112" s="21"/>
      <c r="TD112" s="21"/>
      <c r="TE112" s="21"/>
      <c r="TF112" s="21"/>
      <c r="TG112" s="21"/>
      <c r="TH112" s="21"/>
      <c r="TI112" s="21"/>
      <c r="TJ112" s="21"/>
      <c r="TK112" s="21"/>
      <c r="TL112" s="21"/>
      <c r="TM112" s="21"/>
      <c r="TN112" s="21"/>
      <c r="TO112" s="21"/>
      <c r="TP112" s="21"/>
      <c r="TQ112" s="21"/>
      <c r="TR112" s="21"/>
      <c r="TS112" s="21"/>
      <c r="TT112" s="21"/>
      <c r="TU112" s="21"/>
      <c r="TV112" s="21"/>
      <c r="TW112" s="21"/>
      <c r="TX112" s="21"/>
      <c r="TY112" s="21"/>
      <c r="TZ112" s="21"/>
      <c r="UA112" s="21"/>
      <c r="UB112" s="21"/>
      <c r="UC112" s="21"/>
      <c r="UD112" s="21"/>
      <c r="UE112" s="21"/>
      <c r="UF112" s="21"/>
      <c r="UG112" s="21"/>
      <c r="UH112" s="21"/>
      <c r="UI112" s="21"/>
      <c r="UJ112" s="21"/>
      <c r="UK112" s="21"/>
      <c r="UL112" s="21"/>
      <c r="UM112" s="21"/>
      <c r="UN112" s="21"/>
      <c r="UO112" s="21"/>
      <c r="UP112" s="21"/>
      <c r="UQ112" s="21"/>
      <c r="UR112" s="21"/>
      <c r="US112" s="21"/>
      <c r="UT112" s="21"/>
      <c r="UU112" s="21"/>
      <c r="UV112" s="21"/>
      <c r="UW112" s="21"/>
      <c r="UX112" s="21"/>
      <c r="UY112" s="21"/>
      <c r="UZ112" s="21"/>
      <c r="VA112" s="21"/>
      <c r="VB112" s="21"/>
      <c r="VC112" s="21"/>
      <c r="VD112" s="21"/>
      <c r="VE112" s="21"/>
      <c r="VF112" s="21"/>
      <c r="VG112" s="21"/>
      <c r="VH112" s="21"/>
      <c r="VI112" s="21"/>
      <c r="VJ112" s="21"/>
      <c r="VK112" s="21"/>
      <c r="VL112" s="21"/>
      <c r="VM112" s="21"/>
      <c r="VN112" s="21"/>
      <c r="VO112" s="21"/>
      <c r="VP112" s="21"/>
      <c r="VQ112" s="21"/>
      <c r="VR112" s="21"/>
      <c r="VS112" s="21"/>
      <c r="VT112" s="21"/>
      <c r="VU112" s="21"/>
      <c r="VV112" s="21"/>
      <c r="VW112" s="21"/>
      <c r="VX112" s="21"/>
      <c r="VY112" s="21"/>
      <c r="VZ112" s="21"/>
      <c r="WA112" s="21"/>
      <c r="WB112" s="21"/>
      <c r="WC112" s="21"/>
      <c r="WD112" s="21"/>
      <c r="WE112" s="21"/>
      <c r="WF112" s="21"/>
      <c r="WG112" s="21"/>
      <c r="WH112" s="21"/>
      <c r="WI112" s="21"/>
      <c r="WJ112" s="21"/>
      <c r="WK112" s="21"/>
      <c r="WL112" s="21"/>
      <c r="WM112" s="21"/>
      <c r="WN112" s="21"/>
      <c r="WO112" s="21"/>
      <c r="WP112" s="21"/>
      <c r="WQ112" s="21"/>
      <c r="WR112" s="21"/>
      <c r="WS112" s="21"/>
      <c r="WT112" s="21"/>
      <c r="WU112" s="21"/>
      <c r="WV112" s="21"/>
      <c r="WW112" s="21"/>
      <c r="WX112" s="21"/>
      <c r="WY112" s="21"/>
      <c r="WZ112" s="21"/>
      <c r="XA112" s="21"/>
      <c r="XB112" s="21"/>
      <c r="XC112" s="21"/>
      <c r="XD112" s="21"/>
      <c r="XE112" s="21"/>
      <c r="XF112" s="21"/>
      <c r="XG112" s="21"/>
      <c r="XH112" s="21"/>
      <c r="XI112" s="21"/>
      <c r="XJ112" s="21"/>
      <c r="XK112" s="21"/>
      <c r="XL112" s="21"/>
      <c r="XM112" s="21"/>
      <c r="XN112" s="21"/>
      <c r="XO112" s="21"/>
      <c r="XP112" s="21"/>
      <c r="XQ112" s="21"/>
      <c r="XR112" s="21"/>
      <c r="XS112" s="21"/>
      <c r="XT112" s="21"/>
      <c r="XU112" s="21"/>
      <c r="XV112" s="21"/>
      <c r="XW112" s="21"/>
      <c r="XX112" s="21"/>
      <c r="XY112" s="21"/>
      <c r="XZ112" s="21"/>
      <c r="YA112" s="21"/>
      <c r="YB112" s="21"/>
      <c r="YC112" s="21"/>
      <c r="YD112" s="21"/>
      <c r="YE112" s="21"/>
      <c r="YF112" s="21"/>
      <c r="YG112" s="21"/>
      <c r="YH112" s="21"/>
      <c r="YI112" s="21"/>
      <c r="YJ112" s="21"/>
      <c r="YK112" s="21"/>
      <c r="YL112" s="21"/>
      <c r="YM112" s="21"/>
      <c r="YN112" s="21"/>
      <c r="YO112" s="21"/>
      <c r="YP112" s="21"/>
      <c r="YQ112" s="21"/>
      <c r="YR112" s="21"/>
      <c r="YS112" s="21"/>
      <c r="YT112" s="21"/>
      <c r="YU112" s="21"/>
      <c r="YV112" s="21"/>
      <c r="YW112" s="21"/>
      <c r="YX112" s="21"/>
      <c r="YY112" s="21"/>
      <c r="YZ112" s="21"/>
      <c r="ZA112" s="21"/>
      <c r="ZB112" s="21"/>
      <c r="ZC112" s="21"/>
      <c r="ZD112" s="21"/>
      <c r="ZE112" s="21"/>
      <c r="ZF112" s="21"/>
      <c r="ZG112" s="21"/>
      <c r="ZH112" s="21"/>
      <c r="ZI112" s="21"/>
      <c r="ZJ112" s="21"/>
      <c r="ZK112" s="21"/>
      <c r="ZL112" s="21"/>
      <c r="ZM112" s="21"/>
      <c r="ZN112" s="21"/>
      <c r="ZO112" s="21"/>
      <c r="ZP112" s="21"/>
      <c r="ZQ112" s="21"/>
      <c r="ZR112" s="21"/>
      <c r="ZS112" s="21"/>
      <c r="ZT112" s="21"/>
      <c r="ZU112" s="21"/>
      <c r="ZV112" s="21"/>
      <c r="ZW112" s="21"/>
      <c r="ZX112" s="21"/>
      <c r="ZY112" s="21"/>
      <c r="ZZ112" s="21"/>
      <c r="AAA112" s="21"/>
      <c r="AAB112" s="21"/>
      <c r="AAC112" s="21"/>
      <c r="AAD112" s="21"/>
      <c r="AAE112" s="21"/>
      <c r="AAF112" s="21"/>
      <c r="AAG112" s="21"/>
      <c r="AAH112" s="21"/>
      <c r="AAI112" s="21"/>
      <c r="AAJ112" s="21"/>
      <c r="AAK112" s="21"/>
      <c r="AAL112" s="21"/>
      <c r="AAM112" s="21"/>
      <c r="AAN112" s="21"/>
      <c r="AAO112" s="21"/>
      <c r="AAP112" s="21"/>
      <c r="AAQ112" s="21"/>
      <c r="AAR112" s="21"/>
      <c r="AAS112" s="21"/>
      <c r="AAT112" s="21"/>
      <c r="AAU112" s="21"/>
      <c r="AAV112" s="21"/>
      <c r="AAW112" s="21"/>
      <c r="AAX112" s="21"/>
      <c r="AAY112" s="21"/>
      <c r="AAZ112" s="21"/>
      <c r="ABA112" s="21"/>
      <c r="ABB112" s="21"/>
      <c r="ABC112" s="21"/>
      <c r="ABD112" s="21"/>
      <c r="ABE112" s="21"/>
      <c r="ABF112" s="21"/>
      <c r="ABG112" s="21"/>
      <c r="ABH112" s="21"/>
      <c r="ABI112" s="21"/>
      <c r="ABJ112" s="21"/>
      <c r="ABK112" s="21"/>
      <c r="ABL112" s="21"/>
      <c r="ABM112" s="21"/>
      <c r="ABN112" s="21"/>
      <c r="ABO112" s="21"/>
      <c r="ABP112" s="21"/>
      <c r="ABQ112" s="21"/>
      <c r="ABR112" s="21"/>
      <c r="ABS112" s="21"/>
      <c r="ABT112" s="21"/>
      <c r="ABU112" s="21"/>
      <c r="ABV112" s="21"/>
      <c r="ABW112" s="21"/>
      <c r="ABX112" s="21"/>
      <c r="ABY112" s="21"/>
      <c r="ABZ112" s="21"/>
      <c r="ACA112" s="21"/>
      <c r="ACB112" s="21"/>
      <c r="ACC112" s="21"/>
      <c r="ACD112" s="21"/>
      <c r="ACE112" s="21"/>
      <c r="ACF112" s="21"/>
      <c r="ACG112" s="21"/>
      <c r="ACH112" s="21"/>
      <c r="ACI112" s="21"/>
      <c r="ACJ112" s="21"/>
      <c r="ACK112" s="21"/>
      <c r="ACL112" s="21"/>
      <c r="ACM112" s="21"/>
      <c r="ACN112" s="21"/>
      <c r="ACO112" s="21"/>
      <c r="ACP112" s="21"/>
      <c r="ACQ112" s="21"/>
      <c r="ACR112" s="21"/>
      <c r="ACS112" s="21"/>
      <c r="ACT112" s="21"/>
      <c r="ACU112" s="21"/>
      <c r="ACV112" s="21"/>
      <c r="ACW112" s="21"/>
      <c r="ACX112" s="21"/>
      <c r="ACY112" s="21"/>
      <c r="ACZ112" s="21"/>
      <c r="ADA112" s="21"/>
      <c r="ADB112" s="21"/>
      <c r="ADC112" s="21"/>
      <c r="ADD112" s="21"/>
      <c r="ADE112" s="21"/>
      <c r="ADF112" s="21"/>
      <c r="ADG112" s="21"/>
      <c r="ADH112" s="21"/>
      <c r="ADI112" s="21"/>
      <c r="ADJ112" s="21"/>
      <c r="ADK112" s="21"/>
      <c r="ADL112" s="21"/>
      <c r="ADM112" s="21"/>
      <c r="ADN112" s="21"/>
      <c r="ADO112" s="21"/>
      <c r="ADP112" s="21"/>
      <c r="ADQ112" s="21"/>
      <c r="ADR112" s="21"/>
      <c r="ADS112" s="21"/>
      <c r="ADT112" s="21"/>
      <c r="ADU112" s="21"/>
      <c r="ADV112" s="21"/>
      <c r="ADW112" s="21"/>
      <c r="ADX112" s="21"/>
      <c r="ADY112" s="21"/>
      <c r="ADZ112" s="21"/>
      <c r="AEA112" s="21"/>
      <c r="AEB112" s="21"/>
      <c r="AEC112" s="21"/>
      <c r="AED112" s="21"/>
      <c r="AEE112" s="21"/>
      <c r="AEF112" s="21"/>
      <c r="AEG112" s="21"/>
      <c r="AEH112" s="21"/>
      <c r="AEI112" s="21"/>
      <c r="AEJ112" s="21"/>
      <c r="AEK112" s="21"/>
      <c r="AEL112" s="21"/>
      <c r="AEM112" s="21"/>
      <c r="AEN112" s="21"/>
      <c r="AEO112" s="21"/>
      <c r="AEP112" s="21"/>
      <c r="AEQ112" s="21"/>
      <c r="AER112" s="21"/>
      <c r="AES112" s="21"/>
      <c r="AET112" s="21"/>
      <c r="AEU112" s="21"/>
      <c r="AEV112" s="21"/>
      <c r="AEW112" s="21"/>
      <c r="AEX112" s="21"/>
      <c r="AEY112" s="21"/>
      <c r="AEZ112" s="21"/>
      <c r="AFA112" s="21"/>
      <c r="AFB112" s="21"/>
      <c r="AFC112" s="21"/>
      <c r="AFD112" s="21"/>
      <c r="AFE112" s="21"/>
      <c r="AFF112" s="21"/>
      <c r="AFG112" s="21"/>
      <c r="AFH112" s="21"/>
      <c r="AFI112" s="21"/>
      <c r="AFJ112" s="21"/>
      <c r="AFK112" s="21"/>
      <c r="AFL112" s="21"/>
      <c r="AFM112" s="21"/>
      <c r="AFN112" s="21"/>
      <c r="AFO112" s="21"/>
      <c r="AFP112" s="21"/>
      <c r="AFQ112" s="21"/>
      <c r="AFR112" s="21"/>
      <c r="AFS112" s="21"/>
      <c r="AFT112" s="21"/>
      <c r="AFU112" s="21"/>
      <c r="AFV112" s="21"/>
      <c r="AFW112" s="21"/>
      <c r="AFX112" s="21"/>
      <c r="AFY112" s="21"/>
      <c r="AFZ112" s="21"/>
      <c r="AGA112" s="21"/>
      <c r="AGB112" s="21"/>
      <c r="AGC112" s="21"/>
      <c r="AGD112" s="21"/>
      <c r="AGE112" s="21"/>
      <c r="AGF112" s="21"/>
      <c r="AGG112" s="21"/>
      <c r="AGH112" s="21"/>
      <c r="AGI112" s="21"/>
      <c r="AGJ112" s="21"/>
      <c r="AGK112" s="21"/>
      <c r="AGL112" s="21"/>
      <c r="AGM112" s="21"/>
      <c r="AGN112" s="21"/>
      <c r="AGO112" s="21"/>
      <c r="AGP112" s="21"/>
      <c r="AGQ112" s="21"/>
      <c r="AGR112" s="21"/>
      <c r="AGS112" s="21"/>
    </row>
    <row r="113" spans="1:877" ht="13">
      <c r="A113" s="12"/>
      <c r="B113" s="12"/>
      <c r="C113" s="12"/>
      <c r="D113" s="12"/>
      <c r="E113" s="12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  <c r="BJ113" s="55"/>
      <c r="BK113" s="55"/>
      <c r="BL113" s="55"/>
      <c r="BM113" s="55"/>
      <c r="BN113" s="55"/>
      <c r="BO113" s="55"/>
      <c r="BP113" s="55"/>
      <c r="BQ113" s="55"/>
      <c r="BR113" s="55"/>
      <c r="BS113" s="55"/>
      <c r="BT113" s="55"/>
      <c r="BU113" s="55"/>
      <c r="BV113" s="55"/>
      <c r="BW113" s="55"/>
      <c r="BX113" s="55"/>
      <c r="BY113" s="55"/>
      <c r="BZ113" s="55"/>
      <c r="CA113" s="55"/>
      <c r="CB113" s="55"/>
      <c r="CC113" s="55"/>
      <c r="CD113" s="55"/>
      <c r="CE113" s="55"/>
      <c r="CF113" s="55"/>
      <c r="CG113" s="55"/>
      <c r="CH113" s="55"/>
      <c r="CI113" s="55"/>
      <c r="CJ113" s="55"/>
      <c r="CK113" s="55"/>
      <c r="CL113" s="55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1"/>
      <c r="JV113" s="21"/>
      <c r="JW113" s="21"/>
      <c r="JX113" s="21"/>
      <c r="JY113" s="21"/>
      <c r="JZ113" s="21"/>
      <c r="KA113" s="21"/>
      <c r="KB113" s="21"/>
      <c r="KC113" s="21"/>
      <c r="KD113" s="21"/>
      <c r="KE113" s="21"/>
      <c r="KF113" s="21"/>
      <c r="KG113" s="21"/>
      <c r="KH113" s="21"/>
      <c r="KI113" s="21"/>
      <c r="KJ113" s="21"/>
      <c r="KK113" s="21"/>
      <c r="KL113" s="21"/>
      <c r="KM113" s="21"/>
      <c r="KN113" s="21"/>
      <c r="KO113" s="21"/>
      <c r="KP113" s="21"/>
      <c r="KQ113" s="21"/>
      <c r="KR113" s="21"/>
      <c r="KS113" s="21"/>
      <c r="KT113" s="21"/>
      <c r="KU113" s="21"/>
      <c r="KV113" s="21"/>
      <c r="KW113" s="21"/>
      <c r="KX113" s="21"/>
      <c r="KY113" s="21"/>
      <c r="KZ113" s="21"/>
      <c r="LA113" s="21"/>
      <c r="LB113" s="21"/>
      <c r="LC113" s="21"/>
      <c r="LD113" s="21"/>
      <c r="LE113" s="21"/>
      <c r="LF113" s="21"/>
      <c r="LG113" s="21"/>
      <c r="LH113" s="21"/>
      <c r="LI113" s="21"/>
      <c r="LJ113" s="21"/>
      <c r="LK113" s="21"/>
      <c r="LL113" s="21"/>
      <c r="LM113" s="21"/>
      <c r="LN113" s="21"/>
      <c r="LO113" s="21"/>
      <c r="LP113" s="21"/>
      <c r="LQ113" s="21"/>
      <c r="LR113" s="21"/>
      <c r="LS113" s="21"/>
      <c r="LT113" s="21"/>
      <c r="LU113" s="21"/>
      <c r="LV113" s="21"/>
      <c r="LW113" s="21"/>
      <c r="LX113" s="21"/>
      <c r="LY113" s="21"/>
      <c r="LZ113" s="21"/>
      <c r="MA113" s="21"/>
      <c r="MB113" s="21"/>
      <c r="MC113" s="21"/>
      <c r="MD113" s="21"/>
      <c r="ME113" s="21"/>
      <c r="MF113" s="21"/>
      <c r="MG113" s="21"/>
      <c r="MH113" s="21"/>
      <c r="MI113" s="21"/>
      <c r="MJ113" s="21"/>
      <c r="MK113" s="21"/>
      <c r="ML113" s="21"/>
      <c r="MM113" s="21"/>
      <c r="MN113" s="21"/>
      <c r="MO113" s="21"/>
      <c r="MP113" s="21"/>
      <c r="MQ113" s="21"/>
      <c r="MR113" s="21"/>
      <c r="MS113" s="21"/>
      <c r="MT113" s="21"/>
      <c r="MU113" s="21"/>
      <c r="MV113" s="21"/>
      <c r="MW113" s="21"/>
      <c r="MX113" s="21"/>
      <c r="MY113" s="21"/>
      <c r="MZ113" s="21"/>
      <c r="NA113" s="21"/>
      <c r="NB113" s="21"/>
      <c r="NC113" s="21"/>
      <c r="ND113" s="21"/>
      <c r="NE113" s="21"/>
      <c r="NF113" s="21"/>
      <c r="NG113" s="21"/>
      <c r="NH113" s="21"/>
      <c r="NI113" s="21"/>
      <c r="NJ113" s="21"/>
      <c r="NK113" s="21"/>
      <c r="NL113" s="21"/>
      <c r="NM113" s="21"/>
      <c r="NN113" s="21"/>
      <c r="NO113" s="21"/>
      <c r="NP113" s="21"/>
      <c r="NQ113" s="21"/>
      <c r="NR113" s="21"/>
      <c r="NS113" s="21"/>
      <c r="NT113" s="21"/>
      <c r="NU113" s="21"/>
      <c r="NV113" s="21"/>
      <c r="NW113" s="21"/>
      <c r="NX113" s="21"/>
      <c r="NY113" s="21"/>
      <c r="NZ113" s="21"/>
      <c r="OA113" s="21"/>
      <c r="OB113" s="21"/>
      <c r="OC113" s="21"/>
      <c r="OD113" s="21"/>
      <c r="OE113" s="21"/>
      <c r="OF113" s="21"/>
      <c r="OG113" s="21"/>
      <c r="OH113" s="21"/>
      <c r="OI113" s="21"/>
      <c r="OJ113" s="21"/>
      <c r="OK113" s="21"/>
      <c r="OL113" s="21"/>
      <c r="OM113" s="21"/>
      <c r="ON113" s="21"/>
      <c r="OO113" s="21"/>
      <c r="OP113" s="21"/>
      <c r="OQ113" s="21"/>
      <c r="OR113" s="21"/>
      <c r="OS113" s="21"/>
      <c r="OT113" s="21"/>
      <c r="OU113" s="21"/>
      <c r="OV113" s="21"/>
      <c r="OW113" s="21"/>
      <c r="OX113" s="21"/>
      <c r="OY113" s="21"/>
      <c r="OZ113" s="21"/>
      <c r="PA113" s="21"/>
      <c r="PB113" s="21"/>
      <c r="PC113" s="21"/>
      <c r="PD113" s="21"/>
      <c r="PE113" s="21"/>
      <c r="PF113" s="21"/>
      <c r="PG113" s="21"/>
      <c r="PH113" s="21"/>
      <c r="PI113" s="21"/>
      <c r="PJ113" s="21"/>
      <c r="PK113" s="21"/>
      <c r="PL113" s="21"/>
      <c r="PM113" s="21"/>
      <c r="PN113" s="21"/>
      <c r="PO113" s="21"/>
      <c r="PP113" s="21"/>
      <c r="PQ113" s="21"/>
      <c r="PR113" s="21"/>
      <c r="PS113" s="21"/>
      <c r="PT113" s="21"/>
      <c r="PU113" s="21"/>
      <c r="PV113" s="21"/>
      <c r="PW113" s="21"/>
      <c r="PX113" s="21"/>
      <c r="PY113" s="21"/>
      <c r="PZ113" s="21"/>
      <c r="QA113" s="21"/>
      <c r="QB113" s="21"/>
      <c r="QC113" s="21"/>
      <c r="QD113" s="21"/>
      <c r="QE113" s="21"/>
      <c r="QF113" s="21"/>
      <c r="QG113" s="21"/>
      <c r="QH113" s="21"/>
      <c r="QI113" s="21"/>
      <c r="QJ113" s="21"/>
      <c r="QK113" s="21"/>
      <c r="QL113" s="21"/>
      <c r="QM113" s="21"/>
      <c r="QN113" s="21"/>
      <c r="QO113" s="21"/>
      <c r="QP113" s="21"/>
      <c r="QQ113" s="21"/>
      <c r="QR113" s="21"/>
      <c r="QS113" s="21"/>
      <c r="QT113" s="21"/>
      <c r="QU113" s="21"/>
      <c r="QV113" s="21"/>
      <c r="QW113" s="21"/>
      <c r="QX113" s="21"/>
      <c r="QY113" s="21"/>
      <c r="QZ113" s="21"/>
      <c r="RA113" s="21"/>
      <c r="RB113" s="21"/>
      <c r="RC113" s="21"/>
      <c r="RD113" s="21"/>
      <c r="RE113" s="21"/>
      <c r="RF113" s="21"/>
      <c r="RG113" s="21"/>
      <c r="RH113" s="21"/>
      <c r="RI113" s="21"/>
      <c r="RJ113" s="21"/>
      <c r="RK113" s="21"/>
      <c r="RL113" s="21"/>
      <c r="RM113" s="21"/>
      <c r="RN113" s="21"/>
      <c r="RO113" s="21"/>
      <c r="RP113" s="21"/>
      <c r="RQ113" s="21"/>
      <c r="RR113" s="21"/>
      <c r="RS113" s="21"/>
      <c r="RT113" s="21"/>
      <c r="RU113" s="21"/>
      <c r="RV113" s="21"/>
      <c r="RW113" s="21"/>
      <c r="RX113" s="21"/>
      <c r="RY113" s="21"/>
      <c r="RZ113" s="21"/>
      <c r="SA113" s="21"/>
      <c r="SB113" s="21"/>
      <c r="SC113" s="21"/>
      <c r="SD113" s="21"/>
      <c r="SE113" s="21"/>
      <c r="SF113" s="21"/>
      <c r="SG113" s="21"/>
      <c r="SH113" s="21"/>
      <c r="SI113" s="21"/>
      <c r="SJ113" s="21"/>
      <c r="SK113" s="21"/>
      <c r="SL113" s="21"/>
      <c r="SM113" s="21"/>
      <c r="SN113" s="21"/>
      <c r="SO113" s="21"/>
      <c r="SP113" s="21"/>
      <c r="SQ113" s="21"/>
      <c r="SR113" s="21"/>
      <c r="SS113" s="21"/>
      <c r="ST113" s="21"/>
      <c r="SU113" s="21"/>
      <c r="SV113" s="21"/>
      <c r="SW113" s="21"/>
      <c r="SX113" s="21"/>
      <c r="SY113" s="21"/>
      <c r="SZ113" s="21"/>
      <c r="TA113" s="21"/>
      <c r="TB113" s="21"/>
      <c r="TC113" s="21"/>
      <c r="TD113" s="21"/>
      <c r="TE113" s="21"/>
      <c r="TF113" s="21"/>
      <c r="TG113" s="21"/>
      <c r="TH113" s="21"/>
      <c r="TI113" s="21"/>
      <c r="TJ113" s="21"/>
      <c r="TK113" s="21"/>
      <c r="TL113" s="21"/>
      <c r="TM113" s="21"/>
      <c r="TN113" s="21"/>
      <c r="TO113" s="21"/>
      <c r="TP113" s="21"/>
      <c r="TQ113" s="21"/>
      <c r="TR113" s="21"/>
      <c r="TS113" s="21"/>
      <c r="TT113" s="21"/>
      <c r="TU113" s="21"/>
      <c r="TV113" s="21"/>
      <c r="TW113" s="21"/>
      <c r="TX113" s="21"/>
      <c r="TY113" s="21"/>
      <c r="TZ113" s="21"/>
      <c r="UA113" s="21"/>
      <c r="UB113" s="21"/>
      <c r="UC113" s="21"/>
      <c r="UD113" s="21"/>
      <c r="UE113" s="21"/>
      <c r="UF113" s="21"/>
      <c r="UG113" s="21"/>
      <c r="UH113" s="21"/>
      <c r="UI113" s="21"/>
      <c r="UJ113" s="21"/>
      <c r="UK113" s="21"/>
      <c r="UL113" s="21"/>
      <c r="UM113" s="21"/>
      <c r="UN113" s="21"/>
      <c r="UO113" s="21"/>
      <c r="UP113" s="21"/>
      <c r="UQ113" s="21"/>
      <c r="UR113" s="21"/>
      <c r="US113" s="21"/>
      <c r="UT113" s="21"/>
      <c r="UU113" s="21"/>
      <c r="UV113" s="21"/>
      <c r="UW113" s="21"/>
      <c r="UX113" s="21"/>
      <c r="UY113" s="21"/>
      <c r="UZ113" s="21"/>
      <c r="VA113" s="21"/>
      <c r="VB113" s="21"/>
      <c r="VC113" s="21"/>
      <c r="VD113" s="21"/>
      <c r="VE113" s="21"/>
      <c r="VF113" s="21"/>
      <c r="VG113" s="21"/>
      <c r="VH113" s="21"/>
      <c r="VI113" s="21"/>
      <c r="VJ113" s="21"/>
      <c r="VK113" s="21"/>
      <c r="VL113" s="21"/>
      <c r="VM113" s="21"/>
      <c r="VN113" s="21"/>
      <c r="VO113" s="21"/>
      <c r="VP113" s="21"/>
      <c r="VQ113" s="21"/>
      <c r="VR113" s="21"/>
      <c r="VS113" s="21"/>
      <c r="VT113" s="21"/>
      <c r="VU113" s="21"/>
      <c r="VV113" s="21"/>
      <c r="VW113" s="21"/>
      <c r="VX113" s="21"/>
      <c r="VY113" s="21"/>
      <c r="VZ113" s="21"/>
      <c r="WA113" s="21"/>
      <c r="WB113" s="21"/>
      <c r="WC113" s="21"/>
      <c r="WD113" s="21"/>
      <c r="WE113" s="21"/>
      <c r="WF113" s="21"/>
      <c r="WG113" s="21"/>
      <c r="WH113" s="21"/>
      <c r="WI113" s="21"/>
      <c r="WJ113" s="21"/>
      <c r="WK113" s="21"/>
      <c r="WL113" s="21"/>
      <c r="WM113" s="21"/>
      <c r="WN113" s="21"/>
      <c r="WO113" s="21"/>
      <c r="WP113" s="21"/>
      <c r="WQ113" s="21"/>
      <c r="WR113" s="21"/>
      <c r="WS113" s="21"/>
      <c r="WT113" s="21"/>
      <c r="WU113" s="21"/>
      <c r="WV113" s="21"/>
      <c r="WW113" s="21"/>
      <c r="WX113" s="21"/>
      <c r="WY113" s="21"/>
      <c r="WZ113" s="21"/>
      <c r="XA113" s="21"/>
      <c r="XB113" s="21"/>
      <c r="XC113" s="21"/>
      <c r="XD113" s="21"/>
      <c r="XE113" s="21"/>
      <c r="XF113" s="21"/>
      <c r="XG113" s="21"/>
      <c r="XH113" s="21"/>
      <c r="XI113" s="21"/>
      <c r="XJ113" s="21"/>
      <c r="XK113" s="21"/>
      <c r="XL113" s="21"/>
      <c r="XM113" s="21"/>
      <c r="XN113" s="21"/>
      <c r="XO113" s="21"/>
      <c r="XP113" s="21"/>
      <c r="XQ113" s="21"/>
      <c r="XR113" s="21"/>
      <c r="XS113" s="21"/>
      <c r="XT113" s="21"/>
      <c r="XU113" s="21"/>
      <c r="XV113" s="21"/>
      <c r="XW113" s="21"/>
      <c r="XX113" s="21"/>
      <c r="XY113" s="21"/>
      <c r="XZ113" s="21"/>
      <c r="YA113" s="21"/>
      <c r="YB113" s="21"/>
      <c r="YC113" s="21"/>
      <c r="YD113" s="21"/>
      <c r="YE113" s="21"/>
      <c r="YF113" s="21"/>
      <c r="YG113" s="21"/>
      <c r="YH113" s="21"/>
      <c r="YI113" s="21"/>
      <c r="YJ113" s="21"/>
      <c r="YK113" s="21"/>
      <c r="YL113" s="21"/>
      <c r="YM113" s="21"/>
      <c r="YN113" s="21"/>
      <c r="YO113" s="21"/>
      <c r="YP113" s="21"/>
      <c r="YQ113" s="21"/>
      <c r="YR113" s="21"/>
      <c r="YS113" s="21"/>
      <c r="YT113" s="21"/>
      <c r="YU113" s="21"/>
      <c r="YV113" s="21"/>
      <c r="YW113" s="21"/>
      <c r="YX113" s="21"/>
      <c r="YY113" s="21"/>
      <c r="YZ113" s="21"/>
      <c r="ZA113" s="21"/>
      <c r="ZB113" s="21"/>
      <c r="ZC113" s="21"/>
      <c r="ZD113" s="21"/>
      <c r="ZE113" s="21"/>
      <c r="ZF113" s="21"/>
      <c r="ZG113" s="21"/>
      <c r="ZH113" s="21"/>
      <c r="ZI113" s="21"/>
      <c r="ZJ113" s="21"/>
      <c r="ZK113" s="21"/>
      <c r="ZL113" s="21"/>
      <c r="ZM113" s="21"/>
      <c r="ZN113" s="21"/>
      <c r="ZO113" s="21"/>
      <c r="ZP113" s="21"/>
      <c r="ZQ113" s="21"/>
      <c r="ZR113" s="21"/>
      <c r="ZS113" s="21"/>
      <c r="ZT113" s="21"/>
      <c r="ZU113" s="21"/>
      <c r="ZV113" s="21"/>
      <c r="ZW113" s="21"/>
      <c r="ZX113" s="21"/>
      <c r="ZY113" s="21"/>
      <c r="ZZ113" s="21"/>
      <c r="AAA113" s="21"/>
      <c r="AAB113" s="21"/>
      <c r="AAC113" s="21"/>
      <c r="AAD113" s="21"/>
      <c r="AAE113" s="21"/>
      <c r="AAF113" s="21"/>
      <c r="AAG113" s="21"/>
      <c r="AAH113" s="21"/>
      <c r="AAI113" s="21"/>
      <c r="AAJ113" s="21"/>
      <c r="AAK113" s="21"/>
      <c r="AAL113" s="21"/>
      <c r="AAM113" s="21"/>
      <c r="AAN113" s="21"/>
      <c r="AAO113" s="21"/>
      <c r="AAP113" s="21"/>
      <c r="AAQ113" s="21"/>
      <c r="AAR113" s="21"/>
      <c r="AAS113" s="21"/>
      <c r="AAT113" s="21"/>
      <c r="AAU113" s="21"/>
      <c r="AAV113" s="21"/>
      <c r="AAW113" s="21"/>
      <c r="AAX113" s="21"/>
      <c r="AAY113" s="21"/>
      <c r="AAZ113" s="21"/>
      <c r="ABA113" s="21"/>
      <c r="ABB113" s="21"/>
      <c r="ABC113" s="21"/>
      <c r="ABD113" s="21"/>
      <c r="ABE113" s="21"/>
      <c r="ABF113" s="21"/>
      <c r="ABG113" s="21"/>
      <c r="ABH113" s="21"/>
      <c r="ABI113" s="21"/>
      <c r="ABJ113" s="21"/>
      <c r="ABK113" s="21"/>
      <c r="ABL113" s="21"/>
      <c r="ABM113" s="21"/>
      <c r="ABN113" s="21"/>
      <c r="ABO113" s="21"/>
      <c r="ABP113" s="21"/>
      <c r="ABQ113" s="21"/>
      <c r="ABR113" s="21"/>
      <c r="ABS113" s="21"/>
      <c r="ABT113" s="21"/>
      <c r="ABU113" s="21"/>
      <c r="ABV113" s="21"/>
      <c r="ABW113" s="21"/>
      <c r="ABX113" s="21"/>
      <c r="ABY113" s="21"/>
      <c r="ABZ113" s="21"/>
      <c r="ACA113" s="21"/>
      <c r="ACB113" s="21"/>
      <c r="ACC113" s="21"/>
      <c r="ACD113" s="21"/>
      <c r="ACE113" s="21"/>
      <c r="ACF113" s="21"/>
      <c r="ACG113" s="21"/>
      <c r="ACH113" s="21"/>
      <c r="ACI113" s="21"/>
      <c r="ACJ113" s="21"/>
      <c r="ACK113" s="21"/>
      <c r="ACL113" s="21"/>
      <c r="ACM113" s="21"/>
      <c r="ACN113" s="21"/>
      <c r="ACO113" s="21"/>
      <c r="ACP113" s="21"/>
      <c r="ACQ113" s="21"/>
      <c r="ACR113" s="21"/>
      <c r="ACS113" s="21"/>
      <c r="ACT113" s="21"/>
      <c r="ACU113" s="21"/>
      <c r="ACV113" s="21"/>
      <c r="ACW113" s="21"/>
      <c r="ACX113" s="21"/>
      <c r="ACY113" s="21"/>
      <c r="ACZ113" s="21"/>
      <c r="ADA113" s="21"/>
      <c r="ADB113" s="21"/>
      <c r="ADC113" s="21"/>
      <c r="ADD113" s="21"/>
      <c r="ADE113" s="21"/>
      <c r="ADF113" s="21"/>
      <c r="ADG113" s="21"/>
      <c r="ADH113" s="21"/>
      <c r="ADI113" s="21"/>
      <c r="ADJ113" s="21"/>
      <c r="ADK113" s="21"/>
      <c r="ADL113" s="21"/>
      <c r="ADM113" s="21"/>
      <c r="ADN113" s="21"/>
      <c r="ADO113" s="21"/>
      <c r="ADP113" s="21"/>
      <c r="ADQ113" s="21"/>
      <c r="ADR113" s="21"/>
      <c r="ADS113" s="21"/>
      <c r="ADT113" s="21"/>
      <c r="ADU113" s="21"/>
      <c r="ADV113" s="21"/>
      <c r="ADW113" s="21"/>
      <c r="ADX113" s="21"/>
      <c r="ADY113" s="21"/>
      <c r="ADZ113" s="21"/>
      <c r="AEA113" s="21"/>
      <c r="AEB113" s="21"/>
      <c r="AEC113" s="21"/>
      <c r="AED113" s="21"/>
      <c r="AEE113" s="21"/>
      <c r="AEF113" s="21"/>
      <c r="AEG113" s="21"/>
      <c r="AEH113" s="21"/>
      <c r="AEI113" s="21"/>
      <c r="AEJ113" s="21"/>
      <c r="AEK113" s="21"/>
      <c r="AEL113" s="21"/>
      <c r="AEM113" s="21"/>
      <c r="AEN113" s="21"/>
      <c r="AEO113" s="21"/>
      <c r="AEP113" s="21"/>
      <c r="AEQ113" s="21"/>
      <c r="AER113" s="21"/>
      <c r="AES113" s="21"/>
      <c r="AET113" s="21"/>
      <c r="AEU113" s="21"/>
      <c r="AEV113" s="21"/>
      <c r="AEW113" s="21"/>
      <c r="AEX113" s="21"/>
      <c r="AEY113" s="21"/>
      <c r="AEZ113" s="21"/>
      <c r="AFA113" s="21"/>
      <c r="AFB113" s="21"/>
      <c r="AFC113" s="21"/>
      <c r="AFD113" s="21"/>
      <c r="AFE113" s="21"/>
      <c r="AFF113" s="21"/>
      <c r="AFG113" s="21"/>
      <c r="AFH113" s="21"/>
      <c r="AFI113" s="21"/>
      <c r="AFJ113" s="21"/>
      <c r="AFK113" s="21"/>
      <c r="AFL113" s="21"/>
      <c r="AFM113" s="21"/>
      <c r="AFN113" s="21"/>
      <c r="AFO113" s="21"/>
      <c r="AFP113" s="21"/>
      <c r="AFQ113" s="21"/>
      <c r="AFR113" s="21"/>
      <c r="AFS113" s="21"/>
      <c r="AFT113" s="21"/>
      <c r="AFU113" s="21"/>
      <c r="AFV113" s="21"/>
      <c r="AFW113" s="21"/>
      <c r="AFX113" s="21"/>
      <c r="AFY113" s="21"/>
      <c r="AFZ113" s="21"/>
      <c r="AGA113" s="21"/>
      <c r="AGB113" s="21"/>
      <c r="AGC113" s="21"/>
      <c r="AGD113" s="21"/>
      <c r="AGE113" s="21"/>
      <c r="AGF113" s="21"/>
      <c r="AGG113" s="21"/>
      <c r="AGH113" s="21"/>
      <c r="AGI113" s="21"/>
      <c r="AGJ113" s="21"/>
      <c r="AGK113" s="21"/>
      <c r="AGL113" s="21"/>
      <c r="AGM113" s="21"/>
      <c r="AGN113" s="21"/>
      <c r="AGO113" s="21"/>
      <c r="AGP113" s="21"/>
      <c r="AGQ113" s="21"/>
      <c r="AGR113" s="21"/>
      <c r="AGS113" s="21"/>
    </row>
    <row r="114" spans="1:877" ht="13">
      <c r="A114" s="12"/>
      <c r="B114" s="75" t="s">
        <v>62</v>
      </c>
      <c r="C114" s="76">
        <v>15</v>
      </c>
      <c r="D114" s="17" t="s">
        <v>63</v>
      </c>
      <c r="E114" s="12"/>
      <c r="F114" s="66"/>
      <c r="G114" s="66">
        <f>SUM(G16,G24,G32,G40,G48,G56,G64,Financials!E26,Financials!E27,Financials!E25)*$C114/30</f>
        <v>4375</v>
      </c>
      <c r="H114" s="66">
        <f>SUM(H16,H24,H32,H40,H48,H56,H64,Financials!F26,Financials!F27,Financials!F25)*$C114/30</f>
        <v>4375</v>
      </c>
      <c r="I114" s="66">
        <f>SUM(I16,I24,I32,I40,I48,I56,I64,Financials!G26,Financials!G27,Financials!G25)*$C114/30</f>
        <v>4375</v>
      </c>
      <c r="J114" s="66">
        <f>SUM(J16,J24,J32,J40,J48,J56,J64,Financials!H26,Financials!H27,Financials!H25)*$C114/30</f>
        <v>4375</v>
      </c>
      <c r="K114" s="66">
        <f>SUM(K16,K24,K32,K40,K48,K56,K64,Financials!I26,Financials!I27,Financials!I25)*$C114/30</f>
        <v>4375</v>
      </c>
      <c r="L114" s="66">
        <f>SUM(L16,L24,L32,L40,L48,L56,L64,Financials!J26,Financials!J27,Financials!J25)*$C114/30</f>
        <v>4375</v>
      </c>
      <c r="M114" s="66">
        <f>SUM(M16,M24,M32,M40,M48,M56,M64,Financials!K26,Financials!K27,Financials!K25)*$C114/30</f>
        <v>4375</v>
      </c>
      <c r="N114" s="66">
        <f>SUM(N16,N24,N32,N40,N48,N56,N64,Financials!L26,Financials!L27,Financials!L25)*$C114/30</f>
        <v>4375</v>
      </c>
      <c r="O114" s="66">
        <f>SUM(O16,O24,O32,O40,O48,O56,O64,Financials!M26,Financials!M27,Financials!M25)*$C114/30</f>
        <v>4375</v>
      </c>
      <c r="P114" s="66">
        <f>SUM(P16,P24,P32,P40,P48,P56,P64,Financials!N26,Financials!N27,Financials!N25)*$C114/30</f>
        <v>4375</v>
      </c>
      <c r="Q114" s="66">
        <f>SUM(Q16,Q24,Q32,Q40,Q48,Q56,Q64,Financials!O26,Financials!O27,Financials!O25)*$C114/30</f>
        <v>4375</v>
      </c>
      <c r="R114" s="66">
        <f>SUM(R16,R24,R32,R40,R48,R56,R64,Financials!P26,Financials!P27,Financials!P25)*$C114/30</f>
        <v>4375</v>
      </c>
      <c r="S114" s="66">
        <f>SUM(S16,S24,S32,S40,S48,S56,S64,Financials!Q26,Financials!Q27,Financials!Q25)*$C114/30</f>
        <v>22770.78125</v>
      </c>
      <c r="T114" s="66">
        <f>SUM(T16,T24,T32,T40,T48,T56,T64,Financials!R26,Financials!R27,Financials!R25)*$C114/30</f>
        <v>22770.78125</v>
      </c>
      <c r="U114" s="66">
        <f>SUM(U16,U24,U32,U40,U48,U56,U64,Financials!S26,Financials!S27,Financials!S25)*$C114/30</f>
        <v>22770.78125</v>
      </c>
      <c r="V114" s="66">
        <f>SUM(V16,V24,V32,V40,V48,V56,V64,Financials!T26,Financials!T27,Financials!T25)*$C114/30</f>
        <v>22770.78125</v>
      </c>
      <c r="W114" s="66">
        <f>SUM(W16,W24,W32,W40,W48,W56,W64,Financials!U26,Financials!U27,Financials!U25)*$C114/30</f>
        <v>22770.78125</v>
      </c>
      <c r="X114" s="66">
        <f>SUM(X16,X24,X32,X40,X48,X56,X64,Financials!V26,Financials!V27,Financials!V25)*$C114/30</f>
        <v>22770.78125</v>
      </c>
      <c r="Y114" s="66">
        <f>SUM(Y16,Y24,Y32,Y40,Y48,Y56,Y64,Financials!W26,Financials!W27,Financials!W25)*$C114/30</f>
        <v>78853.90625</v>
      </c>
      <c r="Z114" s="66">
        <f>SUM(Z16,Z24,Z32,Z40,Z48,Z56,Z64,Financials!X26,Financials!X27,Financials!X25)*$C114/30</f>
        <v>78853.90625</v>
      </c>
      <c r="AA114" s="66">
        <f>SUM(AA16,AA24,AA32,AA40,AA48,AA56,AA64,Financials!Y26,Financials!Y27,Financials!Y25)*$C114/30</f>
        <v>78853.90625</v>
      </c>
      <c r="AB114" s="66">
        <f>SUM(AB16,AB24,AB32,AB40,AB48,AB56,AB64,Financials!Z26,Financials!Z27,Financials!Z25)*$C114/30</f>
        <v>78853.90625</v>
      </c>
      <c r="AC114" s="66">
        <f>SUM(AC16,AC24,AC32,AC40,AC48,AC56,AC64,Financials!AA26,Financials!AA27,Financials!AA25)*$C114/30</f>
        <v>78853.90625</v>
      </c>
      <c r="AD114" s="66">
        <f>SUM(AD16,AD24,AD32,AD40,AD48,AD56,AD64,Financials!AB26,Financials!AB27,Financials!AB25)*$C114/30</f>
        <v>78853.90625</v>
      </c>
      <c r="AE114" s="66">
        <f>SUM(AE16,AE24,AE32,AE40,AE48,AE56,AE64,Financials!AC26,Financials!AC27,Financials!AC25)*$C114/30</f>
        <v>157707.8125</v>
      </c>
      <c r="AF114" s="66">
        <f>SUM(AF16,AF24,AF32,AF40,AF48,AF56,AF64,Financials!AD26,Financials!AD27,Financials!AD25)*$C114/30</f>
        <v>157707.8125</v>
      </c>
      <c r="AG114" s="66">
        <f>SUM(AG16,AG24,AG32,AG40,AG48,AG56,AG64,Financials!AE26,Financials!AE27,Financials!AE25)*$C114/30</f>
        <v>157707.8125</v>
      </c>
      <c r="AH114" s="66">
        <f>SUM(AH16,AH24,AH32,AH40,AH48,AH56,AH64,Financials!AF26,Financials!AF27,Financials!AF25)*$C114/30</f>
        <v>157707.8125</v>
      </c>
      <c r="AI114" s="66">
        <f>SUM(AI16,AI24,AI32,AI40,AI48,AI56,AI64,Financials!AG26,Financials!AG27,Financials!AG25)*$C114/30</f>
        <v>157707.8125</v>
      </c>
      <c r="AJ114" s="66">
        <f>SUM(AJ16,AJ24,AJ32,AJ40,AJ48,AJ56,AJ64,Financials!AH26,Financials!AH27,Financials!AH25)*$C114/30</f>
        <v>157707.8125</v>
      </c>
      <c r="AK114" s="66">
        <f>SUM(AK16,AK24,AK32,AK40,AK48,AK56,AK64,Financials!AI26,Financials!AI27,Financials!AI25)*$C114/30</f>
        <v>227811.71875</v>
      </c>
      <c r="AL114" s="66">
        <f>SUM(AL16,AL24,AL32,AL40,AL48,AL56,AL64,Financials!AJ26,Financials!AJ27,Financials!AJ25)*$C114/30</f>
        <v>227811.71875</v>
      </c>
      <c r="AM114" s="66">
        <f>SUM(AM16,AM24,AM32,AM40,AM48,AM56,AM64,Financials!AK26,Financials!AK27,Financials!AK25)*$C114/30</f>
        <v>227811.71875</v>
      </c>
      <c r="AN114" s="66">
        <f>SUM(AN16,AN24,AN32,AN40,AN48,AN56,AN64,Financials!AL26,Financials!AL27,Financials!AL25)*$C114/30</f>
        <v>227811.71875</v>
      </c>
      <c r="AO114" s="66">
        <f>SUM(AO16,AO24,AO32,AO40,AO48,AO56,AO64,Financials!AM26,Financials!AM27,Financials!AM25)*$C114/30</f>
        <v>227811.71875</v>
      </c>
      <c r="AP114" s="66">
        <f>SUM(AP16,AP24,AP32,AP40,AP48,AP56,AP64,Financials!AN26,Financials!AN27,Financials!AN25)*$C114/30</f>
        <v>227811.71875</v>
      </c>
      <c r="AQ114" s="66">
        <f>SUM(AQ16,AQ24,AQ32,AQ40,AQ48,AQ56,AQ64,Financials!AO26,Financials!AO27,Financials!AO25)*$C114/30</f>
        <v>446873.4375</v>
      </c>
      <c r="AR114" s="66">
        <f>SUM(AR16,AR24,AR32,AR40,AR48,AR56,AR64,Financials!AP26,Financials!AP27,Financials!AP25)*$C114/30</f>
        <v>446873.4375</v>
      </c>
      <c r="AS114" s="66">
        <f>SUM(AS16,AS24,AS32,AS40,AS48,AS56,AS64,Financials!AQ26,Financials!AQ27,Financials!AQ25)*$C114/30</f>
        <v>446873.4375</v>
      </c>
      <c r="AT114" s="66">
        <f>SUM(AT16,AT24,AT32,AT40,AT48,AT56,AT64,Financials!AR26,Financials!AR27,Financials!AR25)*$C114/30</f>
        <v>446873.4375</v>
      </c>
      <c r="AU114" s="66">
        <f>SUM(AU16,AU24,AU32,AU40,AU48,AU56,AU64,Financials!AS26,Financials!AS27,Financials!AS25)*$C114/30</f>
        <v>446873.4375</v>
      </c>
      <c r="AV114" s="66">
        <f>SUM(AV16,AV24,AV32,AV40,AV48,AV56,AV64,Financials!AT26,Financials!AT27,Financials!AT25)*$C114/30</f>
        <v>446873.4375</v>
      </c>
      <c r="AW114" s="66">
        <f>SUM(AW16,AW24,AW32,AW40,AW48,AW56,AW64,Financials!AU26,Financials!AU27,Financials!AU25)*$C114/30</f>
        <v>446873.4375</v>
      </c>
      <c r="AX114" s="66">
        <f>SUM(AX16,AX24,AX32,AX40,AX48,AX56,AX64,Financials!AV26,Financials!AV27,Financials!AV25)*$C114/30</f>
        <v>446873.4375</v>
      </c>
      <c r="AY114" s="66">
        <f>SUM(AY16,AY24,AY32,AY40,AY48,AY56,AY64,Financials!AW26,Financials!AW27,Financials!AW25)*$C114/30</f>
        <v>446873.4375</v>
      </c>
      <c r="AZ114" s="66">
        <f>SUM(AZ16,AZ24,AZ32,AZ40,AZ48,AZ56,AZ64,Financials!AX26,Financials!AX27,Financials!AX25)*$C114/30</f>
        <v>446873.4375</v>
      </c>
      <c r="BA114" s="66">
        <f>SUM(BA16,BA24,BA32,BA40,BA48,BA56,BA64,Financials!AY26,Financials!AY27,Financials!AY25)*$C114/30</f>
        <v>446873.4375</v>
      </c>
      <c r="BB114" s="66">
        <f>SUM(BB16,BB24,BB32,BB40,BB48,BB56,BB64,Financials!AZ26,Financials!AZ27,Financials!AZ25)*$C114/30</f>
        <v>446873.4375</v>
      </c>
      <c r="BC114" s="66">
        <f>SUM(BC16,BC24,BC32,BC40,BC48,BC56,BC64,Financials!BA26,Financials!BA27,Financials!BA25)*$C114/30</f>
        <v>753539.0625</v>
      </c>
      <c r="BD114" s="66">
        <f>SUM(BD16,BD24,BD32,BD40,BD48,BD56,BD64,Financials!BB26,Financials!BB27,Financials!BB25)*$C114/30</f>
        <v>753539.0625</v>
      </c>
      <c r="BE114" s="66">
        <f>SUM(BE16,BE24,BE32,BE40,BE48,BE56,BE64,Financials!BC26,Financials!BC27,Financials!BC25)*$C114/30</f>
        <v>753539.0625</v>
      </c>
      <c r="BF114" s="66">
        <f>SUM(BF16,BF24,BF32,BF40,BF48,BF56,BF64,Financials!BD26,Financials!BD27,Financials!BD25)*$C114/30</f>
        <v>753539.0625</v>
      </c>
      <c r="BG114" s="66">
        <f>SUM(BG16,BG24,BG32,BG40,BG48,BG56,BG64,Financials!BE26,Financials!BE27,Financials!BE25)*$C114/30</f>
        <v>753539.0625</v>
      </c>
      <c r="BH114" s="66">
        <f>SUM(BH16,BH24,BH32,BH40,BH48,BH56,BH64,Financials!BF26,Financials!BF27,Financials!BF25)*$C114/30</f>
        <v>753539.0625</v>
      </c>
      <c r="BI114" s="66">
        <f>SUM(BI16,BI24,BI32,BI40,BI48,BI56,BI64,Financials!BG26,Financials!BG27,Financials!BG25)*$C114/30</f>
        <v>753539.0625</v>
      </c>
      <c r="BJ114" s="66">
        <f>SUM(BJ16,BJ24,BJ32,BJ40,BJ48,BJ56,BJ64,Financials!BH26,Financials!BH27,Financials!BH25)*$C114/30</f>
        <v>753539.0625</v>
      </c>
      <c r="BK114" s="66">
        <f>SUM(BK16,BK24,BK32,BK40,BK48,BK56,BK64,Financials!BI26,Financials!BI27,Financials!BI25)*$C114/30</f>
        <v>753539.0625</v>
      </c>
      <c r="BL114" s="66">
        <f>SUM(BL16,BL24,BL32,BL40,BL48,BL56,BL64,Financials!BJ26,Financials!BJ27,Financials!BJ25)*$C114/30</f>
        <v>753539.0625</v>
      </c>
      <c r="BM114" s="66">
        <f>SUM(BM16,BM24,BM32,BM40,BM48,BM56,BM64,Financials!BK26,Financials!BK27,Financials!BK25)*$C114/30</f>
        <v>753539.0625</v>
      </c>
      <c r="BN114" s="66">
        <f>SUM(BN16,BN24,BN32,BN40,BN48,BN56,BN64,Financials!BL26,Financials!BL27,Financials!BL25)*$C114/30</f>
        <v>753539.0625</v>
      </c>
      <c r="BO114" s="66">
        <f>SUM(BO16,BO24,BO32,BO40,BO48,BO56,BO64,Financials!BM26,Financials!BM27,Financials!BM25)*$C114/30</f>
        <v>1314370.3125</v>
      </c>
      <c r="BP114" s="66">
        <f>SUM(BP16,BP24,BP32,BP40,BP48,BP56,BP64,Financials!BN26,Financials!BN27,Financials!BN25)*$C114/30</f>
        <v>1314370.3125</v>
      </c>
      <c r="BQ114" s="66">
        <f>SUM(BQ16,BQ24,BQ32,BQ40,BQ48,BQ56,BQ64,Financials!BO26,Financials!BO27,Financials!BO25)*$C114/30</f>
        <v>1314370.3125</v>
      </c>
      <c r="BR114" s="66">
        <f>SUM(BR16,BR24,BR32,BR40,BR48,BR56,BR64,Financials!BP26,Financials!BP27,Financials!BP25)*$C114/30</f>
        <v>1314370.3125</v>
      </c>
      <c r="BS114" s="66">
        <f>SUM(BS16,BS24,BS32,BS40,BS48,BS56,BS64,Financials!BQ26,Financials!BQ27,Financials!BQ25)*$C114/30</f>
        <v>1314370.3125</v>
      </c>
      <c r="BT114" s="66">
        <f>SUM(BT16,BT24,BT32,BT40,BT48,BT56,BT64,Financials!BR26,Financials!BR27,Financials!BR25)*$C114/30</f>
        <v>1314370.3125</v>
      </c>
      <c r="BU114" s="66">
        <f>SUM(BU16,BU24,BU32,BU40,BU48,BU56,BU64,Financials!BS26,Financials!BS27,Financials!BS25)*$C114/30</f>
        <v>1314370.3125</v>
      </c>
      <c r="BV114" s="66">
        <f>SUM(BV16,BV24,BV32,BV40,BV48,BV56,BV64,Financials!BT26,Financials!BT27,Financials!BT25)*$C114/30</f>
        <v>1314370.3125</v>
      </c>
      <c r="BW114" s="66">
        <f>SUM(BW16,BW24,BW32,BW40,BW48,BW56,BW64,Financials!BU26,Financials!BU27,Financials!BU25)*$C114/30</f>
        <v>1314370.3125</v>
      </c>
      <c r="BX114" s="66">
        <f>SUM(BX16,BX24,BX32,BX40,BX48,BX56,BX64,Financials!BV26,Financials!BV27,Financials!BV25)*$C114/30</f>
        <v>1314370.3125</v>
      </c>
      <c r="BY114" s="66">
        <f>SUM(BY16,BY24,BY32,BY40,BY48,BY56,BY64,Financials!BW26,Financials!BW27,Financials!BW25)*$C114/30</f>
        <v>1314370.3125</v>
      </c>
      <c r="BZ114" s="66">
        <f>SUM(BZ16,BZ24,BZ32,BZ40,BZ48,BZ56,BZ64,Financials!BX26,Financials!BX27,Financials!BX25)*$C114/30</f>
        <v>1314370.3125</v>
      </c>
      <c r="CA114" s="66">
        <f>SUM(CA16,CA24,CA32,CA40,CA48,CA56,CA64,Financials!BY26,Financials!BY27,Financials!BY25)*$C114/30</f>
        <v>1734993.75</v>
      </c>
      <c r="CB114" s="66">
        <f>SUM(CB16,CB24,CB32,CB40,CB48,CB56,CB64,Financials!BZ26,Financials!BZ27,Financials!BZ25)*$C114/30</f>
        <v>1734993.75</v>
      </c>
      <c r="CC114" s="66">
        <f>SUM(CC16,CC24,CC32,CC40,CC48,CC56,CC64,Financials!CA26,Financials!CA27,Financials!CA25)*$C114/30</f>
        <v>1734993.75</v>
      </c>
      <c r="CD114" s="66">
        <f>SUM(CD16,CD24,CD32,CD40,CD48,CD56,CD64,Financials!CB26,Financials!CB27,Financials!CB25)*$C114/30</f>
        <v>1734993.75</v>
      </c>
      <c r="CE114" s="66">
        <f>SUM(CE16,CE24,CE32,CE40,CE48,CE56,CE64,Financials!CC26,Financials!CC27,Financials!CC25)*$C114/30</f>
        <v>1734993.75</v>
      </c>
      <c r="CF114" s="66">
        <f>SUM(CF16,CF24,CF32,CF40,CF48,CF56,CF64,Financials!CD26,Financials!CD27,Financials!CD25)*$C114/30</f>
        <v>1734993.75</v>
      </c>
      <c r="CG114" s="66">
        <f>SUM(CG16,CG24,CG32,CG40,CG48,CG56,CG64,Financials!CE26,Financials!CE27,Financials!CE25)*$C114/30</f>
        <v>1734993.75</v>
      </c>
      <c r="CH114" s="66">
        <f>SUM(CH16,CH24,CH32,CH40,CH48,CH56,CH64,Financials!CF26,Financials!CF27,Financials!CF25)*$C114/30</f>
        <v>1734993.75</v>
      </c>
      <c r="CI114" s="66">
        <f>SUM(CI16,CI24,CI32,CI40,CI48,CI56,CI64,Financials!CG26,Financials!CG27,Financials!CG25)*$C114/30</f>
        <v>1734993.75</v>
      </c>
      <c r="CJ114" s="66">
        <f>SUM(CJ16,CJ24,CJ32,CJ40,CJ48,CJ56,CJ64,Financials!CH26,Financials!CH27,Financials!CH25)*$C114/30</f>
        <v>1734993.75</v>
      </c>
      <c r="CK114" s="66">
        <f>SUM(CK16,CK24,CK32,CK40,CK48,CK56,CK64,Financials!CI26,Financials!CI27,Financials!CI25)*$C114/30</f>
        <v>1734993.75</v>
      </c>
      <c r="CL114" s="66">
        <f>SUM(CL16,CL24,CL32,CL40,CL48,CL56,CL64,Financials!CJ26,Financials!CJ27,Financials!CJ25)*$C114/30</f>
        <v>1734993.75</v>
      </c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  <c r="JO114" s="21"/>
      <c r="JP114" s="21"/>
      <c r="JQ114" s="21"/>
      <c r="JR114" s="21"/>
      <c r="JS114" s="21"/>
      <c r="JT114" s="21"/>
      <c r="JU114" s="21"/>
      <c r="JV114" s="21"/>
      <c r="JW114" s="21"/>
      <c r="JX114" s="21"/>
      <c r="JY114" s="21"/>
      <c r="JZ114" s="21"/>
      <c r="KA114" s="21"/>
      <c r="KB114" s="21"/>
      <c r="KC114" s="21"/>
      <c r="KD114" s="21"/>
      <c r="KE114" s="21"/>
      <c r="KF114" s="21"/>
      <c r="KG114" s="21"/>
      <c r="KH114" s="21"/>
      <c r="KI114" s="21"/>
      <c r="KJ114" s="21"/>
      <c r="KK114" s="21"/>
      <c r="KL114" s="21"/>
      <c r="KM114" s="21"/>
      <c r="KN114" s="21"/>
      <c r="KO114" s="21"/>
      <c r="KP114" s="21"/>
      <c r="KQ114" s="21"/>
      <c r="KR114" s="21"/>
      <c r="KS114" s="21"/>
      <c r="KT114" s="21"/>
      <c r="KU114" s="21"/>
      <c r="KV114" s="21"/>
      <c r="KW114" s="21"/>
      <c r="KX114" s="21"/>
      <c r="KY114" s="21"/>
      <c r="KZ114" s="21"/>
      <c r="LA114" s="21"/>
      <c r="LB114" s="21"/>
      <c r="LC114" s="21"/>
      <c r="LD114" s="21"/>
      <c r="LE114" s="21"/>
      <c r="LF114" s="21"/>
      <c r="LG114" s="21"/>
      <c r="LH114" s="21"/>
      <c r="LI114" s="21"/>
      <c r="LJ114" s="21"/>
      <c r="LK114" s="21"/>
      <c r="LL114" s="21"/>
      <c r="LM114" s="21"/>
      <c r="LN114" s="21"/>
      <c r="LO114" s="21"/>
      <c r="LP114" s="21"/>
      <c r="LQ114" s="21"/>
      <c r="LR114" s="21"/>
      <c r="LS114" s="21"/>
      <c r="LT114" s="21"/>
      <c r="LU114" s="21"/>
      <c r="LV114" s="21"/>
      <c r="LW114" s="21"/>
      <c r="LX114" s="21"/>
      <c r="LY114" s="21"/>
      <c r="LZ114" s="21"/>
      <c r="MA114" s="21"/>
      <c r="MB114" s="21"/>
      <c r="MC114" s="21"/>
      <c r="MD114" s="21"/>
      <c r="ME114" s="21"/>
      <c r="MF114" s="21"/>
      <c r="MG114" s="21"/>
      <c r="MH114" s="21"/>
      <c r="MI114" s="21"/>
      <c r="MJ114" s="21"/>
      <c r="MK114" s="21"/>
      <c r="ML114" s="21"/>
      <c r="MM114" s="21"/>
      <c r="MN114" s="21"/>
      <c r="MO114" s="21"/>
      <c r="MP114" s="21"/>
      <c r="MQ114" s="21"/>
      <c r="MR114" s="21"/>
      <c r="MS114" s="21"/>
      <c r="MT114" s="21"/>
      <c r="MU114" s="21"/>
      <c r="MV114" s="21"/>
      <c r="MW114" s="21"/>
      <c r="MX114" s="21"/>
      <c r="MY114" s="21"/>
      <c r="MZ114" s="21"/>
      <c r="NA114" s="21"/>
      <c r="NB114" s="21"/>
      <c r="NC114" s="21"/>
      <c r="ND114" s="21"/>
      <c r="NE114" s="21"/>
      <c r="NF114" s="21"/>
      <c r="NG114" s="21"/>
      <c r="NH114" s="21"/>
      <c r="NI114" s="21"/>
      <c r="NJ114" s="21"/>
      <c r="NK114" s="21"/>
      <c r="NL114" s="21"/>
      <c r="NM114" s="21"/>
      <c r="NN114" s="21"/>
      <c r="NO114" s="21"/>
      <c r="NP114" s="21"/>
      <c r="NQ114" s="21"/>
      <c r="NR114" s="21"/>
      <c r="NS114" s="21"/>
      <c r="NT114" s="21"/>
      <c r="NU114" s="21"/>
      <c r="NV114" s="21"/>
      <c r="NW114" s="21"/>
      <c r="NX114" s="21"/>
      <c r="NY114" s="21"/>
      <c r="NZ114" s="21"/>
      <c r="OA114" s="21"/>
      <c r="OB114" s="21"/>
      <c r="OC114" s="21"/>
      <c r="OD114" s="21"/>
      <c r="OE114" s="21"/>
      <c r="OF114" s="21"/>
      <c r="OG114" s="21"/>
      <c r="OH114" s="21"/>
      <c r="OI114" s="21"/>
      <c r="OJ114" s="21"/>
      <c r="OK114" s="21"/>
      <c r="OL114" s="21"/>
      <c r="OM114" s="21"/>
      <c r="ON114" s="21"/>
      <c r="OO114" s="21"/>
      <c r="OP114" s="21"/>
      <c r="OQ114" s="21"/>
      <c r="OR114" s="21"/>
      <c r="OS114" s="21"/>
      <c r="OT114" s="21"/>
      <c r="OU114" s="21"/>
      <c r="OV114" s="21"/>
      <c r="OW114" s="21"/>
      <c r="OX114" s="21"/>
      <c r="OY114" s="21"/>
      <c r="OZ114" s="21"/>
      <c r="PA114" s="21"/>
      <c r="PB114" s="21"/>
      <c r="PC114" s="21"/>
      <c r="PD114" s="21"/>
      <c r="PE114" s="21"/>
      <c r="PF114" s="21"/>
      <c r="PG114" s="21"/>
      <c r="PH114" s="21"/>
      <c r="PI114" s="21"/>
      <c r="PJ114" s="21"/>
      <c r="PK114" s="21"/>
      <c r="PL114" s="21"/>
      <c r="PM114" s="21"/>
      <c r="PN114" s="21"/>
      <c r="PO114" s="21"/>
      <c r="PP114" s="21"/>
      <c r="PQ114" s="21"/>
      <c r="PR114" s="21"/>
      <c r="PS114" s="21"/>
      <c r="PT114" s="21"/>
      <c r="PU114" s="21"/>
      <c r="PV114" s="21"/>
      <c r="PW114" s="21"/>
      <c r="PX114" s="21"/>
      <c r="PY114" s="21"/>
      <c r="PZ114" s="21"/>
      <c r="QA114" s="21"/>
      <c r="QB114" s="21"/>
      <c r="QC114" s="21"/>
      <c r="QD114" s="21"/>
      <c r="QE114" s="21"/>
      <c r="QF114" s="21"/>
      <c r="QG114" s="21"/>
      <c r="QH114" s="21"/>
      <c r="QI114" s="21"/>
      <c r="QJ114" s="21"/>
      <c r="QK114" s="21"/>
      <c r="QL114" s="21"/>
      <c r="QM114" s="21"/>
      <c r="QN114" s="21"/>
      <c r="QO114" s="21"/>
      <c r="QP114" s="21"/>
      <c r="QQ114" s="21"/>
      <c r="QR114" s="21"/>
      <c r="QS114" s="21"/>
      <c r="QT114" s="21"/>
      <c r="QU114" s="21"/>
      <c r="QV114" s="21"/>
      <c r="QW114" s="21"/>
      <c r="QX114" s="21"/>
      <c r="QY114" s="21"/>
      <c r="QZ114" s="21"/>
      <c r="RA114" s="21"/>
      <c r="RB114" s="21"/>
      <c r="RC114" s="21"/>
      <c r="RD114" s="21"/>
      <c r="RE114" s="21"/>
      <c r="RF114" s="21"/>
      <c r="RG114" s="21"/>
      <c r="RH114" s="21"/>
      <c r="RI114" s="21"/>
      <c r="RJ114" s="21"/>
      <c r="RK114" s="21"/>
      <c r="RL114" s="21"/>
      <c r="RM114" s="21"/>
      <c r="RN114" s="21"/>
      <c r="RO114" s="21"/>
      <c r="RP114" s="21"/>
      <c r="RQ114" s="21"/>
      <c r="RR114" s="21"/>
      <c r="RS114" s="21"/>
      <c r="RT114" s="21"/>
      <c r="RU114" s="21"/>
      <c r="RV114" s="21"/>
      <c r="RW114" s="21"/>
      <c r="RX114" s="21"/>
      <c r="RY114" s="21"/>
      <c r="RZ114" s="21"/>
      <c r="SA114" s="21"/>
      <c r="SB114" s="21"/>
      <c r="SC114" s="21"/>
      <c r="SD114" s="21"/>
      <c r="SE114" s="21"/>
      <c r="SF114" s="21"/>
      <c r="SG114" s="21"/>
      <c r="SH114" s="21"/>
      <c r="SI114" s="21"/>
      <c r="SJ114" s="21"/>
      <c r="SK114" s="21"/>
      <c r="SL114" s="21"/>
      <c r="SM114" s="21"/>
      <c r="SN114" s="21"/>
      <c r="SO114" s="21"/>
      <c r="SP114" s="21"/>
      <c r="SQ114" s="21"/>
      <c r="SR114" s="21"/>
      <c r="SS114" s="21"/>
      <c r="ST114" s="21"/>
      <c r="SU114" s="21"/>
      <c r="SV114" s="21"/>
      <c r="SW114" s="21"/>
      <c r="SX114" s="21"/>
      <c r="SY114" s="21"/>
      <c r="SZ114" s="21"/>
      <c r="TA114" s="21"/>
      <c r="TB114" s="21"/>
      <c r="TC114" s="21"/>
      <c r="TD114" s="21"/>
      <c r="TE114" s="21"/>
      <c r="TF114" s="21"/>
      <c r="TG114" s="21"/>
      <c r="TH114" s="21"/>
      <c r="TI114" s="21"/>
      <c r="TJ114" s="21"/>
      <c r="TK114" s="21"/>
      <c r="TL114" s="21"/>
      <c r="TM114" s="21"/>
      <c r="TN114" s="21"/>
      <c r="TO114" s="21"/>
      <c r="TP114" s="21"/>
      <c r="TQ114" s="21"/>
      <c r="TR114" s="21"/>
      <c r="TS114" s="21"/>
      <c r="TT114" s="21"/>
      <c r="TU114" s="21"/>
      <c r="TV114" s="21"/>
      <c r="TW114" s="21"/>
      <c r="TX114" s="21"/>
      <c r="TY114" s="21"/>
      <c r="TZ114" s="21"/>
      <c r="UA114" s="21"/>
      <c r="UB114" s="21"/>
      <c r="UC114" s="21"/>
      <c r="UD114" s="21"/>
      <c r="UE114" s="21"/>
      <c r="UF114" s="21"/>
      <c r="UG114" s="21"/>
      <c r="UH114" s="21"/>
      <c r="UI114" s="21"/>
      <c r="UJ114" s="21"/>
      <c r="UK114" s="21"/>
      <c r="UL114" s="21"/>
      <c r="UM114" s="21"/>
      <c r="UN114" s="21"/>
      <c r="UO114" s="21"/>
      <c r="UP114" s="21"/>
      <c r="UQ114" s="21"/>
      <c r="UR114" s="21"/>
      <c r="US114" s="21"/>
      <c r="UT114" s="21"/>
      <c r="UU114" s="21"/>
      <c r="UV114" s="21"/>
      <c r="UW114" s="21"/>
      <c r="UX114" s="21"/>
      <c r="UY114" s="21"/>
      <c r="UZ114" s="21"/>
      <c r="VA114" s="21"/>
      <c r="VB114" s="21"/>
      <c r="VC114" s="21"/>
      <c r="VD114" s="21"/>
      <c r="VE114" s="21"/>
      <c r="VF114" s="21"/>
      <c r="VG114" s="21"/>
      <c r="VH114" s="21"/>
      <c r="VI114" s="21"/>
      <c r="VJ114" s="21"/>
      <c r="VK114" s="21"/>
      <c r="VL114" s="21"/>
      <c r="VM114" s="21"/>
      <c r="VN114" s="21"/>
      <c r="VO114" s="21"/>
      <c r="VP114" s="21"/>
      <c r="VQ114" s="21"/>
      <c r="VR114" s="21"/>
      <c r="VS114" s="21"/>
      <c r="VT114" s="21"/>
      <c r="VU114" s="21"/>
      <c r="VV114" s="21"/>
      <c r="VW114" s="21"/>
      <c r="VX114" s="21"/>
      <c r="VY114" s="21"/>
      <c r="VZ114" s="21"/>
      <c r="WA114" s="21"/>
      <c r="WB114" s="21"/>
      <c r="WC114" s="21"/>
      <c r="WD114" s="21"/>
      <c r="WE114" s="21"/>
      <c r="WF114" s="21"/>
      <c r="WG114" s="21"/>
      <c r="WH114" s="21"/>
      <c r="WI114" s="21"/>
      <c r="WJ114" s="21"/>
      <c r="WK114" s="21"/>
      <c r="WL114" s="21"/>
      <c r="WM114" s="21"/>
      <c r="WN114" s="21"/>
      <c r="WO114" s="21"/>
      <c r="WP114" s="21"/>
      <c r="WQ114" s="21"/>
      <c r="WR114" s="21"/>
      <c r="WS114" s="21"/>
      <c r="WT114" s="21"/>
      <c r="WU114" s="21"/>
      <c r="WV114" s="21"/>
      <c r="WW114" s="21"/>
      <c r="WX114" s="21"/>
      <c r="WY114" s="21"/>
      <c r="WZ114" s="21"/>
      <c r="XA114" s="21"/>
      <c r="XB114" s="21"/>
      <c r="XC114" s="21"/>
      <c r="XD114" s="21"/>
      <c r="XE114" s="21"/>
      <c r="XF114" s="21"/>
      <c r="XG114" s="21"/>
      <c r="XH114" s="21"/>
      <c r="XI114" s="21"/>
      <c r="XJ114" s="21"/>
      <c r="XK114" s="21"/>
      <c r="XL114" s="21"/>
      <c r="XM114" s="21"/>
      <c r="XN114" s="21"/>
      <c r="XO114" s="21"/>
      <c r="XP114" s="21"/>
      <c r="XQ114" s="21"/>
      <c r="XR114" s="21"/>
      <c r="XS114" s="21"/>
      <c r="XT114" s="21"/>
      <c r="XU114" s="21"/>
      <c r="XV114" s="21"/>
      <c r="XW114" s="21"/>
      <c r="XX114" s="21"/>
      <c r="XY114" s="21"/>
      <c r="XZ114" s="21"/>
      <c r="YA114" s="21"/>
      <c r="YB114" s="21"/>
      <c r="YC114" s="21"/>
      <c r="YD114" s="21"/>
      <c r="YE114" s="21"/>
      <c r="YF114" s="21"/>
      <c r="YG114" s="21"/>
      <c r="YH114" s="21"/>
      <c r="YI114" s="21"/>
      <c r="YJ114" s="21"/>
      <c r="YK114" s="21"/>
      <c r="YL114" s="21"/>
      <c r="YM114" s="21"/>
      <c r="YN114" s="21"/>
      <c r="YO114" s="21"/>
      <c r="YP114" s="21"/>
      <c r="YQ114" s="21"/>
      <c r="YR114" s="21"/>
      <c r="YS114" s="21"/>
      <c r="YT114" s="21"/>
      <c r="YU114" s="21"/>
      <c r="YV114" s="21"/>
      <c r="YW114" s="21"/>
      <c r="YX114" s="21"/>
      <c r="YY114" s="21"/>
      <c r="YZ114" s="21"/>
      <c r="ZA114" s="21"/>
      <c r="ZB114" s="21"/>
      <c r="ZC114" s="21"/>
      <c r="ZD114" s="21"/>
      <c r="ZE114" s="21"/>
      <c r="ZF114" s="21"/>
      <c r="ZG114" s="21"/>
      <c r="ZH114" s="21"/>
      <c r="ZI114" s="21"/>
      <c r="ZJ114" s="21"/>
      <c r="ZK114" s="21"/>
      <c r="ZL114" s="21"/>
      <c r="ZM114" s="21"/>
      <c r="ZN114" s="21"/>
      <c r="ZO114" s="21"/>
      <c r="ZP114" s="21"/>
      <c r="ZQ114" s="21"/>
      <c r="ZR114" s="21"/>
      <c r="ZS114" s="21"/>
      <c r="ZT114" s="21"/>
      <c r="ZU114" s="21"/>
      <c r="ZV114" s="21"/>
      <c r="ZW114" s="21"/>
      <c r="ZX114" s="21"/>
      <c r="ZY114" s="21"/>
      <c r="ZZ114" s="21"/>
      <c r="AAA114" s="21"/>
      <c r="AAB114" s="21"/>
      <c r="AAC114" s="21"/>
      <c r="AAD114" s="21"/>
      <c r="AAE114" s="21"/>
      <c r="AAF114" s="21"/>
      <c r="AAG114" s="21"/>
      <c r="AAH114" s="21"/>
      <c r="AAI114" s="21"/>
      <c r="AAJ114" s="21"/>
      <c r="AAK114" s="21"/>
      <c r="AAL114" s="21"/>
      <c r="AAM114" s="21"/>
      <c r="AAN114" s="21"/>
      <c r="AAO114" s="21"/>
      <c r="AAP114" s="21"/>
      <c r="AAQ114" s="21"/>
      <c r="AAR114" s="21"/>
      <c r="AAS114" s="21"/>
      <c r="AAT114" s="21"/>
      <c r="AAU114" s="21"/>
      <c r="AAV114" s="21"/>
      <c r="AAW114" s="21"/>
      <c r="AAX114" s="21"/>
      <c r="AAY114" s="21"/>
      <c r="AAZ114" s="21"/>
      <c r="ABA114" s="21"/>
      <c r="ABB114" s="21"/>
      <c r="ABC114" s="21"/>
      <c r="ABD114" s="21"/>
      <c r="ABE114" s="21"/>
      <c r="ABF114" s="21"/>
      <c r="ABG114" s="21"/>
      <c r="ABH114" s="21"/>
      <c r="ABI114" s="21"/>
      <c r="ABJ114" s="21"/>
      <c r="ABK114" s="21"/>
      <c r="ABL114" s="21"/>
      <c r="ABM114" s="21"/>
      <c r="ABN114" s="21"/>
      <c r="ABO114" s="21"/>
      <c r="ABP114" s="21"/>
      <c r="ABQ114" s="21"/>
      <c r="ABR114" s="21"/>
      <c r="ABS114" s="21"/>
      <c r="ABT114" s="21"/>
      <c r="ABU114" s="21"/>
      <c r="ABV114" s="21"/>
      <c r="ABW114" s="21"/>
      <c r="ABX114" s="21"/>
      <c r="ABY114" s="21"/>
      <c r="ABZ114" s="21"/>
      <c r="ACA114" s="21"/>
      <c r="ACB114" s="21"/>
      <c r="ACC114" s="21"/>
      <c r="ACD114" s="21"/>
      <c r="ACE114" s="21"/>
      <c r="ACF114" s="21"/>
      <c r="ACG114" s="21"/>
      <c r="ACH114" s="21"/>
      <c r="ACI114" s="21"/>
      <c r="ACJ114" s="21"/>
      <c r="ACK114" s="21"/>
      <c r="ACL114" s="21"/>
      <c r="ACM114" s="21"/>
      <c r="ACN114" s="21"/>
      <c r="ACO114" s="21"/>
      <c r="ACP114" s="21"/>
      <c r="ACQ114" s="21"/>
      <c r="ACR114" s="21"/>
      <c r="ACS114" s="21"/>
      <c r="ACT114" s="21"/>
      <c r="ACU114" s="21"/>
      <c r="ACV114" s="21"/>
      <c r="ACW114" s="21"/>
      <c r="ACX114" s="21"/>
      <c r="ACY114" s="21"/>
      <c r="ACZ114" s="21"/>
      <c r="ADA114" s="21"/>
      <c r="ADB114" s="21"/>
      <c r="ADC114" s="21"/>
      <c r="ADD114" s="21"/>
      <c r="ADE114" s="21"/>
      <c r="ADF114" s="21"/>
      <c r="ADG114" s="21"/>
      <c r="ADH114" s="21"/>
      <c r="ADI114" s="21"/>
      <c r="ADJ114" s="21"/>
      <c r="ADK114" s="21"/>
      <c r="ADL114" s="21"/>
      <c r="ADM114" s="21"/>
      <c r="ADN114" s="21"/>
      <c r="ADO114" s="21"/>
      <c r="ADP114" s="21"/>
      <c r="ADQ114" s="21"/>
      <c r="ADR114" s="21"/>
      <c r="ADS114" s="21"/>
      <c r="ADT114" s="21"/>
      <c r="ADU114" s="21"/>
      <c r="ADV114" s="21"/>
      <c r="ADW114" s="21"/>
      <c r="ADX114" s="21"/>
      <c r="ADY114" s="21"/>
      <c r="ADZ114" s="21"/>
      <c r="AEA114" s="21"/>
      <c r="AEB114" s="21"/>
      <c r="AEC114" s="21"/>
      <c r="AED114" s="21"/>
      <c r="AEE114" s="21"/>
      <c r="AEF114" s="21"/>
      <c r="AEG114" s="21"/>
      <c r="AEH114" s="21"/>
      <c r="AEI114" s="21"/>
      <c r="AEJ114" s="21"/>
      <c r="AEK114" s="21"/>
      <c r="AEL114" s="21"/>
      <c r="AEM114" s="21"/>
      <c r="AEN114" s="21"/>
      <c r="AEO114" s="21"/>
      <c r="AEP114" s="21"/>
      <c r="AEQ114" s="21"/>
      <c r="AER114" s="21"/>
      <c r="AES114" s="21"/>
      <c r="AET114" s="21"/>
      <c r="AEU114" s="21"/>
      <c r="AEV114" s="21"/>
      <c r="AEW114" s="21"/>
      <c r="AEX114" s="21"/>
      <c r="AEY114" s="21"/>
      <c r="AEZ114" s="21"/>
      <c r="AFA114" s="21"/>
      <c r="AFB114" s="21"/>
      <c r="AFC114" s="21"/>
      <c r="AFD114" s="21"/>
      <c r="AFE114" s="21"/>
      <c r="AFF114" s="21"/>
      <c r="AFG114" s="21"/>
      <c r="AFH114" s="21"/>
      <c r="AFI114" s="21"/>
      <c r="AFJ114" s="21"/>
      <c r="AFK114" s="21"/>
      <c r="AFL114" s="21"/>
      <c r="AFM114" s="21"/>
      <c r="AFN114" s="21"/>
      <c r="AFO114" s="21"/>
      <c r="AFP114" s="21"/>
      <c r="AFQ114" s="21"/>
      <c r="AFR114" s="21"/>
      <c r="AFS114" s="21"/>
      <c r="AFT114" s="21"/>
      <c r="AFU114" s="21"/>
      <c r="AFV114" s="21"/>
      <c r="AFW114" s="21"/>
      <c r="AFX114" s="21"/>
      <c r="AFY114" s="21"/>
      <c r="AFZ114" s="21"/>
      <c r="AGA114" s="21"/>
      <c r="AGB114" s="21"/>
      <c r="AGC114" s="21"/>
      <c r="AGD114" s="21"/>
      <c r="AGE114" s="21"/>
      <c r="AGF114" s="21"/>
      <c r="AGG114" s="21"/>
      <c r="AGH114" s="21"/>
      <c r="AGI114" s="21"/>
      <c r="AGJ114" s="21"/>
      <c r="AGK114" s="21"/>
      <c r="AGL114" s="21"/>
      <c r="AGM114" s="21"/>
      <c r="AGN114" s="21"/>
      <c r="AGO114" s="21"/>
      <c r="AGP114" s="21"/>
      <c r="AGQ114" s="21"/>
      <c r="AGR114" s="21"/>
      <c r="AGS114" s="21"/>
    </row>
    <row r="115" spans="1:877" ht="13">
      <c r="A115" s="12"/>
      <c r="B115" s="12"/>
      <c r="C115" s="12"/>
      <c r="D115" s="12"/>
      <c r="E115" s="12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55"/>
      <c r="BE115" s="55"/>
      <c r="BF115" s="55"/>
      <c r="BG115" s="55"/>
      <c r="BH115" s="55"/>
      <c r="BI115" s="55"/>
      <c r="BJ115" s="55"/>
      <c r="BK115" s="55"/>
      <c r="BL115" s="55"/>
      <c r="BM115" s="55"/>
      <c r="BN115" s="55"/>
      <c r="BO115" s="55"/>
      <c r="BP115" s="55"/>
      <c r="BQ115" s="55"/>
      <c r="BR115" s="55"/>
      <c r="BS115" s="55"/>
      <c r="BT115" s="55"/>
      <c r="BU115" s="55"/>
      <c r="BV115" s="55"/>
      <c r="BW115" s="55"/>
      <c r="BX115" s="55"/>
      <c r="BY115" s="55"/>
      <c r="BZ115" s="55"/>
      <c r="CA115" s="55"/>
      <c r="CB115" s="55"/>
      <c r="CC115" s="55"/>
      <c r="CD115" s="55"/>
      <c r="CE115" s="55"/>
      <c r="CF115" s="55"/>
      <c r="CG115" s="55"/>
      <c r="CH115" s="55"/>
      <c r="CI115" s="55"/>
      <c r="CJ115" s="55"/>
      <c r="CK115" s="55"/>
      <c r="CL115" s="55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  <c r="KJ115" s="21"/>
      <c r="KK115" s="21"/>
      <c r="KL115" s="21"/>
      <c r="KM115" s="21"/>
      <c r="KN115" s="21"/>
      <c r="KO115" s="21"/>
      <c r="KP115" s="21"/>
      <c r="KQ115" s="21"/>
      <c r="KR115" s="21"/>
      <c r="KS115" s="21"/>
      <c r="KT115" s="21"/>
      <c r="KU115" s="21"/>
      <c r="KV115" s="21"/>
      <c r="KW115" s="21"/>
      <c r="KX115" s="21"/>
      <c r="KY115" s="21"/>
      <c r="KZ115" s="21"/>
      <c r="LA115" s="21"/>
      <c r="LB115" s="21"/>
      <c r="LC115" s="21"/>
      <c r="LD115" s="21"/>
      <c r="LE115" s="21"/>
      <c r="LF115" s="21"/>
      <c r="LG115" s="21"/>
      <c r="LH115" s="21"/>
      <c r="LI115" s="21"/>
      <c r="LJ115" s="21"/>
      <c r="LK115" s="21"/>
      <c r="LL115" s="21"/>
      <c r="LM115" s="21"/>
      <c r="LN115" s="21"/>
      <c r="LO115" s="21"/>
      <c r="LP115" s="21"/>
      <c r="LQ115" s="21"/>
      <c r="LR115" s="21"/>
      <c r="LS115" s="21"/>
      <c r="LT115" s="21"/>
      <c r="LU115" s="21"/>
      <c r="LV115" s="21"/>
      <c r="LW115" s="21"/>
      <c r="LX115" s="21"/>
      <c r="LY115" s="21"/>
      <c r="LZ115" s="21"/>
      <c r="MA115" s="21"/>
      <c r="MB115" s="21"/>
      <c r="MC115" s="21"/>
      <c r="MD115" s="21"/>
      <c r="ME115" s="21"/>
      <c r="MF115" s="21"/>
      <c r="MG115" s="21"/>
      <c r="MH115" s="21"/>
      <c r="MI115" s="21"/>
      <c r="MJ115" s="21"/>
      <c r="MK115" s="21"/>
      <c r="ML115" s="21"/>
      <c r="MM115" s="21"/>
      <c r="MN115" s="21"/>
      <c r="MO115" s="21"/>
      <c r="MP115" s="21"/>
      <c r="MQ115" s="21"/>
      <c r="MR115" s="21"/>
      <c r="MS115" s="21"/>
      <c r="MT115" s="21"/>
      <c r="MU115" s="21"/>
      <c r="MV115" s="21"/>
      <c r="MW115" s="21"/>
      <c r="MX115" s="21"/>
      <c r="MY115" s="21"/>
      <c r="MZ115" s="21"/>
      <c r="NA115" s="21"/>
      <c r="NB115" s="21"/>
      <c r="NC115" s="21"/>
      <c r="ND115" s="21"/>
      <c r="NE115" s="21"/>
      <c r="NF115" s="21"/>
      <c r="NG115" s="21"/>
      <c r="NH115" s="21"/>
      <c r="NI115" s="21"/>
      <c r="NJ115" s="21"/>
      <c r="NK115" s="21"/>
      <c r="NL115" s="21"/>
      <c r="NM115" s="21"/>
      <c r="NN115" s="21"/>
      <c r="NO115" s="21"/>
      <c r="NP115" s="21"/>
      <c r="NQ115" s="21"/>
      <c r="NR115" s="21"/>
      <c r="NS115" s="21"/>
      <c r="NT115" s="21"/>
      <c r="NU115" s="21"/>
      <c r="NV115" s="21"/>
      <c r="NW115" s="21"/>
      <c r="NX115" s="21"/>
      <c r="NY115" s="21"/>
      <c r="NZ115" s="21"/>
      <c r="OA115" s="21"/>
      <c r="OB115" s="21"/>
      <c r="OC115" s="21"/>
      <c r="OD115" s="21"/>
      <c r="OE115" s="21"/>
      <c r="OF115" s="21"/>
      <c r="OG115" s="21"/>
      <c r="OH115" s="21"/>
      <c r="OI115" s="21"/>
      <c r="OJ115" s="21"/>
      <c r="OK115" s="21"/>
      <c r="OL115" s="21"/>
      <c r="OM115" s="21"/>
      <c r="ON115" s="21"/>
      <c r="OO115" s="21"/>
      <c r="OP115" s="21"/>
      <c r="OQ115" s="21"/>
      <c r="OR115" s="21"/>
      <c r="OS115" s="21"/>
      <c r="OT115" s="21"/>
      <c r="OU115" s="21"/>
      <c r="OV115" s="21"/>
      <c r="OW115" s="21"/>
      <c r="OX115" s="21"/>
      <c r="OY115" s="21"/>
      <c r="OZ115" s="21"/>
      <c r="PA115" s="21"/>
      <c r="PB115" s="21"/>
      <c r="PC115" s="21"/>
      <c r="PD115" s="21"/>
      <c r="PE115" s="21"/>
      <c r="PF115" s="21"/>
      <c r="PG115" s="21"/>
      <c r="PH115" s="21"/>
      <c r="PI115" s="21"/>
      <c r="PJ115" s="21"/>
      <c r="PK115" s="21"/>
      <c r="PL115" s="21"/>
      <c r="PM115" s="21"/>
      <c r="PN115" s="21"/>
      <c r="PO115" s="21"/>
      <c r="PP115" s="21"/>
      <c r="PQ115" s="21"/>
      <c r="PR115" s="21"/>
      <c r="PS115" s="21"/>
      <c r="PT115" s="21"/>
      <c r="PU115" s="21"/>
      <c r="PV115" s="21"/>
      <c r="PW115" s="21"/>
      <c r="PX115" s="21"/>
      <c r="PY115" s="21"/>
      <c r="PZ115" s="21"/>
      <c r="QA115" s="21"/>
      <c r="QB115" s="21"/>
      <c r="QC115" s="21"/>
      <c r="QD115" s="21"/>
      <c r="QE115" s="21"/>
      <c r="QF115" s="21"/>
      <c r="QG115" s="21"/>
      <c r="QH115" s="21"/>
      <c r="QI115" s="21"/>
      <c r="QJ115" s="21"/>
      <c r="QK115" s="21"/>
      <c r="QL115" s="21"/>
      <c r="QM115" s="21"/>
      <c r="QN115" s="21"/>
      <c r="QO115" s="21"/>
      <c r="QP115" s="21"/>
      <c r="QQ115" s="21"/>
      <c r="QR115" s="21"/>
      <c r="QS115" s="21"/>
      <c r="QT115" s="21"/>
      <c r="QU115" s="21"/>
      <c r="QV115" s="21"/>
      <c r="QW115" s="21"/>
      <c r="QX115" s="21"/>
      <c r="QY115" s="21"/>
      <c r="QZ115" s="21"/>
      <c r="RA115" s="21"/>
      <c r="RB115" s="21"/>
      <c r="RC115" s="21"/>
      <c r="RD115" s="21"/>
      <c r="RE115" s="21"/>
      <c r="RF115" s="21"/>
      <c r="RG115" s="21"/>
      <c r="RH115" s="21"/>
      <c r="RI115" s="21"/>
      <c r="RJ115" s="21"/>
      <c r="RK115" s="21"/>
      <c r="RL115" s="21"/>
      <c r="RM115" s="21"/>
      <c r="RN115" s="21"/>
      <c r="RO115" s="21"/>
      <c r="RP115" s="21"/>
      <c r="RQ115" s="21"/>
      <c r="RR115" s="21"/>
      <c r="RS115" s="21"/>
      <c r="RT115" s="21"/>
      <c r="RU115" s="21"/>
      <c r="RV115" s="21"/>
      <c r="RW115" s="21"/>
      <c r="RX115" s="21"/>
      <c r="RY115" s="21"/>
      <c r="RZ115" s="21"/>
      <c r="SA115" s="21"/>
      <c r="SB115" s="21"/>
      <c r="SC115" s="21"/>
      <c r="SD115" s="21"/>
      <c r="SE115" s="21"/>
      <c r="SF115" s="21"/>
      <c r="SG115" s="21"/>
      <c r="SH115" s="21"/>
      <c r="SI115" s="21"/>
      <c r="SJ115" s="21"/>
      <c r="SK115" s="21"/>
      <c r="SL115" s="21"/>
      <c r="SM115" s="21"/>
      <c r="SN115" s="21"/>
      <c r="SO115" s="21"/>
      <c r="SP115" s="21"/>
      <c r="SQ115" s="21"/>
      <c r="SR115" s="21"/>
      <c r="SS115" s="21"/>
      <c r="ST115" s="21"/>
      <c r="SU115" s="21"/>
      <c r="SV115" s="21"/>
      <c r="SW115" s="21"/>
      <c r="SX115" s="21"/>
      <c r="SY115" s="21"/>
      <c r="SZ115" s="21"/>
      <c r="TA115" s="21"/>
      <c r="TB115" s="21"/>
      <c r="TC115" s="21"/>
      <c r="TD115" s="21"/>
      <c r="TE115" s="21"/>
      <c r="TF115" s="21"/>
      <c r="TG115" s="21"/>
      <c r="TH115" s="21"/>
      <c r="TI115" s="21"/>
      <c r="TJ115" s="21"/>
      <c r="TK115" s="21"/>
      <c r="TL115" s="21"/>
      <c r="TM115" s="21"/>
      <c r="TN115" s="21"/>
      <c r="TO115" s="21"/>
      <c r="TP115" s="21"/>
      <c r="TQ115" s="21"/>
      <c r="TR115" s="21"/>
      <c r="TS115" s="21"/>
      <c r="TT115" s="21"/>
      <c r="TU115" s="21"/>
      <c r="TV115" s="21"/>
      <c r="TW115" s="21"/>
      <c r="TX115" s="21"/>
      <c r="TY115" s="21"/>
      <c r="TZ115" s="21"/>
      <c r="UA115" s="21"/>
      <c r="UB115" s="21"/>
      <c r="UC115" s="21"/>
      <c r="UD115" s="21"/>
      <c r="UE115" s="21"/>
      <c r="UF115" s="21"/>
      <c r="UG115" s="21"/>
      <c r="UH115" s="21"/>
      <c r="UI115" s="21"/>
      <c r="UJ115" s="21"/>
      <c r="UK115" s="21"/>
      <c r="UL115" s="21"/>
      <c r="UM115" s="21"/>
      <c r="UN115" s="21"/>
      <c r="UO115" s="21"/>
      <c r="UP115" s="21"/>
      <c r="UQ115" s="21"/>
      <c r="UR115" s="21"/>
      <c r="US115" s="21"/>
      <c r="UT115" s="21"/>
      <c r="UU115" s="21"/>
      <c r="UV115" s="21"/>
      <c r="UW115" s="21"/>
      <c r="UX115" s="21"/>
      <c r="UY115" s="21"/>
      <c r="UZ115" s="21"/>
      <c r="VA115" s="21"/>
      <c r="VB115" s="21"/>
      <c r="VC115" s="21"/>
      <c r="VD115" s="21"/>
      <c r="VE115" s="21"/>
      <c r="VF115" s="21"/>
      <c r="VG115" s="21"/>
      <c r="VH115" s="21"/>
      <c r="VI115" s="21"/>
      <c r="VJ115" s="21"/>
      <c r="VK115" s="21"/>
      <c r="VL115" s="21"/>
      <c r="VM115" s="21"/>
      <c r="VN115" s="21"/>
      <c r="VO115" s="21"/>
      <c r="VP115" s="21"/>
      <c r="VQ115" s="21"/>
      <c r="VR115" s="21"/>
      <c r="VS115" s="21"/>
      <c r="VT115" s="21"/>
      <c r="VU115" s="21"/>
      <c r="VV115" s="21"/>
      <c r="VW115" s="21"/>
      <c r="VX115" s="21"/>
      <c r="VY115" s="21"/>
      <c r="VZ115" s="21"/>
      <c r="WA115" s="21"/>
      <c r="WB115" s="21"/>
      <c r="WC115" s="21"/>
      <c r="WD115" s="21"/>
      <c r="WE115" s="21"/>
      <c r="WF115" s="21"/>
      <c r="WG115" s="21"/>
      <c r="WH115" s="21"/>
      <c r="WI115" s="21"/>
      <c r="WJ115" s="21"/>
      <c r="WK115" s="21"/>
      <c r="WL115" s="21"/>
      <c r="WM115" s="21"/>
      <c r="WN115" s="21"/>
      <c r="WO115" s="21"/>
      <c r="WP115" s="21"/>
      <c r="WQ115" s="21"/>
      <c r="WR115" s="21"/>
      <c r="WS115" s="21"/>
      <c r="WT115" s="21"/>
      <c r="WU115" s="21"/>
      <c r="WV115" s="21"/>
      <c r="WW115" s="21"/>
      <c r="WX115" s="21"/>
      <c r="WY115" s="21"/>
      <c r="WZ115" s="21"/>
      <c r="XA115" s="21"/>
      <c r="XB115" s="21"/>
      <c r="XC115" s="21"/>
      <c r="XD115" s="21"/>
      <c r="XE115" s="21"/>
      <c r="XF115" s="21"/>
      <c r="XG115" s="21"/>
      <c r="XH115" s="21"/>
      <c r="XI115" s="21"/>
      <c r="XJ115" s="21"/>
      <c r="XK115" s="21"/>
      <c r="XL115" s="21"/>
      <c r="XM115" s="21"/>
      <c r="XN115" s="21"/>
      <c r="XO115" s="21"/>
      <c r="XP115" s="21"/>
      <c r="XQ115" s="21"/>
      <c r="XR115" s="21"/>
      <c r="XS115" s="21"/>
      <c r="XT115" s="21"/>
      <c r="XU115" s="21"/>
      <c r="XV115" s="21"/>
      <c r="XW115" s="21"/>
      <c r="XX115" s="21"/>
      <c r="XY115" s="21"/>
      <c r="XZ115" s="21"/>
      <c r="YA115" s="21"/>
      <c r="YB115" s="21"/>
      <c r="YC115" s="21"/>
      <c r="YD115" s="21"/>
      <c r="YE115" s="21"/>
      <c r="YF115" s="21"/>
      <c r="YG115" s="21"/>
      <c r="YH115" s="21"/>
      <c r="YI115" s="21"/>
      <c r="YJ115" s="21"/>
      <c r="YK115" s="21"/>
      <c r="YL115" s="21"/>
      <c r="YM115" s="21"/>
      <c r="YN115" s="21"/>
      <c r="YO115" s="21"/>
      <c r="YP115" s="21"/>
      <c r="YQ115" s="21"/>
      <c r="YR115" s="21"/>
      <c r="YS115" s="21"/>
      <c r="YT115" s="21"/>
      <c r="YU115" s="21"/>
      <c r="YV115" s="21"/>
      <c r="YW115" s="21"/>
      <c r="YX115" s="21"/>
      <c r="YY115" s="21"/>
      <c r="YZ115" s="21"/>
      <c r="ZA115" s="21"/>
      <c r="ZB115" s="21"/>
      <c r="ZC115" s="21"/>
      <c r="ZD115" s="21"/>
      <c r="ZE115" s="21"/>
      <c r="ZF115" s="21"/>
      <c r="ZG115" s="21"/>
      <c r="ZH115" s="21"/>
      <c r="ZI115" s="21"/>
      <c r="ZJ115" s="21"/>
      <c r="ZK115" s="21"/>
      <c r="ZL115" s="21"/>
      <c r="ZM115" s="21"/>
      <c r="ZN115" s="21"/>
      <c r="ZO115" s="21"/>
      <c r="ZP115" s="21"/>
      <c r="ZQ115" s="21"/>
      <c r="ZR115" s="21"/>
      <c r="ZS115" s="21"/>
      <c r="ZT115" s="21"/>
      <c r="ZU115" s="21"/>
      <c r="ZV115" s="21"/>
      <c r="ZW115" s="21"/>
      <c r="ZX115" s="21"/>
      <c r="ZY115" s="21"/>
      <c r="ZZ115" s="21"/>
      <c r="AAA115" s="21"/>
      <c r="AAB115" s="21"/>
      <c r="AAC115" s="21"/>
      <c r="AAD115" s="21"/>
      <c r="AAE115" s="21"/>
      <c r="AAF115" s="21"/>
      <c r="AAG115" s="21"/>
      <c r="AAH115" s="21"/>
      <c r="AAI115" s="21"/>
      <c r="AAJ115" s="21"/>
      <c r="AAK115" s="21"/>
      <c r="AAL115" s="21"/>
      <c r="AAM115" s="21"/>
      <c r="AAN115" s="21"/>
      <c r="AAO115" s="21"/>
      <c r="AAP115" s="21"/>
      <c r="AAQ115" s="21"/>
      <c r="AAR115" s="21"/>
      <c r="AAS115" s="21"/>
      <c r="AAT115" s="21"/>
      <c r="AAU115" s="21"/>
      <c r="AAV115" s="21"/>
      <c r="AAW115" s="21"/>
      <c r="AAX115" s="21"/>
      <c r="AAY115" s="21"/>
      <c r="AAZ115" s="21"/>
      <c r="ABA115" s="21"/>
      <c r="ABB115" s="21"/>
      <c r="ABC115" s="21"/>
      <c r="ABD115" s="21"/>
      <c r="ABE115" s="21"/>
      <c r="ABF115" s="21"/>
      <c r="ABG115" s="21"/>
      <c r="ABH115" s="21"/>
      <c r="ABI115" s="21"/>
      <c r="ABJ115" s="21"/>
      <c r="ABK115" s="21"/>
      <c r="ABL115" s="21"/>
      <c r="ABM115" s="21"/>
      <c r="ABN115" s="21"/>
      <c r="ABO115" s="21"/>
      <c r="ABP115" s="21"/>
      <c r="ABQ115" s="21"/>
      <c r="ABR115" s="21"/>
      <c r="ABS115" s="21"/>
      <c r="ABT115" s="21"/>
      <c r="ABU115" s="21"/>
      <c r="ABV115" s="21"/>
      <c r="ABW115" s="21"/>
      <c r="ABX115" s="21"/>
      <c r="ABY115" s="21"/>
      <c r="ABZ115" s="21"/>
      <c r="ACA115" s="21"/>
      <c r="ACB115" s="21"/>
      <c r="ACC115" s="21"/>
      <c r="ACD115" s="21"/>
      <c r="ACE115" s="21"/>
      <c r="ACF115" s="21"/>
      <c r="ACG115" s="21"/>
      <c r="ACH115" s="21"/>
      <c r="ACI115" s="21"/>
      <c r="ACJ115" s="21"/>
      <c r="ACK115" s="21"/>
      <c r="ACL115" s="21"/>
      <c r="ACM115" s="21"/>
      <c r="ACN115" s="21"/>
      <c r="ACO115" s="21"/>
      <c r="ACP115" s="21"/>
      <c r="ACQ115" s="21"/>
      <c r="ACR115" s="21"/>
      <c r="ACS115" s="21"/>
      <c r="ACT115" s="21"/>
      <c r="ACU115" s="21"/>
      <c r="ACV115" s="21"/>
      <c r="ACW115" s="21"/>
      <c r="ACX115" s="21"/>
      <c r="ACY115" s="21"/>
      <c r="ACZ115" s="21"/>
      <c r="ADA115" s="21"/>
      <c r="ADB115" s="21"/>
      <c r="ADC115" s="21"/>
      <c r="ADD115" s="21"/>
      <c r="ADE115" s="21"/>
      <c r="ADF115" s="21"/>
      <c r="ADG115" s="21"/>
      <c r="ADH115" s="21"/>
      <c r="ADI115" s="21"/>
      <c r="ADJ115" s="21"/>
      <c r="ADK115" s="21"/>
      <c r="ADL115" s="21"/>
      <c r="ADM115" s="21"/>
      <c r="ADN115" s="21"/>
      <c r="ADO115" s="21"/>
      <c r="ADP115" s="21"/>
      <c r="ADQ115" s="21"/>
      <c r="ADR115" s="21"/>
      <c r="ADS115" s="21"/>
      <c r="ADT115" s="21"/>
      <c r="ADU115" s="21"/>
      <c r="ADV115" s="21"/>
      <c r="ADW115" s="21"/>
      <c r="ADX115" s="21"/>
      <c r="ADY115" s="21"/>
      <c r="ADZ115" s="21"/>
      <c r="AEA115" s="21"/>
      <c r="AEB115" s="21"/>
      <c r="AEC115" s="21"/>
      <c r="AED115" s="21"/>
      <c r="AEE115" s="21"/>
      <c r="AEF115" s="21"/>
      <c r="AEG115" s="21"/>
      <c r="AEH115" s="21"/>
      <c r="AEI115" s="21"/>
      <c r="AEJ115" s="21"/>
      <c r="AEK115" s="21"/>
      <c r="AEL115" s="21"/>
      <c r="AEM115" s="21"/>
      <c r="AEN115" s="21"/>
      <c r="AEO115" s="21"/>
      <c r="AEP115" s="21"/>
      <c r="AEQ115" s="21"/>
      <c r="AER115" s="21"/>
      <c r="AES115" s="21"/>
      <c r="AET115" s="21"/>
      <c r="AEU115" s="21"/>
      <c r="AEV115" s="21"/>
      <c r="AEW115" s="21"/>
      <c r="AEX115" s="21"/>
      <c r="AEY115" s="21"/>
      <c r="AEZ115" s="21"/>
      <c r="AFA115" s="21"/>
      <c r="AFB115" s="21"/>
      <c r="AFC115" s="21"/>
      <c r="AFD115" s="21"/>
      <c r="AFE115" s="21"/>
      <c r="AFF115" s="21"/>
      <c r="AFG115" s="21"/>
      <c r="AFH115" s="21"/>
      <c r="AFI115" s="21"/>
      <c r="AFJ115" s="21"/>
      <c r="AFK115" s="21"/>
      <c r="AFL115" s="21"/>
      <c r="AFM115" s="21"/>
      <c r="AFN115" s="21"/>
      <c r="AFO115" s="21"/>
      <c r="AFP115" s="21"/>
      <c r="AFQ115" s="21"/>
      <c r="AFR115" s="21"/>
      <c r="AFS115" s="21"/>
      <c r="AFT115" s="21"/>
      <c r="AFU115" s="21"/>
      <c r="AFV115" s="21"/>
      <c r="AFW115" s="21"/>
      <c r="AFX115" s="21"/>
      <c r="AFY115" s="21"/>
      <c r="AFZ115" s="21"/>
      <c r="AGA115" s="21"/>
      <c r="AGB115" s="21"/>
      <c r="AGC115" s="21"/>
      <c r="AGD115" s="21"/>
      <c r="AGE115" s="21"/>
      <c r="AGF115" s="21"/>
      <c r="AGG115" s="21"/>
      <c r="AGH115" s="21"/>
      <c r="AGI115" s="21"/>
      <c r="AGJ115" s="21"/>
      <c r="AGK115" s="21"/>
      <c r="AGL115" s="21"/>
      <c r="AGM115" s="21"/>
      <c r="AGN115" s="21"/>
      <c r="AGO115" s="21"/>
      <c r="AGP115" s="21"/>
      <c r="AGQ115" s="21"/>
      <c r="AGR115" s="21"/>
      <c r="AGS115" s="21"/>
    </row>
    <row r="116" spans="1:877" ht="13">
      <c r="A116" s="12"/>
      <c r="B116" s="58" t="s">
        <v>64</v>
      </c>
      <c r="C116" s="59"/>
      <c r="D116" s="59"/>
      <c r="E116" s="59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0"/>
      <c r="BU116" s="60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1"/>
      <c r="JV116" s="21"/>
      <c r="JW116" s="21"/>
      <c r="JX116" s="21"/>
      <c r="JY116" s="21"/>
      <c r="JZ116" s="21"/>
      <c r="KA116" s="21"/>
      <c r="KB116" s="21"/>
      <c r="KC116" s="21"/>
      <c r="KD116" s="21"/>
      <c r="KE116" s="21"/>
      <c r="KF116" s="21"/>
      <c r="KG116" s="21"/>
      <c r="KH116" s="21"/>
      <c r="KI116" s="21"/>
      <c r="KJ116" s="21"/>
      <c r="KK116" s="21"/>
      <c r="KL116" s="21"/>
      <c r="KM116" s="21"/>
      <c r="KN116" s="21"/>
      <c r="KO116" s="21"/>
      <c r="KP116" s="21"/>
      <c r="KQ116" s="21"/>
      <c r="KR116" s="21"/>
      <c r="KS116" s="21"/>
      <c r="KT116" s="21"/>
      <c r="KU116" s="21"/>
      <c r="KV116" s="21"/>
      <c r="KW116" s="21"/>
      <c r="KX116" s="21"/>
      <c r="KY116" s="21"/>
      <c r="KZ116" s="21"/>
      <c r="LA116" s="21"/>
      <c r="LB116" s="21"/>
      <c r="LC116" s="21"/>
      <c r="LD116" s="21"/>
      <c r="LE116" s="21"/>
      <c r="LF116" s="21"/>
      <c r="LG116" s="21"/>
      <c r="LH116" s="21"/>
      <c r="LI116" s="21"/>
      <c r="LJ116" s="21"/>
      <c r="LK116" s="21"/>
      <c r="LL116" s="21"/>
      <c r="LM116" s="21"/>
      <c r="LN116" s="21"/>
      <c r="LO116" s="21"/>
      <c r="LP116" s="21"/>
      <c r="LQ116" s="21"/>
      <c r="LR116" s="21"/>
      <c r="LS116" s="21"/>
      <c r="LT116" s="21"/>
      <c r="LU116" s="21"/>
      <c r="LV116" s="21"/>
      <c r="LW116" s="21"/>
      <c r="LX116" s="21"/>
      <c r="LY116" s="21"/>
      <c r="LZ116" s="21"/>
      <c r="MA116" s="21"/>
      <c r="MB116" s="21"/>
      <c r="MC116" s="21"/>
      <c r="MD116" s="21"/>
      <c r="ME116" s="21"/>
      <c r="MF116" s="21"/>
      <c r="MG116" s="21"/>
      <c r="MH116" s="21"/>
      <c r="MI116" s="21"/>
      <c r="MJ116" s="21"/>
      <c r="MK116" s="21"/>
      <c r="ML116" s="21"/>
      <c r="MM116" s="21"/>
      <c r="MN116" s="21"/>
      <c r="MO116" s="21"/>
      <c r="MP116" s="21"/>
      <c r="MQ116" s="21"/>
      <c r="MR116" s="21"/>
      <c r="MS116" s="21"/>
      <c r="MT116" s="21"/>
      <c r="MU116" s="21"/>
      <c r="MV116" s="21"/>
      <c r="MW116" s="21"/>
      <c r="MX116" s="21"/>
      <c r="MY116" s="21"/>
      <c r="MZ116" s="21"/>
      <c r="NA116" s="21"/>
      <c r="NB116" s="21"/>
      <c r="NC116" s="21"/>
      <c r="ND116" s="21"/>
      <c r="NE116" s="21"/>
      <c r="NF116" s="21"/>
      <c r="NG116" s="21"/>
      <c r="NH116" s="21"/>
      <c r="NI116" s="21"/>
      <c r="NJ116" s="21"/>
      <c r="NK116" s="21"/>
      <c r="NL116" s="21"/>
      <c r="NM116" s="21"/>
      <c r="NN116" s="21"/>
      <c r="NO116" s="21"/>
      <c r="NP116" s="21"/>
      <c r="NQ116" s="21"/>
      <c r="NR116" s="21"/>
      <c r="NS116" s="21"/>
      <c r="NT116" s="21"/>
      <c r="NU116" s="21"/>
      <c r="NV116" s="21"/>
      <c r="NW116" s="21"/>
      <c r="NX116" s="21"/>
      <c r="NY116" s="21"/>
      <c r="NZ116" s="21"/>
      <c r="OA116" s="21"/>
      <c r="OB116" s="21"/>
      <c r="OC116" s="21"/>
      <c r="OD116" s="21"/>
      <c r="OE116" s="21"/>
      <c r="OF116" s="21"/>
      <c r="OG116" s="21"/>
      <c r="OH116" s="21"/>
      <c r="OI116" s="21"/>
      <c r="OJ116" s="21"/>
      <c r="OK116" s="21"/>
      <c r="OL116" s="21"/>
      <c r="OM116" s="21"/>
      <c r="ON116" s="21"/>
      <c r="OO116" s="21"/>
      <c r="OP116" s="21"/>
      <c r="OQ116" s="21"/>
      <c r="OR116" s="21"/>
      <c r="OS116" s="21"/>
      <c r="OT116" s="21"/>
      <c r="OU116" s="21"/>
      <c r="OV116" s="21"/>
      <c r="OW116" s="21"/>
      <c r="OX116" s="21"/>
      <c r="OY116" s="21"/>
      <c r="OZ116" s="21"/>
      <c r="PA116" s="21"/>
      <c r="PB116" s="21"/>
      <c r="PC116" s="21"/>
      <c r="PD116" s="21"/>
      <c r="PE116" s="21"/>
      <c r="PF116" s="21"/>
      <c r="PG116" s="21"/>
      <c r="PH116" s="21"/>
      <c r="PI116" s="21"/>
      <c r="PJ116" s="21"/>
      <c r="PK116" s="21"/>
      <c r="PL116" s="21"/>
      <c r="PM116" s="21"/>
      <c r="PN116" s="21"/>
      <c r="PO116" s="21"/>
      <c r="PP116" s="21"/>
      <c r="PQ116" s="21"/>
      <c r="PR116" s="21"/>
      <c r="PS116" s="21"/>
      <c r="PT116" s="21"/>
      <c r="PU116" s="21"/>
      <c r="PV116" s="21"/>
      <c r="PW116" s="21"/>
      <c r="PX116" s="21"/>
      <c r="PY116" s="21"/>
      <c r="PZ116" s="21"/>
      <c r="QA116" s="21"/>
      <c r="QB116" s="21"/>
      <c r="QC116" s="21"/>
      <c r="QD116" s="21"/>
      <c r="QE116" s="21"/>
      <c r="QF116" s="21"/>
      <c r="QG116" s="21"/>
      <c r="QH116" s="21"/>
      <c r="QI116" s="21"/>
      <c r="QJ116" s="21"/>
      <c r="QK116" s="21"/>
      <c r="QL116" s="21"/>
      <c r="QM116" s="21"/>
      <c r="QN116" s="21"/>
      <c r="QO116" s="21"/>
      <c r="QP116" s="21"/>
      <c r="QQ116" s="21"/>
      <c r="QR116" s="21"/>
      <c r="QS116" s="21"/>
      <c r="QT116" s="21"/>
      <c r="QU116" s="21"/>
      <c r="QV116" s="21"/>
      <c r="QW116" s="21"/>
      <c r="QX116" s="21"/>
      <c r="QY116" s="21"/>
      <c r="QZ116" s="21"/>
      <c r="RA116" s="21"/>
      <c r="RB116" s="21"/>
      <c r="RC116" s="21"/>
      <c r="RD116" s="21"/>
      <c r="RE116" s="21"/>
      <c r="RF116" s="21"/>
      <c r="RG116" s="21"/>
      <c r="RH116" s="21"/>
      <c r="RI116" s="21"/>
      <c r="RJ116" s="21"/>
      <c r="RK116" s="21"/>
      <c r="RL116" s="21"/>
      <c r="RM116" s="21"/>
      <c r="RN116" s="21"/>
      <c r="RO116" s="21"/>
      <c r="RP116" s="21"/>
      <c r="RQ116" s="21"/>
      <c r="RR116" s="21"/>
      <c r="RS116" s="21"/>
      <c r="RT116" s="21"/>
      <c r="RU116" s="21"/>
      <c r="RV116" s="21"/>
      <c r="RW116" s="21"/>
      <c r="RX116" s="21"/>
      <c r="RY116" s="21"/>
      <c r="RZ116" s="21"/>
      <c r="SA116" s="21"/>
      <c r="SB116" s="21"/>
      <c r="SC116" s="21"/>
      <c r="SD116" s="21"/>
      <c r="SE116" s="21"/>
      <c r="SF116" s="21"/>
      <c r="SG116" s="21"/>
      <c r="SH116" s="21"/>
      <c r="SI116" s="21"/>
      <c r="SJ116" s="21"/>
      <c r="SK116" s="21"/>
      <c r="SL116" s="21"/>
      <c r="SM116" s="21"/>
      <c r="SN116" s="21"/>
      <c r="SO116" s="21"/>
      <c r="SP116" s="21"/>
      <c r="SQ116" s="21"/>
      <c r="SR116" s="21"/>
      <c r="SS116" s="21"/>
      <c r="ST116" s="21"/>
      <c r="SU116" s="21"/>
      <c r="SV116" s="21"/>
      <c r="SW116" s="21"/>
      <c r="SX116" s="21"/>
      <c r="SY116" s="21"/>
      <c r="SZ116" s="21"/>
      <c r="TA116" s="21"/>
      <c r="TB116" s="21"/>
      <c r="TC116" s="21"/>
      <c r="TD116" s="21"/>
      <c r="TE116" s="21"/>
      <c r="TF116" s="21"/>
      <c r="TG116" s="21"/>
      <c r="TH116" s="21"/>
      <c r="TI116" s="21"/>
      <c r="TJ116" s="21"/>
      <c r="TK116" s="21"/>
      <c r="TL116" s="21"/>
      <c r="TM116" s="21"/>
      <c r="TN116" s="21"/>
      <c r="TO116" s="21"/>
      <c r="TP116" s="21"/>
      <c r="TQ116" s="21"/>
      <c r="TR116" s="21"/>
      <c r="TS116" s="21"/>
      <c r="TT116" s="21"/>
      <c r="TU116" s="21"/>
      <c r="TV116" s="21"/>
      <c r="TW116" s="21"/>
      <c r="TX116" s="21"/>
      <c r="TY116" s="21"/>
      <c r="TZ116" s="21"/>
      <c r="UA116" s="21"/>
      <c r="UB116" s="21"/>
      <c r="UC116" s="21"/>
      <c r="UD116" s="21"/>
      <c r="UE116" s="21"/>
      <c r="UF116" s="21"/>
      <c r="UG116" s="21"/>
      <c r="UH116" s="21"/>
      <c r="UI116" s="21"/>
      <c r="UJ116" s="21"/>
      <c r="UK116" s="21"/>
      <c r="UL116" s="21"/>
      <c r="UM116" s="21"/>
      <c r="UN116" s="21"/>
      <c r="UO116" s="21"/>
      <c r="UP116" s="21"/>
      <c r="UQ116" s="21"/>
      <c r="UR116" s="21"/>
      <c r="US116" s="21"/>
      <c r="UT116" s="21"/>
      <c r="UU116" s="21"/>
      <c r="UV116" s="21"/>
      <c r="UW116" s="21"/>
      <c r="UX116" s="21"/>
      <c r="UY116" s="21"/>
      <c r="UZ116" s="21"/>
      <c r="VA116" s="21"/>
      <c r="VB116" s="21"/>
      <c r="VC116" s="21"/>
      <c r="VD116" s="21"/>
      <c r="VE116" s="21"/>
      <c r="VF116" s="21"/>
      <c r="VG116" s="21"/>
      <c r="VH116" s="21"/>
      <c r="VI116" s="21"/>
      <c r="VJ116" s="21"/>
      <c r="VK116" s="21"/>
      <c r="VL116" s="21"/>
      <c r="VM116" s="21"/>
      <c r="VN116" s="21"/>
      <c r="VO116" s="21"/>
      <c r="VP116" s="21"/>
      <c r="VQ116" s="21"/>
      <c r="VR116" s="21"/>
      <c r="VS116" s="21"/>
      <c r="VT116" s="21"/>
      <c r="VU116" s="21"/>
      <c r="VV116" s="21"/>
      <c r="VW116" s="21"/>
      <c r="VX116" s="21"/>
      <c r="VY116" s="21"/>
      <c r="VZ116" s="21"/>
      <c r="WA116" s="21"/>
      <c r="WB116" s="21"/>
      <c r="WC116" s="21"/>
      <c r="WD116" s="21"/>
      <c r="WE116" s="21"/>
      <c r="WF116" s="21"/>
      <c r="WG116" s="21"/>
      <c r="WH116" s="21"/>
      <c r="WI116" s="21"/>
      <c r="WJ116" s="21"/>
      <c r="WK116" s="21"/>
      <c r="WL116" s="21"/>
      <c r="WM116" s="21"/>
      <c r="WN116" s="21"/>
      <c r="WO116" s="21"/>
      <c r="WP116" s="21"/>
      <c r="WQ116" s="21"/>
      <c r="WR116" s="21"/>
      <c r="WS116" s="21"/>
      <c r="WT116" s="21"/>
      <c r="WU116" s="21"/>
      <c r="WV116" s="21"/>
      <c r="WW116" s="21"/>
      <c r="WX116" s="21"/>
      <c r="WY116" s="21"/>
      <c r="WZ116" s="21"/>
      <c r="XA116" s="21"/>
      <c r="XB116" s="21"/>
      <c r="XC116" s="21"/>
      <c r="XD116" s="21"/>
      <c r="XE116" s="21"/>
      <c r="XF116" s="21"/>
      <c r="XG116" s="21"/>
      <c r="XH116" s="21"/>
      <c r="XI116" s="21"/>
      <c r="XJ116" s="21"/>
      <c r="XK116" s="21"/>
      <c r="XL116" s="21"/>
      <c r="XM116" s="21"/>
      <c r="XN116" s="21"/>
      <c r="XO116" s="21"/>
      <c r="XP116" s="21"/>
      <c r="XQ116" s="21"/>
      <c r="XR116" s="21"/>
      <c r="XS116" s="21"/>
      <c r="XT116" s="21"/>
      <c r="XU116" s="21"/>
      <c r="XV116" s="21"/>
      <c r="XW116" s="21"/>
      <c r="XX116" s="21"/>
      <c r="XY116" s="21"/>
      <c r="XZ116" s="21"/>
      <c r="YA116" s="21"/>
      <c r="YB116" s="21"/>
      <c r="YC116" s="21"/>
      <c r="YD116" s="21"/>
      <c r="YE116" s="21"/>
      <c r="YF116" s="21"/>
      <c r="YG116" s="21"/>
      <c r="YH116" s="21"/>
      <c r="YI116" s="21"/>
      <c r="YJ116" s="21"/>
      <c r="YK116" s="21"/>
      <c r="YL116" s="21"/>
      <c r="YM116" s="21"/>
      <c r="YN116" s="21"/>
      <c r="YO116" s="21"/>
      <c r="YP116" s="21"/>
      <c r="YQ116" s="21"/>
      <c r="YR116" s="21"/>
      <c r="YS116" s="21"/>
      <c r="YT116" s="21"/>
      <c r="YU116" s="21"/>
      <c r="YV116" s="21"/>
      <c r="YW116" s="21"/>
      <c r="YX116" s="21"/>
      <c r="YY116" s="21"/>
      <c r="YZ116" s="21"/>
      <c r="ZA116" s="21"/>
      <c r="ZB116" s="21"/>
      <c r="ZC116" s="21"/>
      <c r="ZD116" s="21"/>
      <c r="ZE116" s="21"/>
      <c r="ZF116" s="21"/>
      <c r="ZG116" s="21"/>
      <c r="ZH116" s="21"/>
      <c r="ZI116" s="21"/>
      <c r="ZJ116" s="21"/>
      <c r="ZK116" s="21"/>
      <c r="ZL116" s="21"/>
      <c r="ZM116" s="21"/>
      <c r="ZN116" s="21"/>
      <c r="ZO116" s="21"/>
      <c r="ZP116" s="21"/>
      <c r="ZQ116" s="21"/>
      <c r="ZR116" s="21"/>
      <c r="ZS116" s="21"/>
      <c r="ZT116" s="21"/>
      <c r="ZU116" s="21"/>
      <c r="ZV116" s="21"/>
      <c r="ZW116" s="21"/>
      <c r="ZX116" s="21"/>
      <c r="ZY116" s="21"/>
      <c r="ZZ116" s="21"/>
      <c r="AAA116" s="21"/>
      <c r="AAB116" s="21"/>
      <c r="AAC116" s="21"/>
      <c r="AAD116" s="21"/>
      <c r="AAE116" s="21"/>
      <c r="AAF116" s="21"/>
      <c r="AAG116" s="21"/>
      <c r="AAH116" s="21"/>
      <c r="AAI116" s="21"/>
      <c r="AAJ116" s="21"/>
      <c r="AAK116" s="21"/>
      <c r="AAL116" s="21"/>
      <c r="AAM116" s="21"/>
      <c r="AAN116" s="21"/>
      <c r="AAO116" s="21"/>
      <c r="AAP116" s="21"/>
      <c r="AAQ116" s="21"/>
      <c r="AAR116" s="21"/>
      <c r="AAS116" s="21"/>
      <c r="AAT116" s="21"/>
      <c r="AAU116" s="21"/>
      <c r="AAV116" s="21"/>
      <c r="AAW116" s="21"/>
      <c r="AAX116" s="21"/>
      <c r="AAY116" s="21"/>
      <c r="AAZ116" s="21"/>
      <c r="ABA116" s="21"/>
      <c r="ABB116" s="21"/>
      <c r="ABC116" s="21"/>
      <c r="ABD116" s="21"/>
      <c r="ABE116" s="21"/>
      <c r="ABF116" s="21"/>
      <c r="ABG116" s="21"/>
      <c r="ABH116" s="21"/>
      <c r="ABI116" s="21"/>
      <c r="ABJ116" s="21"/>
      <c r="ABK116" s="21"/>
      <c r="ABL116" s="21"/>
      <c r="ABM116" s="21"/>
      <c r="ABN116" s="21"/>
      <c r="ABO116" s="21"/>
      <c r="ABP116" s="21"/>
      <c r="ABQ116" s="21"/>
      <c r="ABR116" s="21"/>
      <c r="ABS116" s="21"/>
      <c r="ABT116" s="21"/>
      <c r="ABU116" s="21"/>
      <c r="ABV116" s="21"/>
      <c r="ABW116" s="21"/>
      <c r="ABX116" s="21"/>
      <c r="ABY116" s="21"/>
      <c r="ABZ116" s="21"/>
      <c r="ACA116" s="21"/>
      <c r="ACB116" s="21"/>
      <c r="ACC116" s="21"/>
      <c r="ACD116" s="21"/>
      <c r="ACE116" s="21"/>
      <c r="ACF116" s="21"/>
      <c r="ACG116" s="21"/>
      <c r="ACH116" s="21"/>
      <c r="ACI116" s="21"/>
      <c r="ACJ116" s="21"/>
      <c r="ACK116" s="21"/>
      <c r="ACL116" s="21"/>
      <c r="ACM116" s="21"/>
      <c r="ACN116" s="21"/>
      <c r="ACO116" s="21"/>
      <c r="ACP116" s="21"/>
      <c r="ACQ116" s="21"/>
      <c r="ACR116" s="21"/>
      <c r="ACS116" s="21"/>
      <c r="ACT116" s="21"/>
      <c r="ACU116" s="21"/>
      <c r="ACV116" s="21"/>
      <c r="ACW116" s="21"/>
      <c r="ACX116" s="21"/>
      <c r="ACY116" s="21"/>
      <c r="ACZ116" s="21"/>
      <c r="ADA116" s="21"/>
      <c r="ADB116" s="21"/>
      <c r="ADC116" s="21"/>
      <c r="ADD116" s="21"/>
      <c r="ADE116" s="21"/>
      <c r="ADF116" s="21"/>
      <c r="ADG116" s="21"/>
      <c r="ADH116" s="21"/>
      <c r="ADI116" s="21"/>
      <c r="ADJ116" s="21"/>
      <c r="ADK116" s="21"/>
      <c r="ADL116" s="21"/>
      <c r="ADM116" s="21"/>
      <c r="ADN116" s="21"/>
      <c r="ADO116" s="21"/>
      <c r="ADP116" s="21"/>
      <c r="ADQ116" s="21"/>
      <c r="ADR116" s="21"/>
      <c r="ADS116" s="21"/>
      <c r="ADT116" s="21"/>
      <c r="ADU116" s="21"/>
      <c r="ADV116" s="21"/>
      <c r="ADW116" s="21"/>
      <c r="ADX116" s="21"/>
      <c r="ADY116" s="21"/>
      <c r="ADZ116" s="21"/>
      <c r="AEA116" s="21"/>
      <c r="AEB116" s="21"/>
      <c r="AEC116" s="21"/>
      <c r="AED116" s="21"/>
      <c r="AEE116" s="21"/>
      <c r="AEF116" s="21"/>
      <c r="AEG116" s="21"/>
      <c r="AEH116" s="21"/>
      <c r="AEI116" s="21"/>
      <c r="AEJ116" s="21"/>
      <c r="AEK116" s="21"/>
      <c r="AEL116" s="21"/>
      <c r="AEM116" s="21"/>
      <c r="AEN116" s="21"/>
      <c r="AEO116" s="21"/>
      <c r="AEP116" s="21"/>
      <c r="AEQ116" s="21"/>
      <c r="AER116" s="21"/>
      <c r="AES116" s="21"/>
      <c r="AET116" s="21"/>
      <c r="AEU116" s="21"/>
      <c r="AEV116" s="21"/>
      <c r="AEW116" s="21"/>
      <c r="AEX116" s="21"/>
      <c r="AEY116" s="21"/>
      <c r="AEZ116" s="21"/>
      <c r="AFA116" s="21"/>
      <c r="AFB116" s="21"/>
      <c r="AFC116" s="21"/>
      <c r="AFD116" s="21"/>
      <c r="AFE116" s="21"/>
      <c r="AFF116" s="21"/>
      <c r="AFG116" s="21"/>
      <c r="AFH116" s="21"/>
      <c r="AFI116" s="21"/>
      <c r="AFJ116" s="21"/>
      <c r="AFK116" s="21"/>
      <c r="AFL116" s="21"/>
      <c r="AFM116" s="21"/>
      <c r="AFN116" s="21"/>
      <c r="AFO116" s="21"/>
      <c r="AFP116" s="21"/>
      <c r="AFQ116" s="21"/>
      <c r="AFR116" s="21"/>
      <c r="AFS116" s="21"/>
      <c r="AFT116" s="21"/>
      <c r="AFU116" s="21"/>
      <c r="AFV116" s="21"/>
      <c r="AFW116" s="21"/>
      <c r="AFX116" s="21"/>
      <c r="AFY116" s="21"/>
      <c r="AFZ116" s="21"/>
      <c r="AGA116" s="21"/>
      <c r="AGB116" s="21"/>
      <c r="AGC116" s="21"/>
      <c r="AGD116" s="21"/>
      <c r="AGE116" s="21"/>
      <c r="AGF116" s="21"/>
      <c r="AGG116" s="21"/>
      <c r="AGH116" s="21"/>
      <c r="AGI116" s="21"/>
      <c r="AGJ116" s="21"/>
      <c r="AGK116" s="21"/>
      <c r="AGL116" s="21"/>
      <c r="AGM116" s="21"/>
      <c r="AGN116" s="21"/>
      <c r="AGO116" s="21"/>
      <c r="AGP116" s="21"/>
      <c r="AGQ116" s="21"/>
      <c r="AGR116" s="21"/>
      <c r="AGS116" s="21"/>
    </row>
    <row r="117" spans="1:877" ht="13">
      <c r="A117" s="12"/>
      <c r="B117" s="12"/>
      <c r="C117" s="12"/>
      <c r="D117" s="12"/>
      <c r="E117" s="12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55"/>
      <c r="BJ117" s="55"/>
      <c r="BK117" s="55"/>
      <c r="BL117" s="55"/>
      <c r="BM117" s="55"/>
      <c r="BN117" s="55"/>
      <c r="BO117" s="55"/>
      <c r="BP117" s="55"/>
      <c r="BQ117" s="55"/>
      <c r="BR117" s="55"/>
      <c r="BS117" s="55"/>
      <c r="BT117" s="55"/>
      <c r="BU117" s="55"/>
      <c r="BV117" s="55"/>
      <c r="BW117" s="55"/>
      <c r="BX117" s="55"/>
      <c r="BY117" s="55"/>
      <c r="BZ117" s="55"/>
      <c r="CA117" s="55"/>
      <c r="CB117" s="55"/>
      <c r="CC117" s="55"/>
      <c r="CD117" s="55"/>
      <c r="CE117" s="55"/>
      <c r="CF117" s="55"/>
      <c r="CG117" s="55"/>
      <c r="CH117" s="55"/>
      <c r="CI117" s="55"/>
      <c r="CJ117" s="55"/>
      <c r="CK117" s="55"/>
      <c r="CL117" s="55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K117" s="21"/>
      <c r="JL117" s="21"/>
      <c r="JM117" s="21"/>
      <c r="JN117" s="21"/>
      <c r="JO117" s="21"/>
      <c r="JP117" s="21"/>
      <c r="JQ117" s="21"/>
      <c r="JR117" s="21"/>
      <c r="JS117" s="21"/>
      <c r="JT117" s="21"/>
      <c r="JU117" s="21"/>
      <c r="JV117" s="21"/>
      <c r="JW117" s="21"/>
      <c r="JX117" s="21"/>
      <c r="JY117" s="21"/>
      <c r="JZ117" s="21"/>
      <c r="KA117" s="21"/>
      <c r="KB117" s="21"/>
      <c r="KC117" s="21"/>
      <c r="KD117" s="21"/>
      <c r="KE117" s="21"/>
      <c r="KF117" s="21"/>
      <c r="KG117" s="21"/>
      <c r="KH117" s="21"/>
      <c r="KI117" s="21"/>
      <c r="KJ117" s="21"/>
      <c r="KK117" s="21"/>
      <c r="KL117" s="21"/>
      <c r="KM117" s="21"/>
      <c r="KN117" s="21"/>
      <c r="KO117" s="21"/>
      <c r="KP117" s="21"/>
      <c r="KQ117" s="21"/>
      <c r="KR117" s="21"/>
      <c r="KS117" s="21"/>
      <c r="KT117" s="21"/>
      <c r="KU117" s="21"/>
      <c r="KV117" s="21"/>
      <c r="KW117" s="21"/>
      <c r="KX117" s="21"/>
      <c r="KY117" s="21"/>
      <c r="KZ117" s="21"/>
      <c r="LA117" s="21"/>
      <c r="LB117" s="21"/>
      <c r="LC117" s="21"/>
      <c r="LD117" s="21"/>
      <c r="LE117" s="21"/>
      <c r="LF117" s="21"/>
      <c r="LG117" s="21"/>
      <c r="LH117" s="21"/>
      <c r="LI117" s="21"/>
      <c r="LJ117" s="21"/>
      <c r="LK117" s="21"/>
      <c r="LL117" s="21"/>
      <c r="LM117" s="21"/>
      <c r="LN117" s="21"/>
      <c r="LO117" s="21"/>
      <c r="LP117" s="21"/>
      <c r="LQ117" s="21"/>
      <c r="LR117" s="21"/>
      <c r="LS117" s="21"/>
      <c r="LT117" s="21"/>
      <c r="LU117" s="21"/>
      <c r="LV117" s="21"/>
      <c r="LW117" s="21"/>
      <c r="LX117" s="21"/>
      <c r="LY117" s="21"/>
      <c r="LZ117" s="21"/>
      <c r="MA117" s="21"/>
      <c r="MB117" s="21"/>
      <c r="MC117" s="21"/>
      <c r="MD117" s="21"/>
      <c r="ME117" s="21"/>
      <c r="MF117" s="21"/>
      <c r="MG117" s="21"/>
      <c r="MH117" s="21"/>
      <c r="MI117" s="21"/>
      <c r="MJ117" s="21"/>
      <c r="MK117" s="21"/>
      <c r="ML117" s="21"/>
      <c r="MM117" s="21"/>
      <c r="MN117" s="21"/>
      <c r="MO117" s="21"/>
      <c r="MP117" s="21"/>
      <c r="MQ117" s="21"/>
      <c r="MR117" s="21"/>
      <c r="MS117" s="21"/>
      <c r="MT117" s="21"/>
      <c r="MU117" s="21"/>
      <c r="MV117" s="21"/>
      <c r="MW117" s="21"/>
      <c r="MX117" s="21"/>
      <c r="MY117" s="21"/>
      <c r="MZ117" s="21"/>
      <c r="NA117" s="21"/>
      <c r="NB117" s="21"/>
      <c r="NC117" s="21"/>
      <c r="ND117" s="21"/>
      <c r="NE117" s="21"/>
      <c r="NF117" s="21"/>
      <c r="NG117" s="21"/>
      <c r="NH117" s="21"/>
      <c r="NI117" s="21"/>
      <c r="NJ117" s="21"/>
      <c r="NK117" s="21"/>
      <c r="NL117" s="21"/>
      <c r="NM117" s="21"/>
      <c r="NN117" s="21"/>
      <c r="NO117" s="21"/>
      <c r="NP117" s="21"/>
      <c r="NQ117" s="21"/>
      <c r="NR117" s="21"/>
      <c r="NS117" s="21"/>
      <c r="NT117" s="21"/>
      <c r="NU117" s="21"/>
      <c r="NV117" s="21"/>
      <c r="NW117" s="21"/>
      <c r="NX117" s="21"/>
      <c r="NY117" s="21"/>
      <c r="NZ117" s="21"/>
      <c r="OA117" s="21"/>
      <c r="OB117" s="21"/>
      <c r="OC117" s="21"/>
      <c r="OD117" s="21"/>
      <c r="OE117" s="21"/>
      <c r="OF117" s="21"/>
      <c r="OG117" s="21"/>
      <c r="OH117" s="21"/>
      <c r="OI117" s="21"/>
      <c r="OJ117" s="21"/>
      <c r="OK117" s="21"/>
      <c r="OL117" s="21"/>
      <c r="OM117" s="21"/>
      <c r="ON117" s="21"/>
      <c r="OO117" s="21"/>
      <c r="OP117" s="21"/>
      <c r="OQ117" s="21"/>
      <c r="OR117" s="21"/>
      <c r="OS117" s="21"/>
      <c r="OT117" s="21"/>
      <c r="OU117" s="21"/>
      <c r="OV117" s="21"/>
      <c r="OW117" s="21"/>
      <c r="OX117" s="21"/>
      <c r="OY117" s="21"/>
      <c r="OZ117" s="21"/>
      <c r="PA117" s="21"/>
      <c r="PB117" s="21"/>
      <c r="PC117" s="21"/>
      <c r="PD117" s="21"/>
      <c r="PE117" s="21"/>
      <c r="PF117" s="21"/>
      <c r="PG117" s="21"/>
      <c r="PH117" s="21"/>
      <c r="PI117" s="21"/>
      <c r="PJ117" s="21"/>
      <c r="PK117" s="21"/>
      <c r="PL117" s="21"/>
      <c r="PM117" s="21"/>
      <c r="PN117" s="21"/>
      <c r="PO117" s="21"/>
      <c r="PP117" s="21"/>
      <c r="PQ117" s="21"/>
      <c r="PR117" s="21"/>
      <c r="PS117" s="21"/>
      <c r="PT117" s="21"/>
      <c r="PU117" s="21"/>
      <c r="PV117" s="21"/>
      <c r="PW117" s="21"/>
      <c r="PX117" s="21"/>
      <c r="PY117" s="21"/>
      <c r="PZ117" s="21"/>
      <c r="QA117" s="21"/>
      <c r="QB117" s="21"/>
      <c r="QC117" s="21"/>
      <c r="QD117" s="21"/>
      <c r="QE117" s="21"/>
      <c r="QF117" s="21"/>
      <c r="QG117" s="21"/>
      <c r="QH117" s="21"/>
      <c r="QI117" s="21"/>
      <c r="QJ117" s="21"/>
      <c r="QK117" s="21"/>
      <c r="QL117" s="21"/>
      <c r="QM117" s="21"/>
      <c r="QN117" s="21"/>
      <c r="QO117" s="21"/>
      <c r="QP117" s="21"/>
      <c r="QQ117" s="21"/>
      <c r="QR117" s="21"/>
      <c r="QS117" s="21"/>
      <c r="QT117" s="21"/>
      <c r="QU117" s="21"/>
      <c r="QV117" s="21"/>
      <c r="QW117" s="21"/>
      <c r="QX117" s="21"/>
      <c r="QY117" s="21"/>
      <c r="QZ117" s="21"/>
      <c r="RA117" s="21"/>
      <c r="RB117" s="21"/>
      <c r="RC117" s="21"/>
      <c r="RD117" s="21"/>
      <c r="RE117" s="21"/>
      <c r="RF117" s="21"/>
      <c r="RG117" s="21"/>
      <c r="RH117" s="21"/>
      <c r="RI117" s="21"/>
      <c r="RJ117" s="21"/>
      <c r="RK117" s="21"/>
      <c r="RL117" s="21"/>
      <c r="RM117" s="21"/>
      <c r="RN117" s="21"/>
      <c r="RO117" s="21"/>
      <c r="RP117" s="21"/>
      <c r="RQ117" s="21"/>
      <c r="RR117" s="21"/>
      <c r="RS117" s="21"/>
      <c r="RT117" s="21"/>
      <c r="RU117" s="21"/>
      <c r="RV117" s="21"/>
      <c r="RW117" s="21"/>
      <c r="RX117" s="21"/>
      <c r="RY117" s="21"/>
      <c r="RZ117" s="21"/>
      <c r="SA117" s="21"/>
      <c r="SB117" s="21"/>
      <c r="SC117" s="21"/>
      <c r="SD117" s="21"/>
      <c r="SE117" s="21"/>
      <c r="SF117" s="21"/>
      <c r="SG117" s="21"/>
      <c r="SH117" s="21"/>
      <c r="SI117" s="21"/>
      <c r="SJ117" s="21"/>
      <c r="SK117" s="21"/>
      <c r="SL117" s="21"/>
      <c r="SM117" s="21"/>
      <c r="SN117" s="21"/>
      <c r="SO117" s="21"/>
      <c r="SP117" s="21"/>
      <c r="SQ117" s="21"/>
      <c r="SR117" s="21"/>
      <c r="SS117" s="21"/>
      <c r="ST117" s="21"/>
      <c r="SU117" s="21"/>
      <c r="SV117" s="21"/>
      <c r="SW117" s="21"/>
      <c r="SX117" s="21"/>
      <c r="SY117" s="21"/>
      <c r="SZ117" s="21"/>
      <c r="TA117" s="21"/>
      <c r="TB117" s="21"/>
      <c r="TC117" s="21"/>
      <c r="TD117" s="21"/>
      <c r="TE117" s="21"/>
      <c r="TF117" s="21"/>
      <c r="TG117" s="21"/>
      <c r="TH117" s="21"/>
      <c r="TI117" s="21"/>
      <c r="TJ117" s="21"/>
      <c r="TK117" s="21"/>
      <c r="TL117" s="21"/>
      <c r="TM117" s="21"/>
      <c r="TN117" s="21"/>
      <c r="TO117" s="21"/>
      <c r="TP117" s="21"/>
      <c r="TQ117" s="21"/>
      <c r="TR117" s="21"/>
      <c r="TS117" s="21"/>
      <c r="TT117" s="21"/>
      <c r="TU117" s="21"/>
      <c r="TV117" s="21"/>
      <c r="TW117" s="21"/>
      <c r="TX117" s="21"/>
      <c r="TY117" s="21"/>
      <c r="TZ117" s="21"/>
      <c r="UA117" s="21"/>
      <c r="UB117" s="21"/>
      <c r="UC117" s="21"/>
      <c r="UD117" s="21"/>
      <c r="UE117" s="21"/>
      <c r="UF117" s="21"/>
      <c r="UG117" s="21"/>
      <c r="UH117" s="21"/>
      <c r="UI117" s="21"/>
      <c r="UJ117" s="21"/>
      <c r="UK117" s="21"/>
      <c r="UL117" s="21"/>
      <c r="UM117" s="21"/>
      <c r="UN117" s="21"/>
      <c r="UO117" s="21"/>
      <c r="UP117" s="21"/>
      <c r="UQ117" s="21"/>
      <c r="UR117" s="21"/>
      <c r="US117" s="21"/>
      <c r="UT117" s="21"/>
      <c r="UU117" s="21"/>
      <c r="UV117" s="21"/>
      <c r="UW117" s="21"/>
      <c r="UX117" s="21"/>
      <c r="UY117" s="21"/>
      <c r="UZ117" s="21"/>
      <c r="VA117" s="21"/>
      <c r="VB117" s="21"/>
      <c r="VC117" s="21"/>
      <c r="VD117" s="21"/>
      <c r="VE117" s="21"/>
      <c r="VF117" s="21"/>
      <c r="VG117" s="21"/>
      <c r="VH117" s="21"/>
      <c r="VI117" s="21"/>
      <c r="VJ117" s="21"/>
      <c r="VK117" s="21"/>
      <c r="VL117" s="21"/>
      <c r="VM117" s="21"/>
      <c r="VN117" s="21"/>
      <c r="VO117" s="21"/>
      <c r="VP117" s="21"/>
      <c r="VQ117" s="21"/>
      <c r="VR117" s="21"/>
      <c r="VS117" s="21"/>
      <c r="VT117" s="21"/>
      <c r="VU117" s="21"/>
      <c r="VV117" s="21"/>
      <c r="VW117" s="21"/>
      <c r="VX117" s="21"/>
      <c r="VY117" s="21"/>
      <c r="VZ117" s="21"/>
      <c r="WA117" s="21"/>
      <c r="WB117" s="21"/>
      <c r="WC117" s="21"/>
      <c r="WD117" s="21"/>
      <c r="WE117" s="21"/>
      <c r="WF117" s="21"/>
      <c r="WG117" s="21"/>
      <c r="WH117" s="21"/>
      <c r="WI117" s="21"/>
      <c r="WJ117" s="21"/>
      <c r="WK117" s="21"/>
      <c r="WL117" s="21"/>
      <c r="WM117" s="21"/>
      <c r="WN117" s="21"/>
      <c r="WO117" s="21"/>
      <c r="WP117" s="21"/>
      <c r="WQ117" s="21"/>
      <c r="WR117" s="21"/>
      <c r="WS117" s="21"/>
      <c r="WT117" s="21"/>
      <c r="WU117" s="21"/>
      <c r="WV117" s="21"/>
      <c r="WW117" s="21"/>
      <c r="WX117" s="21"/>
      <c r="WY117" s="21"/>
      <c r="WZ117" s="21"/>
      <c r="XA117" s="21"/>
      <c r="XB117" s="21"/>
      <c r="XC117" s="21"/>
      <c r="XD117" s="21"/>
      <c r="XE117" s="21"/>
      <c r="XF117" s="21"/>
      <c r="XG117" s="21"/>
      <c r="XH117" s="21"/>
      <c r="XI117" s="21"/>
      <c r="XJ117" s="21"/>
      <c r="XK117" s="21"/>
      <c r="XL117" s="21"/>
      <c r="XM117" s="21"/>
      <c r="XN117" s="21"/>
      <c r="XO117" s="21"/>
      <c r="XP117" s="21"/>
      <c r="XQ117" s="21"/>
      <c r="XR117" s="21"/>
      <c r="XS117" s="21"/>
      <c r="XT117" s="21"/>
      <c r="XU117" s="21"/>
      <c r="XV117" s="21"/>
      <c r="XW117" s="21"/>
      <c r="XX117" s="21"/>
      <c r="XY117" s="21"/>
      <c r="XZ117" s="21"/>
      <c r="YA117" s="21"/>
      <c r="YB117" s="21"/>
      <c r="YC117" s="21"/>
      <c r="YD117" s="21"/>
      <c r="YE117" s="21"/>
      <c r="YF117" s="21"/>
      <c r="YG117" s="21"/>
      <c r="YH117" s="21"/>
      <c r="YI117" s="21"/>
      <c r="YJ117" s="21"/>
      <c r="YK117" s="21"/>
      <c r="YL117" s="21"/>
      <c r="YM117" s="21"/>
      <c r="YN117" s="21"/>
      <c r="YO117" s="21"/>
      <c r="YP117" s="21"/>
      <c r="YQ117" s="21"/>
      <c r="YR117" s="21"/>
      <c r="YS117" s="21"/>
      <c r="YT117" s="21"/>
      <c r="YU117" s="21"/>
      <c r="YV117" s="21"/>
      <c r="YW117" s="21"/>
      <c r="YX117" s="21"/>
      <c r="YY117" s="21"/>
      <c r="YZ117" s="21"/>
      <c r="ZA117" s="21"/>
      <c r="ZB117" s="21"/>
      <c r="ZC117" s="21"/>
      <c r="ZD117" s="21"/>
      <c r="ZE117" s="21"/>
      <c r="ZF117" s="21"/>
      <c r="ZG117" s="21"/>
      <c r="ZH117" s="21"/>
      <c r="ZI117" s="21"/>
      <c r="ZJ117" s="21"/>
      <c r="ZK117" s="21"/>
      <c r="ZL117" s="21"/>
      <c r="ZM117" s="21"/>
      <c r="ZN117" s="21"/>
      <c r="ZO117" s="21"/>
      <c r="ZP117" s="21"/>
      <c r="ZQ117" s="21"/>
      <c r="ZR117" s="21"/>
      <c r="ZS117" s="21"/>
      <c r="ZT117" s="21"/>
      <c r="ZU117" s="21"/>
      <c r="ZV117" s="21"/>
      <c r="ZW117" s="21"/>
      <c r="ZX117" s="21"/>
      <c r="ZY117" s="21"/>
      <c r="ZZ117" s="21"/>
      <c r="AAA117" s="21"/>
      <c r="AAB117" s="21"/>
      <c r="AAC117" s="21"/>
      <c r="AAD117" s="21"/>
      <c r="AAE117" s="21"/>
      <c r="AAF117" s="21"/>
      <c r="AAG117" s="21"/>
      <c r="AAH117" s="21"/>
      <c r="AAI117" s="21"/>
      <c r="AAJ117" s="21"/>
      <c r="AAK117" s="21"/>
      <c r="AAL117" s="21"/>
      <c r="AAM117" s="21"/>
      <c r="AAN117" s="21"/>
      <c r="AAO117" s="21"/>
      <c r="AAP117" s="21"/>
      <c r="AAQ117" s="21"/>
      <c r="AAR117" s="21"/>
      <c r="AAS117" s="21"/>
      <c r="AAT117" s="21"/>
      <c r="AAU117" s="21"/>
      <c r="AAV117" s="21"/>
      <c r="AAW117" s="21"/>
      <c r="AAX117" s="21"/>
      <c r="AAY117" s="21"/>
      <c r="AAZ117" s="21"/>
      <c r="ABA117" s="21"/>
      <c r="ABB117" s="21"/>
      <c r="ABC117" s="21"/>
      <c r="ABD117" s="21"/>
      <c r="ABE117" s="21"/>
      <c r="ABF117" s="21"/>
      <c r="ABG117" s="21"/>
      <c r="ABH117" s="21"/>
      <c r="ABI117" s="21"/>
      <c r="ABJ117" s="21"/>
      <c r="ABK117" s="21"/>
      <c r="ABL117" s="21"/>
      <c r="ABM117" s="21"/>
      <c r="ABN117" s="21"/>
      <c r="ABO117" s="21"/>
      <c r="ABP117" s="21"/>
      <c r="ABQ117" s="21"/>
      <c r="ABR117" s="21"/>
      <c r="ABS117" s="21"/>
      <c r="ABT117" s="21"/>
      <c r="ABU117" s="21"/>
      <c r="ABV117" s="21"/>
      <c r="ABW117" s="21"/>
      <c r="ABX117" s="21"/>
      <c r="ABY117" s="21"/>
      <c r="ABZ117" s="21"/>
      <c r="ACA117" s="21"/>
      <c r="ACB117" s="21"/>
      <c r="ACC117" s="21"/>
      <c r="ACD117" s="21"/>
      <c r="ACE117" s="21"/>
      <c r="ACF117" s="21"/>
      <c r="ACG117" s="21"/>
      <c r="ACH117" s="21"/>
      <c r="ACI117" s="21"/>
      <c r="ACJ117" s="21"/>
      <c r="ACK117" s="21"/>
      <c r="ACL117" s="21"/>
      <c r="ACM117" s="21"/>
      <c r="ACN117" s="21"/>
      <c r="ACO117" s="21"/>
      <c r="ACP117" s="21"/>
      <c r="ACQ117" s="21"/>
      <c r="ACR117" s="21"/>
      <c r="ACS117" s="21"/>
      <c r="ACT117" s="21"/>
      <c r="ACU117" s="21"/>
      <c r="ACV117" s="21"/>
      <c r="ACW117" s="21"/>
      <c r="ACX117" s="21"/>
      <c r="ACY117" s="21"/>
      <c r="ACZ117" s="21"/>
      <c r="ADA117" s="21"/>
      <c r="ADB117" s="21"/>
      <c r="ADC117" s="21"/>
      <c r="ADD117" s="21"/>
      <c r="ADE117" s="21"/>
      <c r="ADF117" s="21"/>
      <c r="ADG117" s="21"/>
      <c r="ADH117" s="21"/>
      <c r="ADI117" s="21"/>
      <c r="ADJ117" s="21"/>
      <c r="ADK117" s="21"/>
      <c r="ADL117" s="21"/>
      <c r="ADM117" s="21"/>
      <c r="ADN117" s="21"/>
      <c r="ADO117" s="21"/>
      <c r="ADP117" s="21"/>
      <c r="ADQ117" s="21"/>
      <c r="ADR117" s="21"/>
      <c r="ADS117" s="21"/>
      <c r="ADT117" s="21"/>
      <c r="ADU117" s="21"/>
      <c r="ADV117" s="21"/>
      <c r="ADW117" s="21"/>
      <c r="ADX117" s="21"/>
      <c r="ADY117" s="21"/>
      <c r="ADZ117" s="21"/>
      <c r="AEA117" s="21"/>
      <c r="AEB117" s="21"/>
      <c r="AEC117" s="21"/>
      <c r="AED117" s="21"/>
      <c r="AEE117" s="21"/>
      <c r="AEF117" s="21"/>
      <c r="AEG117" s="21"/>
      <c r="AEH117" s="21"/>
      <c r="AEI117" s="21"/>
      <c r="AEJ117" s="21"/>
      <c r="AEK117" s="21"/>
      <c r="AEL117" s="21"/>
      <c r="AEM117" s="21"/>
      <c r="AEN117" s="21"/>
      <c r="AEO117" s="21"/>
      <c r="AEP117" s="21"/>
      <c r="AEQ117" s="21"/>
      <c r="AER117" s="21"/>
      <c r="AES117" s="21"/>
      <c r="AET117" s="21"/>
      <c r="AEU117" s="21"/>
      <c r="AEV117" s="21"/>
      <c r="AEW117" s="21"/>
      <c r="AEX117" s="21"/>
      <c r="AEY117" s="21"/>
      <c r="AEZ117" s="21"/>
      <c r="AFA117" s="21"/>
      <c r="AFB117" s="21"/>
      <c r="AFC117" s="21"/>
      <c r="AFD117" s="21"/>
      <c r="AFE117" s="21"/>
      <c r="AFF117" s="21"/>
      <c r="AFG117" s="21"/>
      <c r="AFH117" s="21"/>
      <c r="AFI117" s="21"/>
      <c r="AFJ117" s="21"/>
      <c r="AFK117" s="21"/>
      <c r="AFL117" s="21"/>
      <c r="AFM117" s="21"/>
      <c r="AFN117" s="21"/>
      <c r="AFO117" s="21"/>
      <c r="AFP117" s="21"/>
      <c r="AFQ117" s="21"/>
      <c r="AFR117" s="21"/>
      <c r="AFS117" s="21"/>
      <c r="AFT117" s="21"/>
      <c r="AFU117" s="21"/>
      <c r="AFV117" s="21"/>
      <c r="AFW117" s="21"/>
      <c r="AFX117" s="21"/>
      <c r="AFY117" s="21"/>
      <c r="AFZ117" s="21"/>
      <c r="AGA117" s="21"/>
      <c r="AGB117" s="21"/>
      <c r="AGC117" s="21"/>
      <c r="AGD117" s="21"/>
      <c r="AGE117" s="21"/>
      <c r="AGF117" s="21"/>
      <c r="AGG117" s="21"/>
      <c r="AGH117" s="21"/>
      <c r="AGI117" s="21"/>
      <c r="AGJ117" s="21"/>
      <c r="AGK117" s="21"/>
      <c r="AGL117" s="21"/>
      <c r="AGM117" s="21"/>
      <c r="AGN117" s="21"/>
      <c r="AGO117" s="21"/>
      <c r="AGP117" s="21"/>
      <c r="AGQ117" s="21"/>
      <c r="AGR117" s="21"/>
      <c r="AGS117" s="21"/>
    </row>
    <row r="118" spans="1:877" ht="13">
      <c r="A118" s="61"/>
      <c r="B118" s="62" t="s">
        <v>65</v>
      </c>
      <c r="C118" s="71">
        <v>120000</v>
      </c>
      <c r="D118" s="61"/>
      <c r="E118" s="61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55"/>
      <c r="BJ118" s="55"/>
      <c r="BK118" s="55"/>
      <c r="BL118" s="55"/>
      <c r="BM118" s="55"/>
      <c r="BN118" s="55"/>
      <c r="BO118" s="55"/>
      <c r="BP118" s="55"/>
      <c r="BQ118" s="55"/>
      <c r="BR118" s="55"/>
      <c r="BS118" s="55"/>
      <c r="BT118" s="55"/>
      <c r="BU118" s="55"/>
      <c r="BV118" s="55"/>
      <c r="BW118" s="55"/>
      <c r="BX118" s="55"/>
      <c r="BY118" s="55"/>
      <c r="BZ118" s="55"/>
      <c r="CA118" s="55"/>
      <c r="CB118" s="55"/>
      <c r="CC118" s="55"/>
      <c r="CD118" s="55"/>
      <c r="CE118" s="55"/>
      <c r="CF118" s="55"/>
      <c r="CG118" s="55"/>
      <c r="CH118" s="55"/>
      <c r="CI118" s="55"/>
      <c r="CJ118" s="55"/>
      <c r="CK118" s="55"/>
      <c r="CL118" s="55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  <c r="IY118" s="21"/>
      <c r="IZ118" s="21"/>
      <c r="JA118" s="21"/>
      <c r="JB118" s="21"/>
      <c r="JC118" s="21"/>
      <c r="JD118" s="21"/>
      <c r="JE118" s="21"/>
      <c r="JF118" s="21"/>
      <c r="JG118" s="21"/>
      <c r="JH118" s="21"/>
      <c r="JI118" s="21"/>
      <c r="JJ118" s="21"/>
      <c r="JK118" s="21"/>
      <c r="JL118" s="21"/>
      <c r="JM118" s="21"/>
      <c r="JN118" s="21"/>
      <c r="JO118" s="21"/>
      <c r="JP118" s="21"/>
      <c r="JQ118" s="21"/>
      <c r="JR118" s="21"/>
      <c r="JS118" s="21"/>
      <c r="JT118" s="21"/>
      <c r="JU118" s="21"/>
      <c r="JV118" s="21"/>
      <c r="JW118" s="21"/>
      <c r="JX118" s="21"/>
      <c r="JY118" s="21"/>
      <c r="JZ118" s="21"/>
      <c r="KA118" s="21"/>
      <c r="KB118" s="21"/>
      <c r="KC118" s="21"/>
      <c r="KD118" s="21"/>
      <c r="KE118" s="21"/>
      <c r="KF118" s="21"/>
      <c r="KG118" s="21"/>
      <c r="KH118" s="21"/>
      <c r="KI118" s="21"/>
      <c r="KJ118" s="21"/>
      <c r="KK118" s="21"/>
      <c r="KL118" s="21"/>
      <c r="KM118" s="21"/>
      <c r="KN118" s="21"/>
      <c r="KO118" s="21"/>
      <c r="KP118" s="21"/>
      <c r="KQ118" s="21"/>
      <c r="KR118" s="21"/>
      <c r="KS118" s="21"/>
      <c r="KT118" s="21"/>
      <c r="KU118" s="21"/>
      <c r="KV118" s="21"/>
      <c r="KW118" s="21"/>
      <c r="KX118" s="21"/>
      <c r="KY118" s="21"/>
      <c r="KZ118" s="21"/>
      <c r="LA118" s="21"/>
      <c r="LB118" s="21"/>
      <c r="LC118" s="21"/>
      <c r="LD118" s="21"/>
      <c r="LE118" s="21"/>
      <c r="LF118" s="21"/>
      <c r="LG118" s="21"/>
      <c r="LH118" s="21"/>
      <c r="LI118" s="21"/>
      <c r="LJ118" s="21"/>
      <c r="LK118" s="21"/>
      <c r="LL118" s="21"/>
      <c r="LM118" s="21"/>
      <c r="LN118" s="21"/>
      <c r="LO118" s="21"/>
      <c r="LP118" s="21"/>
      <c r="LQ118" s="21"/>
      <c r="LR118" s="21"/>
      <c r="LS118" s="21"/>
      <c r="LT118" s="21"/>
      <c r="LU118" s="21"/>
      <c r="LV118" s="21"/>
      <c r="LW118" s="21"/>
      <c r="LX118" s="21"/>
      <c r="LY118" s="21"/>
      <c r="LZ118" s="21"/>
      <c r="MA118" s="21"/>
      <c r="MB118" s="21"/>
      <c r="MC118" s="21"/>
      <c r="MD118" s="21"/>
      <c r="ME118" s="21"/>
      <c r="MF118" s="21"/>
      <c r="MG118" s="21"/>
      <c r="MH118" s="21"/>
      <c r="MI118" s="21"/>
      <c r="MJ118" s="21"/>
      <c r="MK118" s="21"/>
      <c r="ML118" s="21"/>
      <c r="MM118" s="21"/>
      <c r="MN118" s="21"/>
      <c r="MO118" s="21"/>
      <c r="MP118" s="21"/>
      <c r="MQ118" s="21"/>
      <c r="MR118" s="21"/>
      <c r="MS118" s="21"/>
      <c r="MT118" s="21"/>
      <c r="MU118" s="21"/>
      <c r="MV118" s="21"/>
      <c r="MW118" s="21"/>
      <c r="MX118" s="21"/>
      <c r="MY118" s="21"/>
      <c r="MZ118" s="21"/>
      <c r="NA118" s="21"/>
      <c r="NB118" s="21"/>
      <c r="NC118" s="21"/>
      <c r="ND118" s="21"/>
      <c r="NE118" s="21"/>
      <c r="NF118" s="21"/>
      <c r="NG118" s="21"/>
      <c r="NH118" s="21"/>
      <c r="NI118" s="21"/>
      <c r="NJ118" s="21"/>
      <c r="NK118" s="21"/>
      <c r="NL118" s="21"/>
      <c r="NM118" s="21"/>
      <c r="NN118" s="21"/>
      <c r="NO118" s="21"/>
      <c r="NP118" s="21"/>
      <c r="NQ118" s="21"/>
      <c r="NR118" s="21"/>
      <c r="NS118" s="21"/>
      <c r="NT118" s="21"/>
      <c r="NU118" s="21"/>
      <c r="NV118" s="21"/>
      <c r="NW118" s="21"/>
      <c r="NX118" s="21"/>
      <c r="NY118" s="21"/>
      <c r="NZ118" s="21"/>
      <c r="OA118" s="21"/>
      <c r="OB118" s="21"/>
      <c r="OC118" s="21"/>
      <c r="OD118" s="21"/>
      <c r="OE118" s="21"/>
      <c r="OF118" s="21"/>
      <c r="OG118" s="21"/>
      <c r="OH118" s="21"/>
      <c r="OI118" s="21"/>
      <c r="OJ118" s="21"/>
      <c r="OK118" s="21"/>
      <c r="OL118" s="21"/>
      <c r="OM118" s="21"/>
      <c r="ON118" s="21"/>
      <c r="OO118" s="21"/>
      <c r="OP118" s="21"/>
      <c r="OQ118" s="21"/>
      <c r="OR118" s="21"/>
      <c r="OS118" s="21"/>
      <c r="OT118" s="21"/>
      <c r="OU118" s="21"/>
      <c r="OV118" s="21"/>
      <c r="OW118" s="21"/>
      <c r="OX118" s="21"/>
      <c r="OY118" s="21"/>
      <c r="OZ118" s="21"/>
      <c r="PA118" s="21"/>
      <c r="PB118" s="21"/>
      <c r="PC118" s="21"/>
      <c r="PD118" s="21"/>
      <c r="PE118" s="21"/>
      <c r="PF118" s="21"/>
      <c r="PG118" s="21"/>
      <c r="PH118" s="21"/>
      <c r="PI118" s="21"/>
      <c r="PJ118" s="21"/>
      <c r="PK118" s="21"/>
      <c r="PL118" s="21"/>
      <c r="PM118" s="21"/>
      <c r="PN118" s="21"/>
      <c r="PO118" s="21"/>
      <c r="PP118" s="21"/>
      <c r="PQ118" s="21"/>
      <c r="PR118" s="21"/>
      <c r="PS118" s="21"/>
      <c r="PT118" s="21"/>
      <c r="PU118" s="21"/>
      <c r="PV118" s="21"/>
      <c r="PW118" s="21"/>
      <c r="PX118" s="21"/>
      <c r="PY118" s="21"/>
      <c r="PZ118" s="21"/>
      <c r="QA118" s="21"/>
      <c r="QB118" s="21"/>
      <c r="QC118" s="21"/>
      <c r="QD118" s="21"/>
      <c r="QE118" s="21"/>
      <c r="QF118" s="21"/>
      <c r="QG118" s="21"/>
      <c r="QH118" s="21"/>
      <c r="QI118" s="21"/>
      <c r="QJ118" s="21"/>
      <c r="QK118" s="21"/>
      <c r="QL118" s="21"/>
      <c r="QM118" s="21"/>
      <c r="QN118" s="21"/>
      <c r="QO118" s="21"/>
      <c r="QP118" s="21"/>
      <c r="QQ118" s="21"/>
      <c r="QR118" s="21"/>
      <c r="QS118" s="21"/>
      <c r="QT118" s="21"/>
      <c r="QU118" s="21"/>
      <c r="QV118" s="21"/>
      <c r="QW118" s="21"/>
      <c r="QX118" s="21"/>
      <c r="QY118" s="21"/>
      <c r="QZ118" s="21"/>
      <c r="RA118" s="21"/>
      <c r="RB118" s="21"/>
      <c r="RC118" s="21"/>
      <c r="RD118" s="21"/>
      <c r="RE118" s="21"/>
      <c r="RF118" s="21"/>
      <c r="RG118" s="21"/>
      <c r="RH118" s="21"/>
      <c r="RI118" s="21"/>
      <c r="RJ118" s="21"/>
      <c r="RK118" s="21"/>
      <c r="RL118" s="21"/>
      <c r="RM118" s="21"/>
      <c r="RN118" s="21"/>
      <c r="RO118" s="21"/>
      <c r="RP118" s="21"/>
      <c r="RQ118" s="21"/>
      <c r="RR118" s="21"/>
      <c r="RS118" s="21"/>
      <c r="RT118" s="21"/>
      <c r="RU118" s="21"/>
      <c r="RV118" s="21"/>
      <c r="RW118" s="21"/>
      <c r="RX118" s="21"/>
      <c r="RY118" s="21"/>
      <c r="RZ118" s="21"/>
      <c r="SA118" s="21"/>
      <c r="SB118" s="21"/>
      <c r="SC118" s="21"/>
      <c r="SD118" s="21"/>
      <c r="SE118" s="21"/>
      <c r="SF118" s="21"/>
      <c r="SG118" s="21"/>
      <c r="SH118" s="21"/>
      <c r="SI118" s="21"/>
      <c r="SJ118" s="21"/>
      <c r="SK118" s="21"/>
      <c r="SL118" s="21"/>
      <c r="SM118" s="21"/>
      <c r="SN118" s="21"/>
      <c r="SO118" s="21"/>
      <c r="SP118" s="21"/>
      <c r="SQ118" s="21"/>
      <c r="SR118" s="21"/>
      <c r="SS118" s="21"/>
      <c r="ST118" s="21"/>
      <c r="SU118" s="21"/>
      <c r="SV118" s="21"/>
      <c r="SW118" s="21"/>
      <c r="SX118" s="21"/>
      <c r="SY118" s="21"/>
      <c r="SZ118" s="21"/>
      <c r="TA118" s="21"/>
      <c r="TB118" s="21"/>
      <c r="TC118" s="21"/>
      <c r="TD118" s="21"/>
      <c r="TE118" s="21"/>
      <c r="TF118" s="21"/>
      <c r="TG118" s="21"/>
      <c r="TH118" s="21"/>
      <c r="TI118" s="21"/>
      <c r="TJ118" s="21"/>
      <c r="TK118" s="21"/>
      <c r="TL118" s="21"/>
      <c r="TM118" s="21"/>
      <c r="TN118" s="21"/>
      <c r="TO118" s="21"/>
      <c r="TP118" s="21"/>
      <c r="TQ118" s="21"/>
      <c r="TR118" s="21"/>
      <c r="TS118" s="21"/>
      <c r="TT118" s="21"/>
      <c r="TU118" s="21"/>
      <c r="TV118" s="21"/>
      <c r="TW118" s="21"/>
      <c r="TX118" s="21"/>
      <c r="TY118" s="21"/>
      <c r="TZ118" s="21"/>
      <c r="UA118" s="21"/>
      <c r="UB118" s="21"/>
      <c r="UC118" s="21"/>
      <c r="UD118" s="21"/>
      <c r="UE118" s="21"/>
      <c r="UF118" s="21"/>
      <c r="UG118" s="21"/>
      <c r="UH118" s="21"/>
      <c r="UI118" s="21"/>
      <c r="UJ118" s="21"/>
      <c r="UK118" s="21"/>
      <c r="UL118" s="21"/>
      <c r="UM118" s="21"/>
      <c r="UN118" s="21"/>
      <c r="UO118" s="21"/>
      <c r="UP118" s="21"/>
      <c r="UQ118" s="21"/>
      <c r="UR118" s="21"/>
      <c r="US118" s="21"/>
      <c r="UT118" s="21"/>
      <c r="UU118" s="21"/>
      <c r="UV118" s="21"/>
      <c r="UW118" s="21"/>
      <c r="UX118" s="21"/>
      <c r="UY118" s="21"/>
      <c r="UZ118" s="21"/>
      <c r="VA118" s="21"/>
      <c r="VB118" s="21"/>
      <c r="VC118" s="21"/>
      <c r="VD118" s="21"/>
      <c r="VE118" s="21"/>
      <c r="VF118" s="21"/>
      <c r="VG118" s="21"/>
      <c r="VH118" s="21"/>
      <c r="VI118" s="21"/>
      <c r="VJ118" s="21"/>
      <c r="VK118" s="21"/>
      <c r="VL118" s="21"/>
      <c r="VM118" s="21"/>
      <c r="VN118" s="21"/>
      <c r="VO118" s="21"/>
      <c r="VP118" s="21"/>
      <c r="VQ118" s="21"/>
      <c r="VR118" s="21"/>
      <c r="VS118" s="21"/>
      <c r="VT118" s="21"/>
      <c r="VU118" s="21"/>
      <c r="VV118" s="21"/>
      <c r="VW118" s="21"/>
      <c r="VX118" s="21"/>
      <c r="VY118" s="21"/>
      <c r="VZ118" s="21"/>
      <c r="WA118" s="21"/>
      <c r="WB118" s="21"/>
      <c r="WC118" s="21"/>
      <c r="WD118" s="21"/>
      <c r="WE118" s="21"/>
      <c r="WF118" s="21"/>
      <c r="WG118" s="21"/>
      <c r="WH118" s="21"/>
      <c r="WI118" s="21"/>
      <c r="WJ118" s="21"/>
      <c r="WK118" s="21"/>
      <c r="WL118" s="21"/>
      <c r="WM118" s="21"/>
      <c r="WN118" s="21"/>
      <c r="WO118" s="21"/>
      <c r="WP118" s="21"/>
      <c r="WQ118" s="21"/>
      <c r="WR118" s="21"/>
      <c r="WS118" s="21"/>
      <c r="WT118" s="21"/>
      <c r="WU118" s="21"/>
      <c r="WV118" s="21"/>
      <c r="WW118" s="21"/>
      <c r="WX118" s="21"/>
      <c r="WY118" s="21"/>
      <c r="WZ118" s="21"/>
      <c r="XA118" s="21"/>
      <c r="XB118" s="21"/>
      <c r="XC118" s="21"/>
      <c r="XD118" s="21"/>
      <c r="XE118" s="21"/>
      <c r="XF118" s="21"/>
      <c r="XG118" s="21"/>
      <c r="XH118" s="21"/>
      <c r="XI118" s="21"/>
      <c r="XJ118" s="21"/>
      <c r="XK118" s="21"/>
      <c r="XL118" s="21"/>
      <c r="XM118" s="21"/>
      <c r="XN118" s="21"/>
      <c r="XO118" s="21"/>
      <c r="XP118" s="21"/>
      <c r="XQ118" s="21"/>
      <c r="XR118" s="21"/>
      <c r="XS118" s="21"/>
      <c r="XT118" s="21"/>
      <c r="XU118" s="21"/>
      <c r="XV118" s="21"/>
      <c r="XW118" s="21"/>
      <c r="XX118" s="21"/>
      <c r="XY118" s="21"/>
      <c r="XZ118" s="21"/>
      <c r="YA118" s="21"/>
      <c r="YB118" s="21"/>
      <c r="YC118" s="21"/>
      <c r="YD118" s="21"/>
      <c r="YE118" s="21"/>
      <c r="YF118" s="21"/>
      <c r="YG118" s="21"/>
      <c r="YH118" s="21"/>
      <c r="YI118" s="21"/>
      <c r="YJ118" s="21"/>
      <c r="YK118" s="21"/>
      <c r="YL118" s="21"/>
      <c r="YM118" s="21"/>
      <c r="YN118" s="21"/>
      <c r="YO118" s="21"/>
      <c r="YP118" s="21"/>
      <c r="YQ118" s="21"/>
      <c r="YR118" s="21"/>
      <c r="YS118" s="21"/>
      <c r="YT118" s="21"/>
      <c r="YU118" s="21"/>
      <c r="YV118" s="21"/>
      <c r="YW118" s="21"/>
      <c r="YX118" s="21"/>
      <c r="YY118" s="21"/>
      <c r="YZ118" s="21"/>
      <c r="ZA118" s="21"/>
      <c r="ZB118" s="21"/>
      <c r="ZC118" s="21"/>
      <c r="ZD118" s="21"/>
      <c r="ZE118" s="21"/>
      <c r="ZF118" s="21"/>
      <c r="ZG118" s="21"/>
      <c r="ZH118" s="21"/>
      <c r="ZI118" s="21"/>
      <c r="ZJ118" s="21"/>
      <c r="ZK118" s="21"/>
      <c r="ZL118" s="21"/>
      <c r="ZM118" s="21"/>
      <c r="ZN118" s="21"/>
      <c r="ZO118" s="21"/>
      <c r="ZP118" s="21"/>
      <c r="ZQ118" s="21"/>
      <c r="ZR118" s="21"/>
      <c r="ZS118" s="21"/>
      <c r="ZT118" s="21"/>
      <c r="ZU118" s="21"/>
      <c r="ZV118" s="21"/>
      <c r="ZW118" s="21"/>
      <c r="ZX118" s="21"/>
      <c r="ZY118" s="21"/>
      <c r="ZZ118" s="21"/>
      <c r="AAA118" s="21"/>
      <c r="AAB118" s="21"/>
      <c r="AAC118" s="21"/>
      <c r="AAD118" s="21"/>
      <c r="AAE118" s="21"/>
      <c r="AAF118" s="21"/>
      <c r="AAG118" s="21"/>
      <c r="AAH118" s="21"/>
      <c r="AAI118" s="21"/>
      <c r="AAJ118" s="21"/>
      <c r="AAK118" s="21"/>
      <c r="AAL118" s="21"/>
      <c r="AAM118" s="21"/>
      <c r="AAN118" s="21"/>
      <c r="AAO118" s="21"/>
      <c r="AAP118" s="21"/>
      <c r="AAQ118" s="21"/>
      <c r="AAR118" s="21"/>
      <c r="AAS118" s="21"/>
      <c r="AAT118" s="21"/>
      <c r="AAU118" s="21"/>
      <c r="AAV118" s="21"/>
      <c r="AAW118" s="21"/>
      <c r="AAX118" s="21"/>
      <c r="AAY118" s="21"/>
      <c r="AAZ118" s="21"/>
      <c r="ABA118" s="21"/>
      <c r="ABB118" s="21"/>
      <c r="ABC118" s="21"/>
      <c r="ABD118" s="21"/>
      <c r="ABE118" s="21"/>
      <c r="ABF118" s="21"/>
      <c r="ABG118" s="21"/>
      <c r="ABH118" s="21"/>
      <c r="ABI118" s="21"/>
      <c r="ABJ118" s="21"/>
      <c r="ABK118" s="21"/>
      <c r="ABL118" s="21"/>
      <c r="ABM118" s="21"/>
      <c r="ABN118" s="21"/>
      <c r="ABO118" s="21"/>
      <c r="ABP118" s="21"/>
      <c r="ABQ118" s="21"/>
      <c r="ABR118" s="21"/>
      <c r="ABS118" s="21"/>
      <c r="ABT118" s="21"/>
      <c r="ABU118" s="21"/>
      <c r="ABV118" s="21"/>
      <c r="ABW118" s="21"/>
      <c r="ABX118" s="21"/>
      <c r="ABY118" s="21"/>
      <c r="ABZ118" s="21"/>
      <c r="ACA118" s="21"/>
      <c r="ACB118" s="21"/>
      <c r="ACC118" s="21"/>
      <c r="ACD118" s="21"/>
      <c r="ACE118" s="21"/>
      <c r="ACF118" s="21"/>
      <c r="ACG118" s="21"/>
      <c r="ACH118" s="21"/>
      <c r="ACI118" s="21"/>
      <c r="ACJ118" s="21"/>
      <c r="ACK118" s="21"/>
      <c r="ACL118" s="21"/>
      <c r="ACM118" s="21"/>
      <c r="ACN118" s="21"/>
      <c r="ACO118" s="21"/>
      <c r="ACP118" s="21"/>
      <c r="ACQ118" s="21"/>
      <c r="ACR118" s="21"/>
      <c r="ACS118" s="21"/>
      <c r="ACT118" s="21"/>
      <c r="ACU118" s="21"/>
      <c r="ACV118" s="21"/>
      <c r="ACW118" s="21"/>
      <c r="ACX118" s="21"/>
      <c r="ACY118" s="21"/>
      <c r="ACZ118" s="21"/>
      <c r="ADA118" s="21"/>
      <c r="ADB118" s="21"/>
      <c r="ADC118" s="21"/>
      <c r="ADD118" s="21"/>
      <c r="ADE118" s="21"/>
      <c r="ADF118" s="21"/>
      <c r="ADG118" s="21"/>
      <c r="ADH118" s="21"/>
      <c r="ADI118" s="21"/>
      <c r="ADJ118" s="21"/>
      <c r="ADK118" s="21"/>
      <c r="ADL118" s="21"/>
      <c r="ADM118" s="21"/>
      <c r="ADN118" s="21"/>
      <c r="ADO118" s="21"/>
      <c r="ADP118" s="21"/>
      <c r="ADQ118" s="21"/>
      <c r="ADR118" s="21"/>
      <c r="ADS118" s="21"/>
      <c r="ADT118" s="21"/>
      <c r="ADU118" s="21"/>
      <c r="ADV118" s="21"/>
      <c r="ADW118" s="21"/>
      <c r="ADX118" s="21"/>
      <c r="ADY118" s="21"/>
      <c r="ADZ118" s="21"/>
      <c r="AEA118" s="21"/>
      <c r="AEB118" s="21"/>
      <c r="AEC118" s="21"/>
      <c r="AED118" s="21"/>
      <c r="AEE118" s="21"/>
      <c r="AEF118" s="21"/>
      <c r="AEG118" s="21"/>
      <c r="AEH118" s="21"/>
      <c r="AEI118" s="21"/>
      <c r="AEJ118" s="21"/>
      <c r="AEK118" s="21"/>
      <c r="AEL118" s="21"/>
      <c r="AEM118" s="21"/>
      <c r="AEN118" s="21"/>
      <c r="AEO118" s="21"/>
      <c r="AEP118" s="21"/>
      <c r="AEQ118" s="21"/>
      <c r="AER118" s="21"/>
      <c r="AES118" s="21"/>
      <c r="AET118" s="21"/>
      <c r="AEU118" s="21"/>
      <c r="AEV118" s="21"/>
      <c r="AEW118" s="21"/>
      <c r="AEX118" s="21"/>
      <c r="AEY118" s="21"/>
      <c r="AEZ118" s="21"/>
      <c r="AFA118" s="21"/>
      <c r="AFB118" s="21"/>
      <c r="AFC118" s="21"/>
      <c r="AFD118" s="21"/>
      <c r="AFE118" s="21"/>
      <c r="AFF118" s="21"/>
      <c r="AFG118" s="21"/>
      <c r="AFH118" s="21"/>
      <c r="AFI118" s="21"/>
      <c r="AFJ118" s="21"/>
      <c r="AFK118" s="21"/>
      <c r="AFL118" s="21"/>
      <c r="AFM118" s="21"/>
      <c r="AFN118" s="21"/>
      <c r="AFO118" s="21"/>
      <c r="AFP118" s="21"/>
      <c r="AFQ118" s="21"/>
      <c r="AFR118" s="21"/>
      <c r="AFS118" s="21"/>
      <c r="AFT118" s="21"/>
      <c r="AFU118" s="21"/>
      <c r="AFV118" s="21"/>
      <c r="AFW118" s="21"/>
      <c r="AFX118" s="21"/>
      <c r="AFY118" s="21"/>
      <c r="AFZ118" s="21"/>
      <c r="AGA118" s="21"/>
      <c r="AGB118" s="21"/>
      <c r="AGC118" s="21"/>
      <c r="AGD118" s="21"/>
      <c r="AGE118" s="21"/>
      <c r="AGF118" s="21"/>
      <c r="AGG118" s="21"/>
      <c r="AGH118" s="21"/>
      <c r="AGI118" s="21"/>
      <c r="AGJ118" s="21"/>
      <c r="AGK118" s="21"/>
      <c r="AGL118" s="21"/>
      <c r="AGM118" s="21"/>
      <c r="AGN118" s="21"/>
      <c r="AGO118" s="21"/>
      <c r="AGP118" s="21"/>
      <c r="AGQ118" s="21"/>
      <c r="AGR118" s="21"/>
      <c r="AGS118" s="21"/>
    </row>
    <row r="119" spans="1:877" ht="13">
      <c r="A119" s="12"/>
      <c r="B119" s="17" t="s">
        <v>66</v>
      </c>
      <c r="C119" s="77">
        <v>0.09</v>
      </c>
      <c r="D119" s="12"/>
      <c r="E119" s="12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55"/>
      <c r="BE119" s="55"/>
      <c r="BF119" s="55"/>
      <c r="BG119" s="55"/>
      <c r="BH119" s="55"/>
      <c r="BI119" s="55"/>
      <c r="BJ119" s="55"/>
      <c r="BK119" s="55"/>
      <c r="BL119" s="55"/>
      <c r="BM119" s="55"/>
      <c r="BN119" s="55"/>
      <c r="BO119" s="55"/>
      <c r="BP119" s="55"/>
      <c r="BQ119" s="55"/>
      <c r="BR119" s="55"/>
      <c r="BS119" s="55"/>
      <c r="BT119" s="55"/>
      <c r="BU119" s="55"/>
      <c r="BV119" s="55"/>
      <c r="BW119" s="55"/>
      <c r="BX119" s="55"/>
      <c r="BY119" s="55"/>
      <c r="BZ119" s="55"/>
      <c r="CA119" s="55"/>
      <c r="CB119" s="55"/>
      <c r="CC119" s="55"/>
      <c r="CD119" s="55"/>
      <c r="CE119" s="55"/>
      <c r="CF119" s="55"/>
      <c r="CG119" s="55"/>
      <c r="CH119" s="55"/>
      <c r="CI119" s="55"/>
      <c r="CJ119" s="55"/>
      <c r="CK119" s="55"/>
      <c r="CL119" s="55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  <c r="JO119" s="21"/>
      <c r="JP119" s="21"/>
      <c r="JQ119" s="21"/>
      <c r="JR119" s="21"/>
      <c r="JS119" s="21"/>
      <c r="JT119" s="21"/>
      <c r="JU119" s="21"/>
      <c r="JV119" s="21"/>
      <c r="JW119" s="21"/>
      <c r="JX119" s="21"/>
      <c r="JY119" s="21"/>
      <c r="JZ119" s="21"/>
      <c r="KA119" s="21"/>
      <c r="KB119" s="21"/>
      <c r="KC119" s="21"/>
      <c r="KD119" s="21"/>
      <c r="KE119" s="21"/>
      <c r="KF119" s="21"/>
      <c r="KG119" s="21"/>
      <c r="KH119" s="21"/>
      <c r="KI119" s="21"/>
      <c r="KJ119" s="21"/>
      <c r="KK119" s="21"/>
      <c r="KL119" s="21"/>
      <c r="KM119" s="21"/>
      <c r="KN119" s="21"/>
      <c r="KO119" s="21"/>
      <c r="KP119" s="21"/>
      <c r="KQ119" s="21"/>
      <c r="KR119" s="21"/>
      <c r="KS119" s="21"/>
      <c r="KT119" s="21"/>
      <c r="KU119" s="21"/>
      <c r="KV119" s="21"/>
      <c r="KW119" s="21"/>
      <c r="KX119" s="21"/>
      <c r="KY119" s="21"/>
      <c r="KZ119" s="21"/>
      <c r="LA119" s="21"/>
      <c r="LB119" s="21"/>
      <c r="LC119" s="21"/>
      <c r="LD119" s="21"/>
      <c r="LE119" s="21"/>
      <c r="LF119" s="21"/>
      <c r="LG119" s="21"/>
      <c r="LH119" s="21"/>
      <c r="LI119" s="21"/>
      <c r="LJ119" s="21"/>
      <c r="LK119" s="21"/>
      <c r="LL119" s="21"/>
      <c r="LM119" s="21"/>
      <c r="LN119" s="21"/>
      <c r="LO119" s="21"/>
      <c r="LP119" s="21"/>
      <c r="LQ119" s="21"/>
      <c r="LR119" s="21"/>
      <c r="LS119" s="21"/>
      <c r="LT119" s="21"/>
      <c r="LU119" s="21"/>
      <c r="LV119" s="21"/>
      <c r="LW119" s="21"/>
      <c r="LX119" s="21"/>
      <c r="LY119" s="21"/>
      <c r="LZ119" s="21"/>
      <c r="MA119" s="21"/>
      <c r="MB119" s="21"/>
      <c r="MC119" s="21"/>
      <c r="MD119" s="21"/>
      <c r="ME119" s="21"/>
      <c r="MF119" s="21"/>
      <c r="MG119" s="21"/>
      <c r="MH119" s="21"/>
      <c r="MI119" s="21"/>
      <c r="MJ119" s="21"/>
      <c r="MK119" s="21"/>
      <c r="ML119" s="21"/>
      <c r="MM119" s="21"/>
      <c r="MN119" s="21"/>
      <c r="MO119" s="21"/>
      <c r="MP119" s="21"/>
      <c r="MQ119" s="21"/>
      <c r="MR119" s="21"/>
      <c r="MS119" s="21"/>
      <c r="MT119" s="21"/>
      <c r="MU119" s="21"/>
      <c r="MV119" s="21"/>
      <c r="MW119" s="21"/>
      <c r="MX119" s="21"/>
      <c r="MY119" s="21"/>
      <c r="MZ119" s="21"/>
      <c r="NA119" s="21"/>
      <c r="NB119" s="21"/>
      <c r="NC119" s="21"/>
      <c r="ND119" s="21"/>
      <c r="NE119" s="21"/>
      <c r="NF119" s="21"/>
      <c r="NG119" s="21"/>
      <c r="NH119" s="21"/>
      <c r="NI119" s="21"/>
      <c r="NJ119" s="21"/>
      <c r="NK119" s="21"/>
      <c r="NL119" s="21"/>
      <c r="NM119" s="21"/>
      <c r="NN119" s="21"/>
      <c r="NO119" s="21"/>
      <c r="NP119" s="21"/>
      <c r="NQ119" s="21"/>
      <c r="NR119" s="21"/>
      <c r="NS119" s="21"/>
      <c r="NT119" s="21"/>
      <c r="NU119" s="21"/>
      <c r="NV119" s="21"/>
      <c r="NW119" s="21"/>
      <c r="NX119" s="21"/>
      <c r="NY119" s="21"/>
      <c r="NZ119" s="21"/>
      <c r="OA119" s="21"/>
      <c r="OB119" s="21"/>
      <c r="OC119" s="21"/>
      <c r="OD119" s="21"/>
      <c r="OE119" s="21"/>
      <c r="OF119" s="21"/>
      <c r="OG119" s="21"/>
      <c r="OH119" s="21"/>
      <c r="OI119" s="21"/>
      <c r="OJ119" s="21"/>
      <c r="OK119" s="21"/>
      <c r="OL119" s="21"/>
      <c r="OM119" s="21"/>
      <c r="ON119" s="21"/>
      <c r="OO119" s="21"/>
      <c r="OP119" s="21"/>
      <c r="OQ119" s="21"/>
      <c r="OR119" s="21"/>
      <c r="OS119" s="21"/>
      <c r="OT119" s="21"/>
      <c r="OU119" s="21"/>
      <c r="OV119" s="21"/>
      <c r="OW119" s="21"/>
      <c r="OX119" s="21"/>
      <c r="OY119" s="21"/>
      <c r="OZ119" s="21"/>
      <c r="PA119" s="21"/>
      <c r="PB119" s="21"/>
      <c r="PC119" s="21"/>
      <c r="PD119" s="21"/>
      <c r="PE119" s="21"/>
      <c r="PF119" s="21"/>
      <c r="PG119" s="21"/>
      <c r="PH119" s="21"/>
      <c r="PI119" s="21"/>
      <c r="PJ119" s="21"/>
      <c r="PK119" s="21"/>
      <c r="PL119" s="21"/>
      <c r="PM119" s="21"/>
      <c r="PN119" s="21"/>
      <c r="PO119" s="21"/>
      <c r="PP119" s="21"/>
      <c r="PQ119" s="21"/>
      <c r="PR119" s="21"/>
      <c r="PS119" s="21"/>
      <c r="PT119" s="21"/>
      <c r="PU119" s="21"/>
      <c r="PV119" s="21"/>
      <c r="PW119" s="21"/>
      <c r="PX119" s="21"/>
      <c r="PY119" s="21"/>
      <c r="PZ119" s="21"/>
      <c r="QA119" s="21"/>
      <c r="QB119" s="21"/>
      <c r="QC119" s="21"/>
      <c r="QD119" s="21"/>
      <c r="QE119" s="21"/>
      <c r="QF119" s="21"/>
      <c r="QG119" s="21"/>
      <c r="QH119" s="21"/>
      <c r="QI119" s="21"/>
      <c r="QJ119" s="21"/>
      <c r="QK119" s="21"/>
      <c r="QL119" s="21"/>
      <c r="QM119" s="21"/>
      <c r="QN119" s="21"/>
      <c r="QO119" s="21"/>
      <c r="QP119" s="21"/>
      <c r="QQ119" s="21"/>
      <c r="QR119" s="21"/>
      <c r="QS119" s="21"/>
      <c r="QT119" s="21"/>
      <c r="QU119" s="21"/>
      <c r="QV119" s="21"/>
      <c r="QW119" s="21"/>
      <c r="QX119" s="21"/>
      <c r="QY119" s="21"/>
      <c r="QZ119" s="21"/>
      <c r="RA119" s="21"/>
      <c r="RB119" s="21"/>
      <c r="RC119" s="21"/>
      <c r="RD119" s="21"/>
      <c r="RE119" s="21"/>
      <c r="RF119" s="21"/>
      <c r="RG119" s="21"/>
      <c r="RH119" s="21"/>
      <c r="RI119" s="21"/>
      <c r="RJ119" s="21"/>
      <c r="RK119" s="21"/>
      <c r="RL119" s="21"/>
      <c r="RM119" s="21"/>
      <c r="RN119" s="21"/>
      <c r="RO119" s="21"/>
      <c r="RP119" s="21"/>
      <c r="RQ119" s="21"/>
      <c r="RR119" s="21"/>
      <c r="RS119" s="21"/>
      <c r="RT119" s="21"/>
      <c r="RU119" s="21"/>
      <c r="RV119" s="21"/>
      <c r="RW119" s="21"/>
      <c r="RX119" s="21"/>
      <c r="RY119" s="21"/>
      <c r="RZ119" s="21"/>
      <c r="SA119" s="21"/>
      <c r="SB119" s="21"/>
      <c r="SC119" s="21"/>
      <c r="SD119" s="21"/>
      <c r="SE119" s="21"/>
      <c r="SF119" s="21"/>
      <c r="SG119" s="21"/>
      <c r="SH119" s="21"/>
      <c r="SI119" s="21"/>
      <c r="SJ119" s="21"/>
      <c r="SK119" s="21"/>
      <c r="SL119" s="21"/>
      <c r="SM119" s="21"/>
      <c r="SN119" s="21"/>
      <c r="SO119" s="21"/>
      <c r="SP119" s="21"/>
      <c r="SQ119" s="21"/>
      <c r="SR119" s="21"/>
      <c r="SS119" s="21"/>
      <c r="ST119" s="21"/>
      <c r="SU119" s="21"/>
      <c r="SV119" s="21"/>
      <c r="SW119" s="21"/>
      <c r="SX119" s="21"/>
      <c r="SY119" s="21"/>
      <c r="SZ119" s="21"/>
      <c r="TA119" s="21"/>
      <c r="TB119" s="21"/>
      <c r="TC119" s="21"/>
      <c r="TD119" s="21"/>
      <c r="TE119" s="21"/>
      <c r="TF119" s="21"/>
      <c r="TG119" s="21"/>
      <c r="TH119" s="21"/>
      <c r="TI119" s="21"/>
      <c r="TJ119" s="21"/>
      <c r="TK119" s="21"/>
      <c r="TL119" s="21"/>
      <c r="TM119" s="21"/>
      <c r="TN119" s="21"/>
      <c r="TO119" s="21"/>
      <c r="TP119" s="21"/>
      <c r="TQ119" s="21"/>
      <c r="TR119" s="21"/>
      <c r="TS119" s="21"/>
      <c r="TT119" s="21"/>
      <c r="TU119" s="21"/>
      <c r="TV119" s="21"/>
      <c r="TW119" s="21"/>
      <c r="TX119" s="21"/>
      <c r="TY119" s="21"/>
      <c r="TZ119" s="21"/>
      <c r="UA119" s="21"/>
      <c r="UB119" s="21"/>
      <c r="UC119" s="21"/>
      <c r="UD119" s="21"/>
      <c r="UE119" s="21"/>
      <c r="UF119" s="21"/>
      <c r="UG119" s="21"/>
      <c r="UH119" s="21"/>
      <c r="UI119" s="21"/>
      <c r="UJ119" s="21"/>
      <c r="UK119" s="21"/>
      <c r="UL119" s="21"/>
      <c r="UM119" s="21"/>
      <c r="UN119" s="21"/>
      <c r="UO119" s="21"/>
      <c r="UP119" s="21"/>
      <c r="UQ119" s="21"/>
      <c r="UR119" s="21"/>
      <c r="US119" s="21"/>
      <c r="UT119" s="21"/>
      <c r="UU119" s="21"/>
      <c r="UV119" s="21"/>
      <c r="UW119" s="21"/>
      <c r="UX119" s="21"/>
      <c r="UY119" s="21"/>
      <c r="UZ119" s="21"/>
      <c r="VA119" s="21"/>
      <c r="VB119" s="21"/>
      <c r="VC119" s="21"/>
      <c r="VD119" s="21"/>
      <c r="VE119" s="21"/>
      <c r="VF119" s="21"/>
      <c r="VG119" s="21"/>
      <c r="VH119" s="21"/>
      <c r="VI119" s="21"/>
      <c r="VJ119" s="21"/>
      <c r="VK119" s="21"/>
      <c r="VL119" s="21"/>
      <c r="VM119" s="21"/>
      <c r="VN119" s="21"/>
      <c r="VO119" s="21"/>
      <c r="VP119" s="21"/>
      <c r="VQ119" s="21"/>
      <c r="VR119" s="21"/>
      <c r="VS119" s="21"/>
      <c r="VT119" s="21"/>
      <c r="VU119" s="21"/>
      <c r="VV119" s="21"/>
      <c r="VW119" s="21"/>
      <c r="VX119" s="21"/>
      <c r="VY119" s="21"/>
      <c r="VZ119" s="21"/>
      <c r="WA119" s="21"/>
      <c r="WB119" s="21"/>
      <c r="WC119" s="21"/>
      <c r="WD119" s="21"/>
      <c r="WE119" s="21"/>
      <c r="WF119" s="21"/>
      <c r="WG119" s="21"/>
      <c r="WH119" s="21"/>
      <c r="WI119" s="21"/>
      <c r="WJ119" s="21"/>
      <c r="WK119" s="21"/>
      <c r="WL119" s="21"/>
      <c r="WM119" s="21"/>
      <c r="WN119" s="21"/>
      <c r="WO119" s="21"/>
      <c r="WP119" s="21"/>
      <c r="WQ119" s="21"/>
      <c r="WR119" s="21"/>
      <c r="WS119" s="21"/>
      <c r="WT119" s="21"/>
      <c r="WU119" s="21"/>
      <c r="WV119" s="21"/>
      <c r="WW119" s="21"/>
      <c r="WX119" s="21"/>
      <c r="WY119" s="21"/>
      <c r="WZ119" s="21"/>
      <c r="XA119" s="21"/>
      <c r="XB119" s="21"/>
      <c r="XC119" s="21"/>
      <c r="XD119" s="21"/>
      <c r="XE119" s="21"/>
      <c r="XF119" s="21"/>
      <c r="XG119" s="21"/>
      <c r="XH119" s="21"/>
      <c r="XI119" s="21"/>
      <c r="XJ119" s="21"/>
      <c r="XK119" s="21"/>
      <c r="XL119" s="21"/>
      <c r="XM119" s="21"/>
      <c r="XN119" s="21"/>
      <c r="XO119" s="21"/>
      <c r="XP119" s="21"/>
      <c r="XQ119" s="21"/>
      <c r="XR119" s="21"/>
      <c r="XS119" s="21"/>
      <c r="XT119" s="21"/>
      <c r="XU119" s="21"/>
      <c r="XV119" s="21"/>
      <c r="XW119" s="21"/>
      <c r="XX119" s="21"/>
      <c r="XY119" s="21"/>
      <c r="XZ119" s="21"/>
      <c r="YA119" s="21"/>
      <c r="YB119" s="21"/>
      <c r="YC119" s="21"/>
      <c r="YD119" s="21"/>
      <c r="YE119" s="21"/>
      <c r="YF119" s="21"/>
      <c r="YG119" s="21"/>
      <c r="YH119" s="21"/>
      <c r="YI119" s="21"/>
      <c r="YJ119" s="21"/>
      <c r="YK119" s="21"/>
      <c r="YL119" s="21"/>
      <c r="YM119" s="21"/>
      <c r="YN119" s="21"/>
      <c r="YO119" s="21"/>
      <c r="YP119" s="21"/>
      <c r="YQ119" s="21"/>
      <c r="YR119" s="21"/>
      <c r="YS119" s="21"/>
      <c r="YT119" s="21"/>
      <c r="YU119" s="21"/>
      <c r="YV119" s="21"/>
      <c r="YW119" s="21"/>
      <c r="YX119" s="21"/>
      <c r="YY119" s="21"/>
      <c r="YZ119" s="21"/>
      <c r="ZA119" s="21"/>
      <c r="ZB119" s="21"/>
      <c r="ZC119" s="21"/>
      <c r="ZD119" s="21"/>
      <c r="ZE119" s="21"/>
      <c r="ZF119" s="21"/>
      <c r="ZG119" s="21"/>
      <c r="ZH119" s="21"/>
      <c r="ZI119" s="21"/>
      <c r="ZJ119" s="21"/>
      <c r="ZK119" s="21"/>
      <c r="ZL119" s="21"/>
      <c r="ZM119" s="21"/>
      <c r="ZN119" s="21"/>
      <c r="ZO119" s="21"/>
      <c r="ZP119" s="21"/>
      <c r="ZQ119" s="21"/>
      <c r="ZR119" s="21"/>
      <c r="ZS119" s="21"/>
      <c r="ZT119" s="21"/>
      <c r="ZU119" s="21"/>
      <c r="ZV119" s="21"/>
      <c r="ZW119" s="21"/>
      <c r="ZX119" s="21"/>
      <c r="ZY119" s="21"/>
      <c r="ZZ119" s="21"/>
      <c r="AAA119" s="21"/>
      <c r="AAB119" s="21"/>
      <c r="AAC119" s="21"/>
      <c r="AAD119" s="21"/>
      <c r="AAE119" s="21"/>
      <c r="AAF119" s="21"/>
      <c r="AAG119" s="21"/>
      <c r="AAH119" s="21"/>
      <c r="AAI119" s="21"/>
      <c r="AAJ119" s="21"/>
      <c r="AAK119" s="21"/>
      <c r="AAL119" s="21"/>
      <c r="AAM119" s="21"/>
      <c r="AAN119" s="21"/>
      <c r="AAO119" s="21"/>
      <c r="AAP119" s="21"/>
      <c r="AAQ119" s="21"/>
      <c r="AAR119" s="21"/>
      <c r="AAS119" s="21"/>
      <c r="AAT119" s="21"/>
      <c r="AAU119" s="21"/>
      <c r="AAV119" s="21"/>
      <c r="AAW119" s="21"/>
      <c r="AAX119" s="21"/>
      <c r="AAY119" s="21"/>
      <c r="AAZ119" s="21"/>
      <c r="ABA119" s="21"/>
      <c r="ABB119" s="21"/>
      <c r="ABC119" s="21"/>
      <c r="ABD119" s="21"/>
      <c r="ABE119" s="21"/>
      <c r="ABF119" s="21"/>
      <c r="ABG119" s="21"/>
      <c r="ABH119" s="21"/>
      <c r="ABI119" s="21"/>
      <c r="ABJ119" s="21"/>
      <c r="ABK119" s="21"/>
      <c r="ABL119" s="21"/>
      <c r="ABM119" s="21"/>
      <c r="ABN119" s="21"/>
      <c r="ABO119" s="21"/>
      <c r="ABP119" s="21"/>
      <c r="ABQ119" s="21"/>
      <c r="ABR119" s="21"/>
      <c r="ABS119" s="21"/>
      <c r="ABT119" s="21"/>
      <c r="ABU119" s="21"/>
      <c r="ABV119" s="21"/>
      <c r="ABW119" s="21"/>
      <c r="ABX119" s="21"/>
      <c r="ABY119" s="21"/>
      <c r="ABZ119" s="21"/>
      <c r="ACA119" s="21"/>
      <c r="ACB119" s="21"/>
      <c r="ACC119" s="21"/>
      <c r="ACD119" s="21"/>
      <c r="ACE119" s="21"/>
      <c r="ACF119" s="21"/>
      <c r="ACG119" s="21"/>
      <c r="ACH119" s="21"/>
      <c r="ACI119" s="21"/>
      <c r="ACJ119" s="21"/>
      <c r="ACK119" s="21"/>
      <c r="ACL119" s="21"/>
      <c r="ACM119" s="21"/>
      <c r="ACN119" s="21"/>
      <c r="ACO119" s="21"/>
      <c r="ACP119" s="21"/>
      <c r="ACQ119" s="21"/>
      <c r="ACR119" s="21"/>
      <c r="ACS119" s="21"/>
      <c r="ACT119" s="21"/>
      <c r="ACU119" s="21"/>
      <c r="ACV119" s="21"/>
      <c r="ACW119" s="21"/>
      <c r="ACX119" s="21"/>
      <c r="ACY119" s="21"/>
      <c r="ACZ119" s="21"/>
      <c r="ADA119" s="21"/>
      <c r="ADB119" s="21"/>
      <c r="ADC119" s="21"/>
      <c r="ADD119" s="21"/>
      <c r="ADE119" s="21"/>
      <c r="ADF119" s="21"/>
      <c r="ADG119" s="21"/>
      <c r="ADH119" s="21"/>
      <c r="ADI119" s="21"/>
      <c r="ADJ119" s="21"/>
      <c r="ADK119" s="21"/>
      <c r="ADL119" s="21"/>
      <c r="ADM119" s="21"/>
      <c r="ADN119" s="21"/>
      <c r="ADO119" s="21"/>
      <c r="ADP119" s="21"/>
      <c r="ADQ119" s="21"/>
      <c r="ADR119" s="21"/>
      <c r="ADS119" s="21"/>
      <c r="ADT119" s="21"/>
      <c r="ADU119" s="21"/>
      <c r="ADV119" s="21"/>
      <c r="ADW119" s="21"/>
      <c r="ADX119" s="21"/>
      <c r="ADY119" s="21"/>
      <c r="ADZ119" s="21"/>
      <c r="AEA119" s="21"/>
      <c r="AEB119" s="21"/>
      <c r="AEC119" s="21"/>
      <c r="AED119" s="21"/>
      <c r="AEE119" s="21"/>
      <c r="AEF119" s="21"/>
      <c r="AEG119" s="21"/>
      <c r="AEH119" s="21"/>
      <c r="AEI119" s="21"/>
      <c r="AEJ119" s="21"/>
      <c r="AEK119" s="21"/>
      <c r="AEL119" s="21"/>
      <c r="AEM119" s="21"/>
      <c r="AEN119" s="21"/>
      <c r="AEO119" s="21"/>
      <c r="AEP119" s="21"/>
      <c r="AEQ119" s="21"/>
      <c r="AER119" s="21"/>
      <c r="AES119" s="21"/>
      <c r="AET119" s="21"/>
      <c r="AEU119" s="21"/>
      <c r="AEV119" s="21"/>
      <c r="AEW119" s="21"/>
      <c r="AEX119" s="21"/>
      <c r="AEY119" s="21"/>
      <c r="AEZ119" s="21"/>
      <c r="AFA119" s="21"/>
      <c r="AFB119" s="21"/>
      <c r="AFC119" s="21"/>
      <c r="AFD119" s="21"/>
      <c r="AFE119" s="21"/>
      <c r="AFF119" s="21"/>
      <c r="AFG119" s="21"/>
      <c r="AFH119" s="21"/>
      <c r="AFI119" s="21"/>
      <c r="AFJ119" s="21"/>
      <c r="AFK119" s="21"/>
      <c r="AFL119" s="21"/>
      <c r="AFM119" s="21"/>
      <c r="AFN119" s="21"/>
      <c r="AFO119" s="21"/>
      <c r="AFP119" s="21"/>
      <c r="AFQ119" s="21"/>
      <c r="AFR119" s="21"/>
      <c r="AFS119" s="21"/>
      <c r="AFT119" s="21"/>
      <c r="AFU119" s="21"/>
      <c r="AFV119" s="21"/>
      <c r="AFW119" s="21"/>
      <c r="AFX119" s="21"/>
      <c r="AFY119" s="21"/>
      <c r="AFZ119" s="21"/>
      <c r="AGA119" s="21"/>
      <c r="AGB119" s="21"/>
      <c r="AGC119" s="21"/>
      <c r="AGD119" s="21"/>
      <c r="AGE119" s="21"/>
      <c r="AGF119" s="21"/>
      <c r="AGG119" s="21"/>
      <c r="AGH119" s="21"/>
      <c r="AGI119" s="21"/>
      <c r="AGJ119" s="21"/>
      <c r="AGK119" s="21"/>
      <c r="AGL119" s="21"/>
      <c r="AGM119" s="21"/>
      <c r="AGN119" s="21"/>
      <c r="AGO119" s="21"/>
      <c r="AGP119" s="21"/>
      <c r="AGQ119" s="21"/>
      <c r="AGR119" s="21"/>
      <c r="AGS119" s="21"/>
    </row>
    <row r="120" spans="1:877" ht="13">
      <c r="A120" s="12"/>
      <c r="B120" s="12"/>
      <c r="C120" s="12"/>
      <c r="D120" s="12"/>
      <c r="E120" s="12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  <c r="BJ120" s="55"/>
      <c r="BK120" s="55"/>
      <c r="BL120" s="55"/>
      <c r="BM120" s="55"/>
      <c r="BN120" s="55"/>
      <c r="BO120" s="55"/>
      <c r="BP120" s="55"/>
      <c r="BQ120" s="55"/>
      <c r="BR120" s="55"/>
      <c r="BS120" s="55"/>
      <c r="BT120" s="55"/>
      <c r="BU120" s="55"/>
      <c r="BV120" s="55"/>
      <c r="BW120" s="55"/>
      <c r="BX120" s="55"/>
      <c r="BY120" s="55"/>
      <c r="BZ120" s="55"/>
      <c r="CA120" s="55"/>
      <c r="CB120" s="55"/>
      <c r="CC120" s="55"/>
      <c r="CD120" s="55"/>
      <c r="CE120" s="55"/>
      <c r="CF120" s="55"/>
      <c r="CG120" s="55"/>
      <c r="CH120" s="55"/>
      <c r="CI120" s="55"/>
      <c r="CJ120" s="55"/>
      <c r="CK120" s="55"/>
      <c r="CL120" s="55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  <c r="IY120" s="21"/>
      <c r="IZ120" s="21"/>
      <c r="JA120" s="21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  <c r="JO120" s="21"/>
      <c r="JP120" s="21"/>
      <c r="JQ120" s="21"/>
      <c r="JR120" s="21"/>
      <c r="JS120" s="21"/>
      <c r="JT120" s="21"/>
      <c r="JU120" s="21"/>
      <c r="JV120" s="21"/>
      <c r="JW120" s="21"/>
      <c r="JX120" s="21"/>
      <c r="JY120" s="21"/>
      <c r="JZ120" s="21"/>
      <c r="KA120" s="21"/>
      <c r="KB120" s="21"/>
      <c r="KC120" s="21"/>
      <c r="KD120" s="21"/>
      <c r="KE120" s="21"/>
      <c r="KF120" s="21"/>
      <c r="KG120" s="21"/>
      <c r="KH120" s="21"/>
      <c r="KI120" s="21"/>
      <c r="KJ120" s="21"/>
      <c r="KK120" s="21"/>
      <c r="KL120" s="21"/>
      <c r="KM120" s="21"/>
      <c r="KN120" s="21"/>
      <c r="KO120" s="21"/>
      <c r="KP120" s="21"/>
      <c r="KQ120" s="21"/>
      <c r="KR120" s="21"/>
      <c r="KS120" s="21"/>
      <c r="KT120" s="21"/>
      <c r="KU120" s="21"/>
      <c r="KV120" s="21"/>
      <c r="KW120" s="21"/>
      <c r="KX120" s="21"/>
      <c r="KY120" s="21"/>
      <c r="KZ120" s="21"/>
      <c r="LA120" s="21"/>
      <c r="LB120" s="21"/>
      <c r="LC120" s="21"/>
      <c r="LD120" s="21"/>
      <c r="LE120" s="21"/>
      <c r="LF120" s="21"/>
      <c r="LG120" s="21"/>
      <c r="LH120" s="21"/>
      <c r="LI120" s="21"/>
      <c r="LJ120" s="21"/>
      <c r="LK120" s="21"/>
      <c r="LL120" s="21"/>
      <c r="LM120" s="21"/>
      <c r="LN120" s="21"/>
      <c r="LO120" s="21"/>
      <c r="LP120" s="21"/>
      <c r="LQ120" s="21"/>
      <c r="LR120" s="21"/>
      <c r="LS120" s="21"/>
      <c r="LT120" s="21"/>
      <c r="LU120" s="21"/>
      <c r="LV120" s="21"/>
      <c r="LW120" s="21"/>
      <c r="LX120" s="21"/>
      <c r="LY120" s="21"/>
      <c r="LZ120" s="21"/>
      <c r="MA120" s="21"/>
      <c r="MB120" s="21"/>
      <c r="MC120" s="21"/>
      <c r="MD120" s="21"/>
      <c r="ME120" s="21"/>
      <c r="MF120" s="21"/>
      <c r="MG120" s="21"/>
      <c r="MH120" s="21"/>
      <c r="MI120" s="21"/>
      <c r="MJ120" s="21"/>
      <c r="MK120" s="21"/>
      <c r="ML120" s="21"/>
      <c r="MM120" s="21"/>
      <c r="MN120" s="21"/>
      <c r="MO120" s="21"/>
      <c r="MP120" s="21"/>
      <c r="MQ120" s="21"/>
      <c r="MR120" s="21"/>
      <c r="MS120" s="21"/>
      <c r="MT120" s="21"/>
      <c r="MU120" s="21"/>
      <c r="MV120" s="21"/>
      <c r="MW120" s="21"/>
      <c r="MX120" s="21"/>
      <c r="MY120" s="21"/>
      <c r="MZ120" s="21"/>
      <c r="NA120" s="21"/>
      <c r="NB120" s="21"/>
      <c r="NC120" s="21"/>
      <c r="ND120" s="21"/>
      <c r="NE120" s="21"/>
      <c r="NF120" s="21"/>
      <c r="NG120" s="21"/>
      <c r="NH120" s="21"/>
      <c r="NI120" s="21"/>
      <c r="NJ120" s="21"/>
      <c r="NK120" s="21"/>
      <c r="NL120" s="21"/>
      <c r="NM120" s="21"/>
      <c r="NN120" s="21"/>
      <c r="NO120" s="21"/>
      <c r="NP120" s="21"/>
      <c r="NQ120" s="21"/>
      <c r="NR120" s="21"/>
      <c r="NS120" s="21"/>
      <c r="NT120" s="21"/>
      <c r="NU120" s="21"/>
      <c r="NV120" s="21"/>
      <c r="NW120" s="21"/>
      <c r="NX120" s="21"/>
      <c r="NY120" s="21"/>
      <c r="NZ120" s="21"/>
      <c r="OA120" s="21"/>
      <c r="OB120" s="21"/>
      <c r="OC120" s="21"/>
      <c r="OD120" s="21"/>
      <c r="OE120" s="21"/>
      <c r="OF120" s="21"/>
      <c r="OG120" s="21"/>
      <c r="OH120" s="21"/>
      <c r="OI120" s="21"/>
      <c r="OJ120" s="21"/>
      <c r="OK120" s="21"/>
      <c r="OL120" s="21"/>
      <c r="OM120" s="21"/>
      <c r="ON120" s="21"/>
      <c r="OO120" s="21"/>
      <c r="OP120" s="21"/>
      <c r="OQ120" s="21"/>
      <c r="OR120" s="21"/>
      <c r="OS120" s="21"/>
      <c r="OT120" s="21"/>
      <c r="OU120" s="21"/>
      <c r="OV120" s="21"/>
      <c r="OW120" s="21"/>
      <c r="OX120" s="21"/>
      <c r="OY120" s="21"/>
      <c r="OZ120" s="21"/>
      <c r="PA120" s="21"/>
      <c r="PB120" s="21"/>
      <c r="PC120" s="21"/>
      <c r="PD120" s="21"/>
      <c r="PE120" s="21"/>
      <c r="PF120" s="21"/>
      <c r="PG120" s="21"/>
      <c r="PH120" s="21"/>
      <c r="PI120" s="21"/>
      <c r="PJ120" s="21"/>
      <c r="PK120" s="21"/>
      <c r="PL120" s="21"/>
      <c r="PM120" s="21"/>
      <c r="PN120" s="21"/>
      <c r="PO120" s="21"/>
      <c r="PP120" s="21"/>
      <c r="PQ120" s="21"/>
      <c r="PR120" s="21"/>
      <c r="PS120" s="21"/>
      <c r="PT120" s="21"/>
      <c r="PU120" s="21"/>
      <c r="PV120" s="21"/>
      <c r="PW120" s="21"/>
      <c r="PX120" s="21"/>
      <c r="PY120" s="21"/>
      <c r="PZ120" s="21"/>
      <c r="QA120" s="21"/>
      <c r="QB120" s="21"/>
      <c r="QC120" s="21"/>
      <c r="QD120" s="21"/>
      <c r="QE120" s="21"/>
      <c r="QF120" s="21"/>
      <c r="QG120" s="21"/>
      <c r="QH120" s="21"/>
      <c r="QI120" s="21"/>
      <c r="QJ120" s="21"/>
      <c r="QK120" s="21"/>
      <c r="QL120" s="21"/>
      <c r="QM120" s="21"/>
      <c r="QN120" s="21"/>
      <c r="QO120" s="21"/>
      <c r="QP120" s="21"/>
      <c r="QQ120" s="21"/>
      <c r="QR120" s="21"/>
      <c r="QS120" s="21"/>
      <c r="QT120" s="21"/>
      <c r="QU120" s="21"/>
      <c r="QV120" s="21"/>
      <c r="QW120" s="21"/>
      <c r="QX120" s="21"/>
      <c r="QY120" s="21"/>
      <c r="QZ120" s="21"/>
      <c r="RA120" s="21"/>
      <c r="RB120" s="21"/>
      <c r="RC120" s="21"/>
      <c r="RD120" s="21"/>
      <c r="RE120" s="21"/>
      <c r="RF120" s="21"/>
      <c r="RG120" s="21"/>
      <c r="RH120" s="21"/>
      <c r="RI120" s="21"/>
      <c r="RJ120" s="21"/>
      <c r="RK120" s="21"/>
      <c r="RL120" s="21"/>
      <c r="RM120" s="21"/>
      <c r="RN120" s="21"/>
      <c r="RO120" s="21"/>
      <c r="RP120" s="21"/>
      <c r="RQ120" s="21"/>
      <c r="RR120" s="21"/>
      <c r="RS120" s="21"/>
      <c r="RT120" s="21"/>
      <c r="RU120" s="21"/>
      <c r="RV120" s="21"/>
      <c r="RW120" s="21"/>
      <c r="RX120" s="21"/>
      <c r="RY120" s="21"/>
      <c r="RZ120" s="21"/>
      <c r="SA120" s="21"/>
      <c r="SB120" s="21"/>
      <c r="SC120" s="21"/>
      <c r="SD120" s="21"/>
      <c r="SE120" s="21"/>
      <c r="SF120" s="21"/>
      <c r="SG120" s="21"/>
      <c r="SH120" s="21"/>
      <c r="SI120" s="21"/>
      <c r="SJ120" s="21"/>
      <c r="SK120" s="21"/>
      <c r="SL120" s="21"/>
      <c r="SM120" s="21"/>
      <c r="SN120" s="21"/>
      <c r="SO120" s="21"/>
      <c r="SP120" s="21"/>
      <c r="SQ120" s="21"/>
      <c r="SR120" s="21"/>
      <c r="SS120" s="21"/>
      <c r="ST120" s="21"/>
      <c r="SU120" s="21"/>
      <c r="SV120" s="21"/>
      <c r="SW120" s="21"/>
      <c r="SX120" s="21"/>
      <c r="SY120" s="21"/>
      <c r="SZ120" s="21"/>
      <c r="TA120" s="21"/>
      <c r="TB120" s="21"/>
      <c r="TC120" s="21"/>
      <c r="TD120" s="21"/>
      <c r="TE120" s="21"/>
      <c r="TF120" s="21"/>
      <c r="TG120" s="21"/>
      <c r="TH120" s="21"/>
      <c r="TI120" s="21"/>
      <c r="TJ120" s="21"/>
      <c r="TK120" s="21"/>
      <c r="TL120" s="21"/>
      <c r="TM120" s="21"/>
      <c r="TN120" s="21"/>
      <c r="TO120" s="21"/>
      <c r="TP120" s="21"/>
      <c r="TQ120" s="21"/>
      <c r="TR120" s="21"/>
      <c r="TS120" s="21"/>
      <c r="TT120" s="21"/>
      <c r="TU120" s="21"/>
      <c r="TV120" s="21"/>
      <c r="TW120" s="21"/>
      <c r="TX120" s="21"/>
      <c r="TY120" s="21"/>
      <c r="TZ120" s="21"/>
      <c r="UA120" s="21"/>
      <c r="UB120" s="21"/>
      <c r="UC120" s="21"/>
      <c r="UD120" s="21"/>
      <c r="UE120" s="21"/>
      <c r="UF120" s="21"/>
      <c r="UG120" s="21"/>
      <c r="UH120" s="21"/>
      <c r="UI120" s="21"/>
      <c r="UJ120" s="21"/>
      <c r="UK120" s="21"/>
      <c r="UL120" s="21"/>
      <c r="UM120" s="21"/>
      <c r="UN120" s="21"/>
      <c r="UO120" s="21"/>
      <c r="UP120" s="21"/>
      <c r="UQ120" s="21"/>
      <c r="UR120" s="21"/>
      <c r="US120" s="21"/>
      <c r="UT120" s="21"/>
      <c r="UU120" s="21"/>
      <c r="UV120" s="21"/>
      <c r="UW120" s="21"/>
      <c r="UX120" s="21"/>
      <c r="UY120" s="21"/>
      <c r="UZ120" s="21"/>
      <c r="VA120" s="21"/>
      <c r="VB120" s="21"/>
      <c r="VC120" s="21"/>
      <c r="VD120" s="21"/>
      <c r="VE120" s="21"/>
      <c r="VF120" s="21"/>
      <c r="VG120" s="21"/>
      <c r="VH120" s="21"/>
      <c r="VI120" s="21"/>
      <c r="VJ120" s="21"/>
      <c r="VK120" s="21"/>
      <c r="VL120" s="21"/>
      <c r="VM120" s="21"/>
      <c r="VN120" s="21"/>
      <c r="VO120" s="21"/>
      <c r="VP120" s="21"/>
      <c r="VQ120" s="21"/>
      <c r="VR120" s="21"/>
      <c r="VS120" s="21"/>
      <c r="VT120" s="21"/>
      <c r="VU120" s="21"/>
      <c r="VV120" s="21"/>
      <c r="VW120" s="21"/>
      <c r="VX120" s="21"/>
      <c r="VY120" s="21"/>
      <c r="VZ120" s="21"/>
      <c r="WA120" s="21"/>
      <c r="WB120" s="21"/>
      <c r="WC120" s="21"/>
      <c r="WD120" s="21"/>
      <c r="WE120" s="21"/>
      <c r="WF120" s="21"/>
      <c r="WG120" s="21"/>
      <c r="WH120" s="21"/>
      <c r="WI120" s="21"/>
      <c r="WJ120" s="21"/>
      <c r="WK120" s="21"/>
      <c r="WL120" s="21"/>
      <c r="WM120" s="21"/>
      <c r="WN120" s="21"/>
      <c r="WO120" s="21"/>
      <c r="WP120" s="21"/>
      <c r="WQ120" s="21"/>
      <c r="WR120" s="21"/>
      <c r="WS120" s="21"/>
      <c r="WT120" s="21"/>
      <c r="WU120" s="21"/>
      <c r="WV120" s="21"/>
      <c r="WW120" s="21"/>
      <c r="WX120" s="21"/>
      <c r="WY120" s="21"/>
      <c r="WZ120" s="21"/>
      <c r="XA120" s="21"/>
      <c r="XB120" s="21"/>
      <c r="XC120" s="21"/>
      <c r="XD120" s="21"/>
      <c r="XE120" s="21"/>
      <c r="XF120" s="21"/>
      <c r="XG120" s="21"/>
      <c r="XH120" s="21"/>
      <c r="XI120" s="21"/>
      <c r="XJ120" s="21"/>
      <c r="XK120" s="21"/>
      <c r="XL120" s="21"/>
      <c r="XM120" s="21"/>
      <c r="XN120" s="21"/>
      <c r="XO120" s="21"/>
      <c r="XP120" s="21"/>
      <c r="XQ120" s="21"/>
      <c r="XR120" s="21"/>
      <c r="XS120" s="21"/>
      <c r="XT120" s="21"/>
      <c r="XU120" s="21"/>
      <c r="XV120" s="21"/>
      <c r="XW120" s="21"/>
      <c r="XX120" s="21"/>
      <c r="XY120" s="21"/>
      <c r="XZ120" s="21"/>
      <c r="YA120" s="21"/>
      <c r="YB120" s="21"/>
      <c r="YC120" s="21"/>
      <c r="YD120" s="21"/>
      <c r="YE120" s="21"/>
      <c r="YF120" s="21"/>
      <c r="YG120" s="21"/>
      <c r="YH120" s="21"/>
      <c r="YI120" s="21"/>
      <c r="YJ120" s="21"/>
      <c r="YK120" s="21"/>
      <c r="YL120" s="21"/>
      <c r="YM120" s="21"/>
      <c r="YN120" s="21"/>
      <c r="YO120" s="21"/>
      <c r="YP120" s="21"/>
      <c r="YQ120" s="21"/>
      <c r="YR120" s="21"/>
      <c r="YS120" s="21"/>
      <c r="YT120" s="21"/>
      <c r="YU120" s="21"/>
      <c r="YV120" s="21"/>
      <c r="YW120" s="21"/>
      <c r="YX120" s="21"/>
      <c r="YY120" s="21"/>
      <c r="YZ120" s="21"/>
      <c r="ZA120" s="21"/>
      <c r="ZB120" s="21"/>
      <c r="ZC120" s="21"/>
      <c r="ZD120" s="21"/>
      <c r="ZE120" s="21"/>
      <c r="ZF120" s="21"/>
      <c r="ZG120" s="21"/>
      <c r="ZH120" s="21"/>
      <c r="ZI120" s="21"/>
      <c r="ZJ120" s="21"/>
      <c r="ZK120" s="21"/>
      <c r="ZL120" s="21"/>
      <c r="ZM120" s="21"/>
      <c r="ZN120" s="21"/>
      <c r="ZO120" s="21"/>
      <c r="ZP120" s="21"/>
      <c r="ZQ120" s="21"/>
      <c r="ZR120" s="21"/>
      <c r="ZS120" s="21"/>
      <c r="ZT120" s="21"/>
      <c r="ZU120" s="21"/>
      <c r="ZV120" s="21"/>
      <c r="ZW120" s="21"/>
      <c r="ZX120" s="21"/>
      <c r="ZY120" s="21"/>
      <c r="ZZ120" s="21"/>
      <c r="AAA120" s="21"/>
      <c r="AAB120" s="21"/>
      <c r="AAC120" s="21"/>
      <c r="AAD120" s="21"/>
      <c r="AAE120" s="21"/>
      <c r="AAF120" s="21"/>
      <c r="AAG120" s="21"/>
      <c r="AAH120" s="21"/>
      <c r="AAI120" s="21"/>
      <c r="AAJ120" s="21"/>
      <c r="AAK120" s="21"/>
      <c r="AAL120" s="21"/>
      <c r="AAM120" s="21"/>
      <c r="AAN120" s="21"/>
      <c r="AAO120" s="21"/>
      <c r="AAP120" s="21"/>
      <c r="AAQ120" s="21"/>
      <c r="AAR120" s="21"/>
      <c r="AAS120" s="21"/>
      <c r="AAT120" s="21"/>
      <c r="AAU120" s="21"/>
      <c r="AAV120" s="21"/>
      <c r="AAW120" s="21"/>
      <c r="AAX120" s="21"/>
      <c r="AAY120" s="21"/>
      <c r="AAZ120" s="21"/>
      <c r="ABA120" s="21"/>
      <c r="ABB120" s="21"/>
      <c r="ABC120" s="21"/>
      <c r="ABD120" s="21"/>
      <c r="ABE120" s="21"/>
      <c r="ABF120" s="21"/>
      <c r="ABG120" s="21"/>
      <c r="ABH120" s="21"/>
      <c r="ABI120" s="21"/>
      <c r="ABJ120" s="21"/>
      <c r="ABK120" s="21"/>
      <c r="ABL120" s="21"/>
      <c r="ABM120" s="21"/>
      <c r="ABN120" s="21"/>
      <c r="ABO120" s="21"/>
      <c r="ABP120" s="21"/>
      <c r="ABQ120" s="21"/>
      <c r="ABR120" s="21"/>
      <c r="ABS120" s="21"/>
      <c r="ABT120" s="21"/>
      <c r="ABU120" s="21"/>
      <c r="ABV120" s="21"/>
      <c r="ABW120" s="21"/>
      <c r="ABX120" s="21"/>
      <c r="ABY120" s="21"/>
      <c r="ABZ120" s="21"/>
      <c r="ACA120" s="21"/>
      <c r="ACB120" s="21"/>
      <c r="ACC120" s="21"/>
      <c r="ACD120" s="21"/>
      <c r="ACE120" s="21"/>
      <c r="ACF120" s="21"/>
      <c r="ACG120" s="21"/>
      <c r="ACH120" s="21"/>
      <c r="ACI120" s="21"/>
      <c r="ACJ120" s="21"/>
      <c r="ACK120" s="21"/>
      <c r="ACL120" s="21"/>
      <c r="ACM120" s="21"/>
      <c r="ACN120" s="21"/>
      <c r="ACO120" s="21"/>
      <c r="ACP120" s="21"/>
      <c r="ACQ120" s="21"/>
      <c r="ACR120" s="21"/>
      <c r="ACS120" s="21"/>
      <c r="ACT120" s="21"/>
      <c r="ACU120" s="21"/>
      <c r="ACV120" s="21"/>
      <c r="ACW120" s="21"/>
      <c r="ACX120" s="21"/>
      <c r="ACY120" s="21"/>
      <c r="ACZ120" s="21"/>
      <c r="ADA120" s="21"/>
      <c r="ADB120" s="21"/>
      <c r="ADC120" s="21"/>
      <c r="ADD120" s="21"/>
      <c r="ADE120" s="21"/>
      <c r="ADF120" s="21"/>
      <c r="ADG120" s="21"/>
      <c r="ADH120" s="21"/>
      <c r="ADI120" s="21"/>
      <c r="ADJ120" s="21"/>
      <c r="ADK120" s="21"/>
      <c r="ADL120" s="21"/>
      <c r="ADM120" s="21"/>
      <c r="ADN120" s="21"/>
      <c r="ADO120" s="21"/>
      <c r="ADP120" s="21"/>
      <c r="ADQ120" s="21"/>
      <c r="ADR120" s="21"/>
      <c r="ADS120" s="21"/>
      <c r="ADT120" s="21"/>
      <c r="ADU120" s="21"/>
      <c r="ADV120" s="21"/>
      <c r="ADW120" s="21"/>
      <c r="ADX120" s="21"/>
      <c r="ADY120" s="21"/>
      <c r="ADZ120" s="21"/>
      <c r="AEA120" s="21"/>
      <c r="AEB120" s="21"/>
      <c r="AEC120" s="21"/>
      <c r="AED120" s="21"/>
      <c r="AEE120" s="21"/>
      <c r="AEF120" s="21"/>
      <c r="AEG120" s="21"/>
      <c r="AEH120" s="21"/>
      <c r="AEI120" s="21"/>
      <c r="AEJ120" s="21"/>
      <c r="AEK120" s="21"/>
      <c r="AEL120" s="21"/>
      <c r="AEM120" s="21"/>
      <c r="AEN120" s="21"/>
      <c r="AEO120" s="21"/>
      <c r="AEP120" s="21"/>
      <c r="AEQ120" s="21"/>
      <c r="AER120" s="21"/>
      <c r="AES120" s="21"/>
      <c r="AET120" s="21"/>
      <c r="AEU120" s="21"/>
      <c r="AEV120" s="21"/>
      <c r="AEW120" s="21"/>
      <c r="AEX120" s="21"/>
      <c r="AEY120" s="21"/>
      <c r="AEZ120" s="21"/>
      <c r="AFA120" s="21"/>
      <c r="AFB120" s="21"/>
      <c r="AFC120" s="21"/>
      <c r="AFD120" s="21"/>
      <c r="AFE120" s="21"/>
      <c r="AFF120" s="21"/>
      <c r="AFG120" s="21"/>
      <c r="AFH120" s="21"/>
      <c r="AFI120" s="21"/>
      <c r="AFJ120" s="21"/>
      <c r="AFK120" s="21"/>
      <c r="AFL120" s="21"/>
      <c r="AFM120" s="21"/>
      <c r="AFN120" s="21"/>
      <c r="AFO120" s="21"/>
      <c r="AFP120" s="21"/>
      <c r="AFQ120" s="21"/>
      <c r="AFR120" s="21"/>
      <c r="AFS120" s="21"/>
      <c r="AFT120" s="21"/>
      <c r="AFU120" s="21"/>
      <c r="AFV120" s="21"/>
      <c r="AFW120" s="21"/>
      <c r="AFX120" s="21"/>
      <c r="AFY120" s="21"/>
      <c r="AFZ120" s="21"/>
      <c r="AGA120" s="21"/>
      <c r="AGB120" s="21"/>
      <c r="AGC120" s="21"/>
      <c r="AGD120" s="21"/>
      <c r="AGE120" s="21"/>
      <c r="AGF120" s="21"/>
      <c r="AGG120" s="21"/>
      <c r="AGH120" s="21"/>
      <c r="AGI120" s="21"/>
      <c r="AGJ120" s="21"/>
      <c r="AGK120" s="21"/>
      <c r="AGL120" s="21"/>
      <c r="AGM120" s="21"/>
      <c r="AGN120" s="21"/>
      <c r="AGO120" s="21"/>
      <c r="AGP120" s="21"/>
      <c r="AGQ120" s="21"/>
      <c r="AGR120" s="21"/>
      <c r="AGS120" s="21"/>
    </row>
    <row r="121" spans="1:877" ht="13">
      <c r="A121" s="12"/>
      <c r="B121" s="78" t="s">
        <v>67</v>
      </c>
      <c r="C121" s="79"/>
      <c r="D121" s="79"/>
      <c r="E121" s="79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  <c r="CG121" s="80"/>
      <c r="CH121" s="80"/>
      <c r="CI121" s="80"/>
      <c r="CJ121" s="80"/>
      <c r="CK121" s="80"/>
      <c r="CL121" s="80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  <c r="IY121" s="21"/>
      <c r="IZ121" s="21"/>
      <c r="JA121" s="21"/>
      <c r="JB121" s="21"/>
      <c r="JC121" s="21"/>
      <c r="JD121" s="21"/>
      <c r="JE121" s="21"/>
      <c r="JF121" s="21"/>
      <c r="JG121" s="21"/>
      <c r="JH121" s="21"/>
      <c r="JI121" s="21"/>
      <c r="JJ121" s="21"/>
      <c r="JK121" s="21"/>
      <c r="JL121" s="21"/>
      <c r="JM121" s="21"/>
      <c r="JN121" s="21"/>
      <c r="JO121" s="21"/>
      <c r="JP121" s="21"/>
      <c r="JQ121" s="21"/>
      <c r="JR121" s="21"/>
      <c r="JS121" s="21"/>
      <c r="JT121" s="21"/>
      <c r="JU121" s="21"/>
      <c r="JV121" s="21"/>
      <c r="JW121" s="21"/>
      <c r="JX121" s="21"/>
      <c r="JY121" s="21"/>
      <c r="JZ121" s="21"/>
      <c r="KA121" s="21"/>
      <c r="KB121" s="21"/>
      <c r="KC121" s="21"/>
      <c r="KD121" s="21"/>
      <c r="KE121" s="21"/>
      <c r="KF121" s="21"/>
      <c r="KG121" s="21"/>
      <c r="KH121" s="21"/>
      <c r="KI121" s="21"/>
      <c r="KJ121" s="21"/>
      <c r="KK121" s="21"/>
      <c r="KL121" s="21"/>
      <c r="KM121" s="21"/>
      <c r="KN121" s="21"/>
      <c r="KO121" s="21"/>
      <c r="KP121" s="21"/>
      <c r="KQ121" s="21"/>
      <c r="KR121" s="21"/>
      <c r="KS121" s="21"/>
      <c r="KT121" s="21"/>
      <c r="KU121" s="21"/>
      <c r="KV121" s="21"/>
      <c r="KW121" s="21"/>
      <c r="KX121" s="21"/>
      <c r="KY121" s="21"/>
      <c r="KZ121" s="21"/>
      <c r="LA121" s="21"/>
      <c r="LB121" s="21"/>
      <c r="LC121" s="21"/>
      <c r="LD121" s="21"/>
      <c r="LE121" s="21"/>
      <c r="LF121" s="21"/>
      <c r="LG121" s="21"/>
      <c r="LH121" s="21"/>
      <c r="LI121" s="21"/>
      <c r="LJ121" s="21"/>
      <c r="LK121" s="21"/>
      <c r="LL121" s="21"/>
      <c r="LM121" s="21"/>
      <c r="LN121" s="21"/>
      <c r="LO121" s="21"/>
      <c r="LP121" s="21"/>
      <c r="LQ121" s="21"/>
      <c r="LR121" s="21"/>
      <c r="LS121" s="21"/>
      <c r="LT121" s="21"/>
      <c r="LU121" s="21"/>
      <c r="LV121" s="21"/>
      <c r="LW121" s="21"/>
      <c r="LX121" s="21"/>
      <c r="LY121" s="21"/>
      <c r="LZ121" s="21"/>
      <c r="MA121" s="21"/>
      <c r="MB121" s="21"/>
      <c r="MC121" s="21"/>
      <c r="MD121" s="21"/>
      <c r="ME121" s="21"/>
      <c r="MF121" s="21"/>
      <c r="MG121" s="21"/>
      <c r="MH121" s="21"/>
      <c r="MI121" s="21"/>
      <c r="MJ121" s="21"/>
      <c r="MK121" s="21"/>
      <c r="ML121" s="21"/>
      <c r="MM121" s="21"/>
      <c r="MN121" s="21"/>
      <c r="MO121" s="21"/>
      <c r="MP121" s="21"/>
      <c r="MQ121" s="21"/>
      <c r="MR121" s="21"/>
      <c r="MS121" s="21"/>
      <c r="MT121" s="21"/>
      <c r="MU121" s="21"/>
      <c r="MV121" s="21"/>
      <c r="MW121" s="21"/>
      <c r="MX121" s="21"/>
      <c r="MY121" s="21"/>
      <c r="MZ121" s="21"/>
      <c r="NA121" s="21"/>
      <c r="NB121" s="21"/>
      <c r="NC121" s="21"/>
      <c r="ND121" s="21"/>
      <c r="NE121" s="21"/>
      <c r="NF121" s="21"/>
      <c r="NG121" s="21"/>
      <c r="NH121" s="21"/>
      <c r="NI121" s="21"/>
      <c r="NJ121" s="21"/>
      <c r="NK121" s="21"/>
      <c r="NL121" s="21"/>
      <c r="NM121" s="21"/>
      <c r="NN121" s="21"/>
      <c r="NO121" s="21"/>
      <c r="NP121" s="21"/>
      <c r="NQ121" s="21"/>
      <c r="NR121" s="21"/>
      <c r="NS121" s="21"/>
      <c r="NT121" s="21"/>
      <c r="NU121" s="21"/>
      <c r="NV121" s="21"/>
      <c r="NW121" s="21"/>
      <c r="NX121" s="21"/>
      <c r="NY121" s="21"/>
      <c r="NZ121" s="21"/>
      <c r="OA121" s="21"/>
      <c r="OB121" s="21"/>
      <c r="OC121" s="21"/>
      <c r="OD121" s="21"/>
      <c r="OE121" s="21"/>
      <c r="OF121" s="21"/>
      <c r="OG121" s="21"/>
      <c r="OH121" s="21"/>
      <c r="OI121" s="21"/>
      <c r="OJ121" s="21"/>
      <c r="OK121" s="21"/>
      <c r="OL121" s="21"/>
      <c r="OM121" s="21"/>
      <c r="ON121" s="21"/>
      <c r="OO121" s="21"/>
      <c r="OP121" s="21"/>
      <c r="OQ121" s="21"/>
      <c r="OR121" s="21"/>
      <c r="OS121" s="21"/>
      <c r="OT121" s="21"/>
      <c r="OU121" s="21"/>
      <c r="OV121" s="21"/>
      <c r="OW121" s="21"/>
      <c r="OX121" s="21"/>
      <c r="OY121" s="21"/>
      <c r="OZ121" s="21"/>
      <c r="PA121" s="21"/>
      <c r="PB121" s="21"/>
      <c r="PC121" s="21"/>
      <c r="PD121" s="21"/>
      <c r="PE121" s="21"/>
      <c r="PF121" s="21"/>
      <c r="PG121" s="21"/>
      <c r="PH121" s="21"/>
      <c r="PI121" s="21"/>
      <c r="PJ121" s="21"/>
      <c r="PK121" s="21"/>
      <c r="PL121" s="21"/>
      <c r="PM121" s="21"/>
      <c r="PN121" s="21"/>
      <c r="PO121" s="21"/>
      <c r="PP121" s="21"/>
      <c r="PQ121" s="21"/>
      <c r="PR121" s="21"/>
      <c r="PS121" s="21"/>
      <c r="PT121" s="21"/>
      <c r="PU121" s="21"/>
      <c r="PV121" s="21"/>
      <c r="PW121" s="21"/>
      <c r="PX121" s="21"/>
      <c r="PY121" s="21"/>
      <c r="PZ121" s="21"/>
      <c r="QA121" s="21"/>
      <c r="QB121" s="21"/>
      <c r="QC121" s="21"/>
      <c r="QD121" s="21"/>
      <c r="QE121" s="21"/>
      <c r="QF121" s="21"/>
      <c r="QG121" s="21"/>
      <c r="QH121" s="21"/>
      <c r="QI121" s="21"/>
      <c r="QJ121" s="21"/>
      <c r="QK121" s="21"/>
      <c r="QL121" s="21"/>
      <c r="QM121" s="21"/>
      <c r="QN121" s="21"/>
      <c r="QO121" s="21"/>
      <c r="QP121" s="21"/>
      <c r="QQ121" s="21"/>
      <c r="QR121" s="21"/>
      <c r="QS121" s="21"/>
      <c r="QT121" s="21"/>
      <c r="QU121" s="21"/>
      <c r="QV121" s="21"/>
      <c r="QW121" s="21"/>
      <c r="QX121" s="21"/>
      <c r="QY121" s="21"/>
      <c r="QZ121" s="21"/>
      <c r="RA121" s="21"/>
      <c r="RB121" s="21"/>
      <c r="RC121" s="21"/>
      <c r="RD121" s="21"/>
      <c r="RE121" s="21"/>
      <c r="RF121" s="21"/>
      <c r="RG121" s="21"/>
      <c r="RH121" s="21"/>
      <c r="RI121" s="21"/>
      <c r="RJ121" s="21"/>
      <c r="RK121" s="21"/>
      <c r="RL121" s="21"/>
      <c r="RM121" s="21"/>
      <c r="RN121" s="21"/>
      <c r="RO121" s="21"/>
      <c r="RP121" s="21"/>
      <c r="RQ121" s="21"/>
      <c r="RR121" s="21"/>
      <c r="RS121" s="21"/>
      <c r="RT121" s="21"/>
      <c r="RU121" s="21"/>
      <c r="RV121" s="21"/>
      <c r="RW121" s="21"/>
      <c r="RX121" s="21"/>
      <c r="RY121" s="21"/>
      <c r="RZ121" s="21"/>
      <c r="SA121" s="21"/>
      <c r="SB121" s="21"/>
      <c r="SC121" s="21"/>
      <c r="SD121" s="21"/>
      <c r="SE121" s="21"/>
      <c r="SF121" s="21"/>
      <c r="SG121" s="21"/>
      <c r="SH121" s="21"/>
      <c r="SI121" s="21"/>
      <c r="SJ121" s="21"/>
      <c r="SK121" s="21"/>
      <c r="SL121" s="21"/>
      <c r="SM121" s="21"/>
      <c r="SN121" s="21"/>
      <c r="SO121" s="21"/>
      <c r="SP121" s="21"/>
      <c r="SQ121" s="21"/>
      <c r="SR121" s="21"/>
      <c r="SS121" s="21"/>
      <c r="ST121" s="21"/>
      <c r="SU121" s="21"/>
      <c r="SV121" s="21"/>
      <c r="SW121" s="21"/>
      <c r="SX121" s="21"/>
      <c r="SY121" s="21"/>
      <c r="SZ121" s="21"/>
      <c r="TA121" s="21"/>
      <c r="TB121" s="21"/>
      <c r="TC121" s="21"/>
      <c r="TD121" s="21"/>
      <c r="TE121" s="21"/>
      <c r="TF121" s="21"/>
      <c r="TG121" s="21"/>
      <c r="TH121" s="21"/>
      <c r="TI121" s="21"/>
      <c r="TJ121" s="21"/>
      <c r="TK121" s="21"/>
      <c r="TL121" s="21"/>
      <c r="TM121" s="21"/>
      <c r="TN121" s="21"/>
      <c r="TO121" s="21"/>
      <c r="TP121" s="21"/>
      <c r="TQ121" s="21"/>
      <c r="TR121" s="21"/>
      <c r="TS121" s="21"/>
      <c r="TT121" s="21"/>
      <c r="TU121" s="21"/>
      <c r="TV121" s="21"/>
      <c r="TW121" s="21"/>
      <c r="TX121" s="21"/>
      <c r="TY121" s="21"/>
      <c r="TZ121" s="21"/>
      <c r="UA121" s="21"/>
      <c r="UB121" s="21"/>
      <c r="UC121" s="21"/>
      <c r="UD121" s="21"/>
      <c r="UE121" s="21"/>
      <c r="UF121" s="21"/>
      <c r="UG121" s="21"/>
      <c r="UH121" s="21"/>
      <c r="UI121" s="21"/>
      <c r="UJ121" s="21"/>
      <c r="UK121" s="21"/>
      <c r="UL121" s="21"/>
      <c r="UM121" s="21"/>
      <c r="UN121" s="21"/>
      <c r="UO121" s="21"/>
      <c r="UP121" s="21"/>
      <c r="UQ121" s="21"/>
      <c r="UR121" s="21"/>
      <c r="US121" s="21"/>
      <c r="UT121" s="21"/>
      <c r="UU121" s="21"/>
      <c r="UV121" s="21"/>
      <c r="UW121" s="21"/>
      <c r="UX121" s="21"/>
      <c r="UY121" s="21"/>
      <c r="UZ121" s="21"/>
      <c r="VA121" s="21"/>
      <c r="VB121" s="21"/>
      <c r="VC121" s="21"/>
      <c r="VD121" s="21"/>
      <c r="VE121" s="21"/>
      <c r="VF121" s="21"/>
      <c r="VG121" s="21"/>
      <c r="VH121" s="21"/>
      <c r="VI121" s="21"/>
      <c r="VJ121" s="21"/>
      <c r="VK121" s="21"/>
      <c r="VL121" s="21"/>
      <c r="VM121" s="21"/>
      <c r="VN121" s="21"/>
      <c r="VO121" s="21"/>
      <c r="VP121" s="21"/>
      <c r="VQ121" s="21"/>
      <c r="VR121" s="21"/>
      <c r="VS121" s="21"/>
      <c r="VT121" s="21"/>
      <c r="VU121" s="21"/>
      <c r="VV121" s="21"/>
      <c r="VW121" s="21"/>
      <c r="VX121" s="21"/>
      <c r="VY121" s="21"/>
      <c r="VZ121" s="21"/>
      <c r="WA121" s="21"/>
      <c r="WB121" s="21"/>
      <c r="WC121" s="21"/>
      <c r="WD121" s="21"/>
      <c r="WE121" s="21"/>
      <c r="WF121" s="21"/>
      <c r="WG121" s="21"/>
      <c r="WH121" s="21"/>
      <c r="WI121" s="21"/>
      <c r="WJ121" s="21"/>
      <c r="WK121" s="21"/>
      <c r="WL121" s="21"/>
      <c r="WM121" s="21"/>
      <c r="WN121" s="21"/>
      <c r="WO121" s="21"/>
      <c r="WP121" s="21"/>
      <c r="WQ121" s="21"/>
      <c r="WR121" s="21"/>
      <c r="WS121" s="21"/>
      <c r="WT121" s="21"/>
      <c r="WU121" s="21"/>
      <c r="WV121" s="21"/>
      <c r="WW121" s="21"/>
      <c r="WX121" s="21"/>
      <c r="WY121" s="21"/>
      <c r="WZ121" s="21"/>
      <c r="XA121" s="21"/>
      <c r="XB121" s="21"/>
      <c r="XC121" s="21"/>
      <c r="XD121" s="21"/>
      <c r="XE121" s="21"/>
      <c r="XF121" s="21"/>
      <c r="XG121" s="21"/>
      <c r="XH121" s="21"/>
      <c r="XI121" s="21"/>
      <c r="XJ121" s="21"/>
      <c r="XK121" s="21"/>
      <c r="XL121" s="21"/>
      <c r="XM121" s="21"/>
      <c r="XN121" s="21"/>
      <c r="XO121" s="21"/>
      <c r="XP121" s="21"/>
      <c r="XQ121" s="21"/>
      <c r="XR121" s="21"/>
      <c r="XS121" s="21"/>
      <c r="XT121" s="21"/>
      <c r="XU121" s="21"/>
      <c r="XV121" s="21"/>
      <c r="XW121" s="21"/>
      <c r="XX121" s="21"/>
      <c r="XY121" s="21"/>
      <c r="XZ121" s="21"/>
      <c r="YA121" s="21"/>
      <c r="YB121" s="21"/>
      <c r="YC121" s="21"/>
      <c r="YD121" s="21"/>
      <c r="YE121" s="21"/>
      <c r="YF121" s="21"/>
      <c r="YG121" s="21"/>
      <c r="YH121" s="21"/>
      <c r="YI121" s="21"/>
      <c r="YJ121" s="21"/>
      <c r="YK121" s="21"/>
      <c r="YL121" s="21"/>
      <c r="YM121" s="21"/>
      <c r="YN121" s="21"/>
      <c r="YO121" s="21"/>
      <c r="YP121" s="21"/>
      <c r="YQ121" s="21"/>
      <c r="YR121" s="21"/>
      <c r="YS121" s="21"/>
      <c r="YT121" s="21"/>
      <c r="YU121" s="21"/>
      <c r="YV121" s="21"/>
      <c r="YW121" s="21"/>
      <c r="YX121" s="21"/>
      <c r="YY121" s="21"/>
      <c r="YZ121" s="21"/>
      <c r="ZA121" s="21"/>
      <c r="ZB121" s="21"/>
      <c r="ZC121" s="21"/>
      <c r="ZD121" s="21"/>
      <c r="ZE121" s="21"/>
      <c r="ZF121" s="21"/>
      <c r="ZG121" s="21"/>
      <c r="ZH121" s="21"/>
      <c r="ZI121" s="21"/>
      <c r="ZJ121" s="21"/>
      <c r="ZK121" s="21"/>
      <c r="ZL121" s="21"/>
      <c r="ZM121" s="21"/>
      <c r="ZN121" s="21"/>
      <c r="ZO121" s="21"/>
      <c r="ZP121" s="21"/>
      <c r="ZQ121" s="21"/>
      <c r="ZR121" s="21"/>
      <c r="ZS121" s="21"/>
      <c r="ZT121" s="21"/>
      <c r="ZU121" s="21"/>
      <c r="ZV121" s="21"/>
      <c r="ZW121" s="21"/>
      <c r="ZX121" s="21"/>
      <c r="ZY121" s="21"/>
      <c r="ZZ121" s="21"/>
      <c r="AAA121" s="21"/>
      <c r="AAB121" s="21"/>
      <c r="AAC121" s="21"/>
      <c r="AAD121" s="21"/>
      <c r="AAE121" s="21"/>
      <c r="AAF121" s="21"/>
      <c r="AAG121" s="21"/>
      <c r="AAH121" s="21"/>
      <c r="AAI121" s="21"/>
      <c r="AAJ121" s="21"/>
      <c r="AAK121" s="21"/>
      <c r="AAL121" s="21"/>
      <c r="AAM121" s="21"/>
      <c r="AAN121" s="21"/>
      <c r="AAO121" s="21"/>
      <c r="AAP121" s="21"/>
      <c r="AAQ121" s="21"/>
      <c r="AAR121" s="21"/>
      <c r="AAS121" s="21"/>
      <c r="AAT121" s="21"/>
      <c r="AAU121" s="21"/>
      <c r="AAV121" s="21"/>
      <c r="AAW121" s="21"/>
      <c r="AAX121" s="21"/>
      <c r="AAY121" s="21"/>
      <c r="AAZ121" s="21"/>
      <c r="ABA121" s="21"/>
      <c r="ABB121" s="21"/>
      <c r="ABC121" s="21"/>
      <c r="ABD121" s="21"/>
      <c r="ABE121" s="21"/>
      <c r="ABF121" s="21"/>
      <c r="ABG121" s="21"/>
      <c r="ABH121" s="21"/>
      <c r="ABI121" s="21"/>
      <c r="ABJ121" s="21"/>
      <c r="ABK121" s="21"/>
      <c r="ABL121" s="21"/>
      <c r="ABM121" s="21"/>
      <c r="ABN121" s="21"/>
      <c r="ABO121" s="21"/>
      <c r="ABP121" s="21"/>
      <c r="ABQ121" s="21"/>
      <c r="ABR121" s="21"/>
      <c r="ABS121" s="21"/>
      <c r="ABT121" s="21"/>
      <c r="ABU121" s="21"/>
      <c r="ABV121" s="21"/>
      <c r="ABW121" s="21"/>
      <c r="ABX121" s="21"/>
      <c r="ABY121" s="21"/>
      <c r="ABZ121" s="21"/>
      <c r="ACA121" s="21"/>
      <c r="ACB121" s="21"/>
      <c r="ACC121" s="21"/>
      <c r="ACD121" s="21"/>
      <c r="ACE121" s="21"/>
      <c r="ACF121" s="21"/>
      <c r="ACG121" s="21"/>
      <c r="ACH121" s="21"/>
      <c r="ACI121" s="21"/>
      <c r="ACJ121" s="21"/>
      <c r="ACK121" s="21"/>
      <c r="ACL121" s="21"/>
      <c r="ACM121" s="21"/>
      <c r="ACN121" s="21"/>
      <c r="ACO121" s="21"/>
      <c r="ACP121" s="21"/>
      <c r="ACQ121" s="21"/>
      <c r="ACR121" s="21"/>
      <c r="ACS121" s="21"/>
      <c r="ACT121" s="21"/>
      <c r="ACU121" s="21"/>
      <c r="ACV121" s="21"/>
      <c r="ACW121" s="21"/>
      <c r="ACX121" s="21"/>
      <c r="ACY121" s="21"/>
      <c r="ACZ121" s="21"/>
      <c r="ADA121" s="21"/>
      <c r="ADB121" s="21"/>
      <c r="ADC121" s="21"/>
      <c r="ADD121" s="21"/>
      <c r="ADE121" s="21"/>
      <c r="ADF121" s="21"/>
      <c r="ADG121" s="21"/>
      <c r="ADH121" s="21"/>
      <c r="ADI121" s="21"/>
      <c r="ADJ121" s="21"/>
      <c r="ADK121" s="21"/>
      <c r="ADL121" s="21"/>
      <c r="ADM121" s="21"/>
      <c r="ADN121" s="21"/>
      <c r="ADO121" s="21"/>
      <c r="ADP121" s="21"/>
      <c r="ADQ121" s="21"/>
      <c r="ADR121" s="21"/>
      <c r="ADS121" s="21"/>
      <c r="ADT121" s="21"/>
      <c r="ADU121" s="21"/>
      <c r="ADV121" s="21"/>
      <c r="ADW121" s="21"/>
      <c r="ADX121" s="21"/>
      <c r="ADY121" s="21"/>
      <c r="ADZ121" s="21"/>
      <c r="AEA121" s="21"/>
      <c r="AEB121" s="21"/>
      <c r="AEC121" s="21"/>
      <c r="AED121" s="21"/>
      <c r="AEE121" s="21"/>
      <c r="AEF121" s="21"/>
      <c r="AEG121" s="21"/>
      <c r="AEH121" s="21"/>
      <c r="AEI121" s="21"/>
      <c r="AEJ121" s="21"/>
      <c r="AEK121" s="21"/>
      <c r="AEL121" s="21"/>
      <c r="AEM121" s="21"/>
      <c r="AEN121" s="21"/>
      <c r="AEO121" s="21"/>
      <c r="AEP121" s="21"/>
      <c r="AEQ121" s="21"/>
      <c r="AER121" s="21"/>
      <c r="AES121" s="21"/>
      <c r="AET121" s="21"/>
      <c r="AEU121" s="21"/>
      <c r="AEV121" s="21"/>
      <c r="AEW121" s="21"/>
      <c r="AEX121" s="21"/>
      <c r="AEY121" s="21"/>
      <c r="AEZ121" s="21"/>
      <c r="AFA121" s="21"/>
      <c r="AFB121" s="21"/>
      <c r="AFC121" s="21"/>
      <c r="AFD121" s="21"/>
      <c r="AFE121" s="21"/>
      <c r="AFF121" s="21"/>
      <c r="AFG121" s="21"/>
      <c r="AFH121" s="21"/>
      <c r="AFI121" s="21"/>
      <c r="AFJ121" s="21"/>
      <c r="AFK121" s="21"/>
      <c r="AFL121" s="21"/>
      <c r="AFM121" s="21"/>
      <c r="AFN121" s="21"/>
      <c r="AFO121" s="21"/>
      <c r="AFP121" s="21"/>
      <c r="AFQ121" s="21"/>
      <c r="AFR121" s="21"/>
      <c r="AFS121" s="21"/>
      <c r="AFT121" s="21"/>
      <c r="AFU121" s="21"/>
      <c r="AFV121" s="21"/>
      <c r="AFW121" s="21"/>
      <c r="AFX121" s="21"/>
      <c r="AFY121" s="21"/>
      <c r="AFZ121" s="21"/>
      <c r="AGA121" s="21"/>
      <c r="AGB121" s="21"/>
      <c r="AGC121" s="21"/>
      <c r="AGD121" s="21"/>
      <c r="AGE121" s="21"/>
      <c r="AGF121" s="21"/>
      <c r="AGG121" s="21"/>
      <c r="AGH121" s="21"/>
      <c r="AGI121" s="21"/>
      <c r="AGJ121" s="21"/>
      <c r="AGK121" s="21"/>
      <c r="AGL121" s="21"/>
      <c r="AGM121" s="21"/>
      <c r="AGN121" s="21"/>
      <c r="AGO121" s="21"/>
      <c r="AGP121" s="21"/>
      <c r="AGQ121" s="21"/>
      <c r="AGR121" s="21"/>
      <c r="AGS121" s="21"/>
    </row>
    <row r="122" spans="1:877" ht="13">
      <c r="A122" s="12"/>
      <c r="B122" s="81" t="s">
        <v>68</v>
      </c>
      <c r="C122" s="17" t="s">
        <v>69</v>
      </c>
      <c r="D122" s="17" t="s">
        <v>15</v>
      </c>
      <c r="E122" s="12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  <c r="BM122" s="55"/>
      <c r="BN122" s="55"/>
      <c r="BO122" s="55"/>
      <c r="BP122" s="55"/>
      <c r="BQ122" s="55"/>
      <c r="BR122" s="55"/>
      <c r="BS122" s="55"/>
      <c r="BT122" s="55"/>
      <c r="BU122" s="55"/>
      <c r="BV122" s="55"/>
      <c r="BW122" s="55"/>
      <c r="BX122" s="55"/>
      <c r="BY122" s="55"/>
      <c r="BZ122" s="55"/>
      <c r="CA122" s="55"/>
      <c r="CB122" s="55"/>
      <c r="CC122" s="55"/>
      <c r="CD122" s="55"/>
      <c r="CE122" s="55"/>
      <c r="CF122" s="55"/>
      <c r="CG122" s="55"/>
      <c r="CH122" s="55"/>
      <c r="CI122" s="55"/>
      <c r="CJ122" s="55"/>
      <c r="CK122" s="55"/>
      <c r="CL122" s="55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  <c r="IY122" s="21"/>
      <c r="IZ122" s="21"/>
      <c r="JA122" s="21"/>
      <c r="JB122" s="21"/>
      <c r="JC122" s="21"/>
      <c r="JD122" s="21"/>
      <c r="JE122" s="21"/>
      <c r="JF122" s="21"/>
      <c r="JG122" s="21"/>
      <c r="JH122" s="21"/>
      <c r="JI122" s="21"/>
      <c r="JJ122" s="21"/>
      <c r="JK122" s="21"/>
      <c r="JL122" s="21"/>
      <c r="JM122" s="21"/>
      <c r="JN122" s="21"/>
      <c r="JO122" s="21"/>
      <c r="JP122" s="21"/>
      <c r="JQ122" s="21"/>
      <c r="JR122" s="21"/>
      <c r="JS122" s="21"/>
      <c r="JT122" s="21"/>
      <c r="JU122" s="21"/>
      <c r="JV122" s="21"/>
      <c r="JW122" s="21"/>
      <c r="JX122" s="21"/>
      <c r="JY122" s="21"/>
      <c r="JZ122" s="21"/>
      <c r="KA122" s="21"/>
      <c r="KB122" s="21"/>
      <c r="KC122" s="21"/>
      <c r="KD122" s="21"/>
      <c r="KE122" s="21"/>
      <c r="KF122" s="21"/>
      <c r="KG122" s="21"/>
      <c r="KH122" s="21"/>
      <c r="KI122" s="21"/>
      <c r="KJ122" s="21"/>
      <c r="KK122" s="21"/>
      <c r="KL122" s="21"/>
      <c r="KM122" s="21"/>
      <c r="KN122" s="21"/>
      <c r="KO122" s="21"/>
      <c r="KP122" s="21"/>
      <c r="KQ122" s="21"/>
      <c r="KR122" s="21"/>
      <c r="KS122" s="21"/>
      <c r="KT122" s="21"/>
      <c r="KU122" s="21"/>
      <c r="KV122" s="21"/>
      <c r="KW122" s="21"/>
      <c r="KX122" s="21"/>
      <c r="KY122" s="21"/>
      <c r="KZ122" s="21"/>
      <c r="LA122" s="21"/>
      <c r="LB122" s="21"/>
      <c r="LC122" s="21"/>
      <c r="LD122" s="21"/>
      <c r="LE122" s="21"/>
      <c r="LF122" s="21"/>
      <c r="LG122" s="21"/>
      <c r="LH122" s="21"/>
      <c r="LI122" s="21"/>
      <c r="LJ122" s="21"/>
      <c r="LK122" s="21"/>
      <c r="LL122" s="21"/>
      <c r="LM122" s="21"/>
      <c r="LN122" s="21"/>
      <c r="LO122" s="21"/>
      <c r="LP122" s="21"/>
      <c r="LQ122" s="21"/>
      <c r="LR122" s="21"/>
      <c r="LS122" s="21"/>
      <c r="LT122" s="21"/>
      <c r="LU122" s="21"/>
      <c r="LV122" s="21"/>
      <c r="LW122" s="21"/>
      <c r="LX122" s="21"/>
      <c r="LY122" s="21"/>
      <c r="LZ122" s="21"/>
      <c r="MA122" s="21"/>
      <c r="MB122" s="21"/>
      <c r="MC122" s="21"/>
      <c r="MD122" s="21"/>
      <c r="ME122" s="21"/>
      <c r="MF122" s="21"/>
      <c r="MG122" s="21"/>
      <c r="MH122" s="21"/>
      <c r="MI122" s="21"/>
      <c r="MJ122" s="21"/>
      <c r="MK122" s="21"/>
      <c r="ML122" s="21"/>
      <c r="MM122" s="21"/>
      <c r="MN122" s="21"/>
      <c r="MO122" s="21"/>
      <c r="MP122" s="21"/>
      <c r="MQ122" s="21"/>
      <c r="MR122" s="21"/>
      <c r="MS122" s="21"/>
      <c r="MT122" s="21"/>
      <c r="MU122" s="21"/>
      <c r="MV122" s="21"/>
      <c r="MW122" s="21"/>
      <c r="MX122" s="21"/>
      <c r="MY122" s="21"/>
      <c r="MZ122" s="21"/>
      <c r="NA122" s="21"/>
      <c r="NB122" s="21"/>
      <c r="NC122" s="21"/>
      <c r="ND122" s="21"/>
      <c r="NE122" s="21"/>
      <c r="NF122" s="21"/>
      <c r="NG122" s="21"/>
      <c r="NH122" s="21"/>
      <c r="NI122" s="21"/>
      <c r="NJ122" s="21"/>
      <c r="NK122" s="21"/>
      <c r="NL122" s="21"/>
      <c r="NM122" s="21"/>
      <c r="NN122" s="21"/>
      <c r="NO122" s="21"/>
      <c r="NP122" s="21"/>
      <c r="NQ122" s="21"/>
      <c r="NR122" s="21"/>
      <c r="NS122" s="21"/>
      <c r="NT122" s="21"/>
      <c r="NU122" s="21"/>
      <c r="NV122" s="21"/>
      <c r="NW122" s="21"/>
      <c r="NX122" s="21"/>
      <c r="NY122" s="21"/>
      <c r="NZ122" s="21"/>
      <c r="OA122" s="21"/>
      <c r="OB122" s="21"/>
      <c r="OC122" s="21"/>
      <c r="OD122" s="21"/>
      <c r="OE122" s="21"/>
      <c r="OF122" s="21"/>
      <c r="OG122" s="21"/>
      <c r="OH122" s="21"/>
      <c r="OI122" s="21"/>
      <c r="OJ122" s="21"/>
      <c r="OK122" s="21"/>
      <c r="OL122" s="21"/>
      <c r="OM122" s="21"/>
      <c r="ON122" s="21"/>
      <c r="OO122" s="21"/>
      <c r="OP122" s="21"/>
      <c r="OQ122" s="21"/>
      <c r="OR122" s="21"/>
      <c r="OS122" s="21"/>
      <c r="OT122" s="21"/>
      <c r="OU122" s="21"/>
      <c r="OV122" s="21"/>
      <c r="OW122" s="21"/>
      <c r="OX122" s="21"/>
      <c r="OY122" s="21"/>
      <c r="OZ122" s="21"/>
      <c r="PA122" s="21"/>
      <c r="PB122" s="21"/>
      <c r="PC122" s="21"/>
      <c r="PD122" s="21"/>
      <c r="PE122" s="21"/>
      <c r="PF122" s="21"/>
      <c r="PG122" s="21"/>
      <c r="PH122" s="21"/>
      <c r="PI122" s="21"/>
      <c r="PJ122" s="21"/>
      <c r="PK122" s="21"/>
      <c r="PL122" s="21"/>
      <c r="PM122" s="21"/>
      <c r="PN122" s="21"/>
      <c r="PO122" s="21"/>
      <c r="PP122" s="21"/>
      <c r="PQ122" s="21"/>
      <c r="PR122" s="21"/>
      <c r="PS122" s="21"/>
      <c r="PT122" s="21"/>
      <c r="PU122" s="21"/>
      <c r="PV122" s="21"/>
      <c r="PW122" s="21"/>
      <c r="PX122" s="21"/>
      <c r="PY122" s="21"/>
      <c r="PZ122" s="21"/>
      <c r="QA122" s="21"/>
      <c r="QB122" s="21"/>
      <c r="QC122" s="21"/>
      <c r="QD122" s="21"/>
      <c r="QE122" s="21"/>
      <c r="QF122" s="21"/>
      <c r="QG122" s="21"/>
      <c r="QH122" s="21"/>
      <c r="QI122" s="21"/>
      <c r="QJ122" s="21"/>
      <c r="QK122" s="21"/>
      <c r="QL122" s="21"/>
      <c r="QM122" s="21"/>
      <c r="QN122" s="21"/>
      <c r="QO122" s="21"/>
      <c r="QP122" s="21"/>
      <c r="QQ122" s="21"/>
      <c r="QR122" s="21"/>
      <c r="QS122" s="21"/>
      <c r="QT122" s="21"/>
      <c r="QU122" s="21"/>
      <c r="QV122" s="21"/>
      <c r="QW122" s="21"/>
      <c r="QX122" s="21"/>
      <c r="QY122" s="21"/>
      <c r="QZ122" s="21"/>
      <c r="RA122" s="21"/>
      <c r="RB122" s="21"/>
      <c r="RC122" s="21"/>
      <c r="RD122" s="21"/>
      <c r="RE122" s="21"/>
      <c r="RF122" s="21"/>
      <c r="RG122" s="21"/>
      <c r="RH122" s="21"/>
      <c r="RI122" s="21"/>
      <c r="RJ122" s="21"/>
      <c r="RK122" s="21"/>
      <c r="RL122" s="21"/>
      <c r="RM122" s="21"/>
      <c r="RN122" s="21"/>
      <c r="RO122" s="21"/>
      <c r="RP122" s="21"/>
      <c r="RQ122" s="21"/>
      <c r="RR122" s="21"/>
      <c r="RS122" s="21"/>
      <c r="RT122" s="21"/>
      <c r="RU122" s="21"/>
      <c r="RV122" s="21"/>
      <c r="RW122" s="21"/>
      <c r="RX122" s="21"/>
      <c r="RY122" s="21"/>
      <c r="RZ122" s="21"/>
      <c r="SA122" s="21"/>
      <c r="SB122" s="21"/>
      <c r="SC122" s="21"/>
      <c r="SD122" s="21"/>
      <c r="SE122" s="21"/>
      <c r="SF122" s="21"/>
      <c r="SG122" s="21"/>
      <c r="SH122" s="21"/>
      <c r="SI122" s="21"/>
      <c r="SJ122" s="21"/>
      <c r="SK122" s="21"/>
      <c r="SL122" s="21"/>
      <c r="SM122" s="21"/>
      <c r="SN122" s="21"/>
      <c r="SO122" s="21"/>
      <c r="SP122" s="21"/>
      <c r="SQ122" s="21"/>
      <c r="SR122" s="21"/>
      <c r="SS122" s="21"/>
      <c r="ST122" s="21"/>
      <c r="SU122" s="21"/>
      <c r="SV122" s="21"/>
      <c r="SW122" s="21"/>
      <c r="SX122" s="21"/>
      <c r="SY122" s="21"/>
      <c r="SZ122" s="21"/>
      <c r="TA122" s="21"/>
      <c r="TB122" s="21"/>
      <c r="TC122" s="21"/>
      <c r="TD122" s="21"/>
      <c r="TE122" s="21"/>
      <c r="TF122" s="21"/>
      <c r="TG122" s="21"/>
      <c r="TH122" s="21"/>
      <c r="TI122" s="21"/>
      <c r="TJ122" s="21"/>
      <c r="TK122" s="21"/>
      <c r="TL122" s="21"/>
      <c r="TM122" s="21"/>
      <c r="TN122" s="21"/>
      <c r="TO122" s="21"/>
      <c r="TP122" s="21"/>
      <c r="TQ122" s="21"/>
      <c r="TR122" s="21"/>
      <c r="TS122" s="21"/>
      <c r="TT122" s="21"/>
      <c r="TU122" s="21"/>
      <c r="TV122" s="21"/>
      <c r="TW122" s="21"/>
      <c r="TX122" s="21"/>
      <c r="TY122" s="21"/>
      <c r="TZ122" s="21"/>
      <c r="UA122" s="21"/>
      <c r="UB122" s="21"/>
      <c r="UC122" s="21"/>
      <c r="UD122" s="21"/>
      <c r="UE122" s="21"/>
      <c r="UF122" s="21"/>
      <c r="UG122" s="21"/>
      <c r="UH122" s="21"/>
      <c r="UI122" s="21"/>
      <c r="UJ122" s="21"/>
      <c r="UK122" s="21"/>
      <c r="UL122" s="21"/>
      <c r="UM122" s="21"/>
      <c r="UN122" s="21"/>
      <c r="UO122" s="21"/>
      <c r="UP122" s="21"/>
      <c r="UQ122" s="21"/>
      <c r="UR122" s="21"/>
      <c r="US122" s="21"/>
      <c r="UT122" s="21"/>
      <c r="UU122" s="21"/>
      <c r="UV122" s="21"/>
      <c r="UW122" s="21"/>
      <c r="UX122" s="21"/>
      <c r="UY122" s="21"/>
      <c r="UZ122" s="21"/>
      <c r="VA122" s="21"/>
      <c r="VB122" s="21"/>
      <c r="VC122" s="21"/>
      <c r="VD122" s="21"/>
      <c r="VE122" s="21"/>
      <c r="VF122" s="21"/>
      <c r="VG122" s="21"/>
      <c r="VH122" s="21"/>
      <c r="VI122" s="21"/>
      <c r="VJ122" s="21"/>
      <c r="VK122" s="21"/>
      <c r="VL122" s="21"/>
      <c r="VM122" s="21"/>
      <c r="VN122" s="21"/>
      <c r="VO122" s="21"/>
      <c r="VP122" s="21"/>
      <c r="VQ122" s="21"/>
      <c r="VR122" s="21"/>
      <c r="VS122" s="21"/>
      <c r="VT122" s="21"/>
      <c r="VU122" s="21"/>
      <c r="VV122" s="21"/>
      <c r="VW122" s="21"/>
      <c r="VX122" s="21"/>
      <c r="VY122" s="21"/>
      <c r="VZ122" s="21"/>
      <c r="WA122" s="21"/>
      <c r="WB122" s="21"/>
      <c r="WC122" s="21"/>
      <c r="WD122" s="21"/>
      <c r="WE122" s="21"/>
      <c r="WF122" s="21"/>
      <c r="WG122" s="21"/>
      <c r="WH122" s="21"/>
      <c r="WI122" s="21"/>
      <c r="WJ122" s="21"/>
      <c r="WK122" s="21"/>
      <c r="WL122" s="21"/>
      <c r="WM122" s="21"/>
      <c r="WN122" s="21"/>
      <c r="WO122" s="21"/>
      <c r="WP122" s="21"/>
      <c r="WQ122" s="21"/>
      <c r="WR122" s="21"/>
      <c r="WS122" s="21"/>
      <c r="WT122" s="21"/>
      <c r="WU122" s="21"/>
      <c r="WV122" s="21"/>
      <c r="WW122" s="21"/>
      <c r="WX122" s="21"/>
      <c r="WY122" s="21"/>
      <c r="WZ122" s="21"/>
      <c r="XA122" s="21"/>
      <c r="XB122" s="21"/>
      <c r="XC122" s="21"/>
      <c r="XD122" s="21"/>
      <c r="XE122" s="21"/>
      <c r="XF122" s="21"/>
      <c r="XG122" s="21"/>
      <c r="XH122" s="21"/>
      <c r="XI122" s="21"/>
      <c r="XJ122" s="21"/>
      <c r="XK122" s="21"/>
      <c r="XL122" s="21"/>
      <c r="XM122" s="21"/>
      <c r="XN122" s="21"/>
      <c r="XO122" s="21"/>
      <c r="XP122" s="21"/>
      <c r="XQ122" s="21"/>
      <c r="XR122" s="21"/>
      <c r="XS122" s="21"/>
      <c r="XT122" s="21"/>
      <c r="XU122" s="21"/>
      <c r="XV122" s="21"/>
      <c r="XW122" s="21"/>
      <c r="XX122" s="21"/>
      <c r="XY122" s="21"/>
      <c r="XZ122" s="21"/>
      <c r="YA122" s="21"/>
      <c r="YB122" s="21"/>
      <c r="YC122" s="21"/>
      <c r="YD122" s="21"/>
      <c r="YE122" s="21"/>
      <c r="YF122" s="21"/>
      <c r="YG122" s="21"/>
      <c r="YH122" s="21"/>
      <c r="YI122" s="21"/>
      <c r="YJ122" s="21"/>
      <c r="YK122" s="21"/>
      <c r="YL122" s="21"/>
      <c r="YM122" s="21"/>
      <c r="YN122" s="21"/>
      <c r="YO122" s="21"/>
      <c r="YP122" s="21"/>
      <c r="YQ122" s="21"/>
      <c r="YR122" s="21"/>
      <c r="YS122" s="21"/>
      <c r="YT122" s="21"/>
      <c r="YU122" s="21"/>
      <c r="YV122" s="21"/>
      <c r="YW122" s="21"/>
      <c r="YX122" s="21"/>
      <c r="YY122" s="21"/>
      <c r="YZ122" s="21"/>
      <c r="ZA122" s="21"/>
      <c r="ZB122" s="21"/>
      <c r="ZC122" s="21"/>
      <c r="ZD122" s="21"/>
      <c r="ZE122" s="21"/>
      <c r="ZF122" s="21"/>
      <c r="ZG122" s="21"/>
      <c r="ZH122" s="21"/>
      <c r="ZI122" s="21"/>
      <c r="ZJ122" s="21"/>
      <c r="ZK122" s="21"/>
      <c r="ZL122" s="21"/>
      <c r="ZM122" s="21"/>
      <c r="ZN122" s="21"/>
      <c r="ZO122" s="21"/>
      <c r="ZP122" s="21"/>
      <c r="ZQ122" s="21"/>
      <c r="ZR122" s="21"/>
      <c r="ZS122" s="21"/>
      <c r="ZT122" s="21"/>
      <c r="ZU122" s="21"/>
      <c r="ZV122" s="21"/>
      <c r="ZW122" s="21"/>
      <c r="ZX122" s="21"/>
      <c r="ZY122" s="21"/>
      <c r="ZZ122" s="21"/>
      <c r="AAA122" s="21"/>
      <c r="AAB122" s="21"/>
      <c r="AAC122" s="21"/>
      <c r="AAD122" s="21"/>
      <c r="AAE122" s="21"/>
      <c r="AAF122" s="21"/>
      <c r="AAG122" s="21"/>
      <c r="AAH122" s="21"/>
      <c r="AAI122" s="21"/>
      <c r="AAJ122" s="21"/>
      <c r="AAK122" s="21"/>
      <c r="AAL122" s="21"/>
      <c r="AAM122" s="21"/>
      <c r="AAN122" s="21"/>
      <c r="AAO122" s="21"/>
      <c r="AAP122" s="21"/>
      <c r="AAQ122" s="21"/>
      <c r="AAR122" s="21"/>
      <c r="AAS122" s="21"/>
      <c r="AAT122" s="21"/>
      <c r="AAU122" s="21"/>
      <c r="AAV122" s="21"/>
      <c r="AAW122" s="21"/>
      <c r="AAX122" s="21"/>
      <c r="AAY122" s="21"/>
      <c r="AAZ122" s="21"/>
      <c r="ABA122" s="21"/>
      <c r="ABB122" s="21"/>
      <c r="ABC122" s="21"/>
      <c r="ABD122" s="21"/>
      <c r="ABE122" s="21"/>
      <c r="ABF122" s="21"/>
      <c r="ABG122" s="21"/>
      <c r="ABH122" s="21"/>
      <c r="ABI122" s="21"/>
      <c r="ABJ122" s="21"/>
      <c r="ABK122" s="21"/>
      <c r="ABL122" s="21"/>
      <c r="ABM122" s="21"/>
      <c r="ABN122" s="21"/>
      <c r="ABO122" s="21"/>
      <c r="ABP122" s="21"/>
      <c r="ABQ122" s="21"/>
      <c r="ABR122" s="21"/>
      <c r="ABS122" s="21"/>
      <c r="ABT122" s="21"/>
      <c r="ABU122" s="21"/>
      <c r="ABV122" s="21"/>
      <c r="ABW122" s="21"/>
      <c r="ABX122" s="21"/>
      <c r="ABY122" s="21"/>
      <c r="ABZ122" s="21"/>
      <c r="ACA122" s="21"/>
      <c r="ACB122" s="21"/>
      <c r="ACC122" s="21"/>
      <c r="ACD122" s="21"/>
      <c r="ACE122" s="21"/>
      <c r="ACF122" s="21"/>
      <c r="ACG122" s="21"/>
      <c r="ACH122" s="21"/>
      <c r="ACI122" s="21"/>
      <c r="ACJ122" s="21"/>
      <c r="ACK122" s="21"/>
      <c r="ACL122" s="21"/>
      <c r="ACM122" s="21"/>
      <c r="ACN122" s="21"/>
      <c r="ACO122" s="21"/>
      <c r="ACP122" s="21"/>
      <c r="ACQ122" s="21"/>
      <c r="ACR122" s="21"/>
      <c r="ACS122" s="21"/>
      <c r="ACT122" s="21"/>
      <c r="ACU122" s="21"/>
      <c r="ACV122" s="21"/>
      <c r="ACW122" s="21"/>
      <c r="ACX122" s="21"/>
      <c r="ACY122" s="21"/>
      <c r="ACZ122" s="21"/>
      <c r="ADA122" s="21"/>
      <c r="ADB122" s="21"/>
      <c r="ADC122" s="21"/>
      <c r="ADD122" s="21"/>
      <c r="ADE122" s="21"/>
      <c r="ADF122" s="21"/>
      <c r="ADG122" s="21"/>
      <c r="ADH122" s="21"/>
      <c r="ADI122" s="21"/>
      <c r="ADJ122" s="21"/>
      <c r="ADK122" s="21"/>
      <c r="ADL122" s="21"/>
      <c r="ADM122" s="21"/>
      <c r="ADN122" s="21"/>
      <c r="ADO122" s="21"/>
      <c r="ADP122" s="21"/>
      <c r="ADQ122" s="21"/>
      <c r="ADR122" s="21"/>
      <c r="ADS122" s="21"/>
      <c r="ADT122" s="21"/>
      <c r="ADU122" s="21"/>
      <c r="ADV122" s="21"/>
      <c r="ADW122" s="21"/>
      <c r="ADX122" s="21"/>
      <c r="ADY122" s="21"/>
      <c r="ADZ122" s="21"/>
      <c r="AEA122" s="21"/>
      <c r="AEB122" s="21"/>
      <c r="AEC122" s="21"/>
      <c r="AED122" s="21"/>
      <c r="AEE122" s="21"/>
      <c r="AEF122" s="21"/>
      <c r="AEG122" s="21"/>
      <c r="AEH122" s="21"/>
      <c r="AEI122" s="21"/>
      <c r="AEJ122" s="21"/>
      <c r="AEK122" s="21"/>
      <c r="AEL122" s="21"/>
      <c r="AEM122" s="21"/>
      <c r="AEN122" s="21"/>
      <c r="AEO122" s="21"/>
      <c r="AEP122" s="21"/>
      <c r="AEQ122" s="21"/>
      <c r="AER122" s="21"/>
      <c r="AES122" s="21"/>
      <c r="AET122" s="21"/>
      <c r="AEU122" s="21"/>
      <c r="AEV122" s="21"/>
      <c r="AEW122" s="21"/>
      <c r="AEX122" s="21"/>
      <c r="AEY122" s="21"/>
      <c r="AEZ122" s="21"/>
      <c r="AFA122" s="21"/>
      <c r="AFB122" s="21"/>
      <c r="AFC122" s="21"/>
      <c r="AFD122" s="21"/>
      <c r="AFE122" s="21"/>
      <c r="AFF122" s="21"/>
      <c r="AFG122" s="21"/>
      <c r="AFH122" s="21"/>
      <c r="AFI122" s="21"/>
      <c r="AFJ122" s="21"/>
      <c r="AFK122" s="21"/>
      <c r="AFL122" s="21"/>
      <c r="AFM122" s="21"/>
      <c r="AFN122" s="21"/>
      <c r="AFO122" s="21"/>
      <c r="AFP122" s="21"/>
      <c r="AFQ122" s="21"/>
      <c r="AFR122" s="21"/>
      <c r="AFS122" s="21"/>
      <c r="AFT122" s="21"/>
      <c r="AFU122" s="21"/>
      <c r="AFV122" s="21"/>
      <c r="AFW122" s="21"/>
      <c r="AFX122" s="21"/>
      <c r="AFY122" s="21"/>
      <c r="AFZ122" s="21"/>
      <c r="AGA122" s="21"/>
      <c r="AGB122" s="21"/>
      <c r="AGC122" s="21"/>
      <c r="AGD122" s="21"/>
      <c r="AGE122" s="21"/>
      <c r="AGF122" s="21"/>
      <c r="AGG122" s="21"/>
      <c r="AGH122" s="21"/>
      <c r="AGI122" s="21"/>
      <c r="AGJ122" s="21"/>
      <c r="AGK122" s="21"/>
      <c r="AGL122" s="21"/>
      <c r="AGM122" s="21"/>
      <c r="AGN122" s="21"/>
      <c r="AGO122" s="21"/>
      <c r="AGP122" s="21"/>
      <c r="AGQ122" s="21"/>
      <c r="AGR122" s="21"/>
      <c r="AGS122" s="21"/>
    </row>
    <row r="123" spans="1:877" ht="13">
      <c r="A123" s="12"/>
      <c r="B123" s="70" t="s">
        <v>70</v>
      </c>
      <c r="C123" s="82">
        <v>4500000</v>
      </c>
      <c r="D123" s="83">
        <v>45839</v>
      </c>
      <c r="E123" s="61"/>
      <c r="F123" s="27"/>
      <c r="G123" s="27">
        <f t="shared" ref="G123:CL123" si="51">IF(AND(MONTH(G$4)=MONTH($D123),YEAR(G$4)=YEAR($D123)),$C123,0)</f>
        <v>4500000</v>
      </c>
      <c r="H123" s="27">
        <f t="shared" si="51"/>
        <v>0</v>
      </c>
      <c r="I123" s="27">
        <f t="shared" si="51"/>
        <v>0</v>
      </c>
      <c r="J123" s="27">
        <f t="shared" si="51"/>
        <v>0</v>
      </c>
      <c r="K123" s="27">
        <f t="shared" si="51"/>
        <v>0</v>
      </c>
      <c r="L123" s="27">
        <f t="shared" si="51"/>
        <v>0</v>
      </c>
      <c r="M123" s="27">
        <f t="shared" si="51"/>
        <v>0</v>
      </c>
      <c r="N123" s="27">
        <f t="shared" si="51"/>
        <v>0</v>
      </c>
      <c r="O123" s="27">
        <f t="shared" si="51"/>
        <v>0</v>
      </c>
      <c r="P123" s="27">
        <f t="shared" si="51"/>
        <v>0</v>
      </c>
      <c r="Q123" s="27">
        <f t="shared" si="51"/>
        <v>0</v>
      </c>
      <c r="R123" s="27">
        <f t="shared" si="51"/>
        <v>0</v>
      </c>
      <c r="S123" s="27">
        <f t="shared" si="51"/>
        <v>0</v>
      </c>
      <c r="T123" s="27">
        <f t="shared" si="51"/>
        <v>0</v>
      </c>
      <c r="U123" s="27">
        <f t="shared" si="51"/>
        <v>0</v>
      </c>
      <c r="V123" s="27">
        <f t="shared" si="51"/>
        <v>0</v>
      </c>
      <c r="W123" s="27">
        <f t="shared" si="51"/>
        <v>0</v>
      </c>
      <c r="X123" s="27">
        <f t="shared" si="51"/>
        <v>0</v>
      </c>
      <c r="Y123" s="27">
        <f t="shared" si="51"/>
        <v>0</v>
      </c>
      <c r="Z123" s="27">
        <f t="shared" si="51"/>
        <v>0</v>
      </c>
      <c r="AA123" s="27">
        <f t="shared" si="51"/>
        <v>0</v>
      </c>
      <c r="AB123" s="27">
        <f t="shared" si="51"/>
        <v>0</v>
      </c>
      <c r="AC123" s="27">
        <f t="shared" si="51"/>
        <v>0</v>
      </c>
      <c r="AD123" s="27">
        <f t="shared" si="51"/>
        <v>0</v>
      </c>
      <c r="AE123" s="27">
        <f t="shared" si="51"/>
        <v>0</v>
      </c>
      <c r="AF123" s="27">
        <f t="shared" si="51"/>
        <v>0</v>
      </c>
      <c r="AG123" s="27">
        <f t="shared" si="51"/>
        <v>0</v>
      </c>
      <c r="AH123" s="27">
        <f t="shared" si="51"/>
        <v>0</v>
      </c>
      <c r="AI123" s="27">
        <f t="shared" si="51"/>
        <v>0</v>
      </c>
      <c r="AJ123" s="27">
        <f t="shared" si="51"/>
        <v>0</v>
      </c>
      <c r="AK123" s="27">
        <f t="shared" si="51"/>
        <v>0</v>
      </c>
      <c r="AL123" s="27">
        <f t="shared" si="51"/>
        <v>0</v>
      </c>
      <c r="AM123" s="27">
        <f t="shared" si="51"/>
        <v>0</v>
      </c>
      <c r="AN123" s="27">
        <f t="shared" si="51"/>
        <v>0</v>
      </c>
      <c r="AO123" s="27">
        <f t="shared" si="51"/>
        <v>0</v>
      </c>
      <c r="AP123" s="27">
        <f t="shared" si="51"/>
        <v>0</v>
      </c>
      <c r="AQ123" s="27">
        <f t="shared" si="51"/>
        <v>0</v>
      </c>
      <c r="AR123" s="27">
        <f t="shared" si="51"/>
        <v>0</v>
      </c>
      <c r="AS123" s="27">
        <f t="shared" si="51"/>
        <v>0</v>
      </c>
      <c r="AT123" s="27">
        <f t="shared" si="51"/>
        <v>0</v>
      </c>
      <c r="AU123" s="27">
        <f t="shared" si="51"/>
        <v>0</v>
      </c>
      <c r="AV123" s="27">
        <f t="shared" si="51"/>
        <v>0</v>
      </c>
      <c r="AW123" s="27">
        <f t="shared" si="51"/>
        <v>0</v>
      </c>
      <c r="AX123" s="27">
        <f t="shared" si="51"/>
        <v>0</v>
      </c>
      <c r="AY123" s="27">
        <f t="shared" si="51"/>
        <v>0</v>
      </c>
      <c r="AZ123" s="27">
        <f t="shared" si="51"/>
        <v>0</v>
      </c>
      <c r="BA123" s="27">
        <f t="shared" si="51"/>
        <v>0</v>
      </c>
      <c r="BB123" s="27">
        <f t="shared" si="51"/>
        <v>0</v>
      </c>
      <c r="BC123" s="27">
        <f t="shared" si="51"/>
        <v>0</v>
      </c>
      <c r="BD123" s="27">
        <f t="shared" si="51"/>
        <v>0</v>
      </c>
      <c r="BE123" s="27">
        <f t="shared" si="51"/>
        <v>0</v>
      </c>
      <c r="BF123" s="27">
        <f t="shared" si="51"/>
        <v>0</v>
      </c>
      <c r="BG123" s="27">
        <f t="shared" si="51"/>
        <v>0</v>
      </c>
      <c r="BH123" s="27">
        <f t="shared" si="51"/>
        <v>0</v>
      </c>
      <c r="BI123" s="27">
        <f t="shared" si="51"/>
        <v>0</v>
      </c>
      <c r="BJ123" s="27">
        <f t="shared" si="51"/>
        <v>0</v>
      </c>
      <c r="BK123" s="27">
        <f t="shared" si="51"/>
        <v>0</v>
      </c>
      <c r="BL123" s="27">
        <f t="shared" si="51"/>
        <v>0</v>
      </c>
      <c r="BM123" s="27">
        <f t="shared" si="51"/>
        <v>0</v>
      </c>
      <c r="BN123" s="27">
        <f t="shared" si="51"/>
        <v>0</v>
      </c>
      <c r="BO123" s="27">
        <f t="shared" si="51"/>
        <v>0</v>
      </c>
      <c r="BP123" s="27">
        <f t="shared" si="51"/>
        <v>0</v>
      </c>
      <c r="BQ123" s="27">
        <f t="shared" si="51"/>
        <v>0</v>
      </c>
      <c r="BR123" s="27">
        <f t="shared" si="51"/>
        <v>0</v>
      </c>
      <c r="BS123" s="27">
        <f t="shared" si="51"/>
        <v>0</v>
      </c>
      <c r="BT123" s="27">
        <f t="shared" si="51"/>
        <v>0</v>
      </c>
      <c r="BU123" s="27">
        <f t="shared" si="51"/>
        <v>0</v>
      </c>
      <c r="BV123" s="27">
        <f t="shared" si="51"/>
        <v>0</v>
      </c>
      <c r="BW123" s="27">
        <f t="shared" si="51"/>
        <v>0</v>
      </c>
      <c r="BX123" s="27">
        <f t="shared" si="51"/>
        <v>0</v>
      </c>
      <c r="BY123" s="27">
        <f t="shared" si="51"/>
        <v>0</v>
      </c>
      <c r="BZ123" s="27">
        <f t="shared" si="51"/>
        <v>0</v>
      </c>
      <c r="CA123" s="27">
        <f t="shared" si="51"/>
        <v>0</v>
      </c>
      <c r="CB123" s="27">
        <f t="shared" si="51"/>
        <v>0</v>
      </c>
      <c r="CC123" s="27">
        <f t="shared" si="51"/>
        <v>0</v>
      </c>
      <c r="CD123" s="27">
        <f t="shared" si="51"/>
        <v>0</v>
      </c>
      <c r="CE123" s="27">
        <f t="shared" si="51"/>
        <v>0</v>
      </c>
      <c r="CF123" s="27">
        <f t="shared" si="51"/>
        <v>0</v>
      </c>
      <c r="CG123" s="27">
        <f t="shared" si="51"/>
        <v>0</v>
      </c>
      <c r="CH123" s="27">
        <f t="shared" si="51"/>
        <v>0</v>
      </c>
      <c r="CI123" s="27">
        <f t="shared" si="51"/>
        <v>0</v>
      </c>
      <c r="CJ123" s="27">
        <f t="shared" si="51"/>
        <v>0</v>
      </c>
      <c r="CK123" s="27">
        <f t="shared" si="51"/>
        <v>0</v>
      </c>
      <c r="CL123" s="27">
        <f t="shared" si="51"/>
        <v>0</v>
      </c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  <c r="IY123" s="21"/>
      <c r="IZ123" s="21"/>
      <c r="JA123" s="21"/>
      <c r="JB123" s="21"/>
      <c r="JC123" s="21"/>
      <c r="JD123" s="21"/>
      <c r="JE123" s="21"/>
      <c r="JF123" s="21"/>
      <c r="JG123" s="21"/>
      <c r="JH123" s="21"/>
      <c r="JI123" s="21"/>
      <c r="JJ123" s="21"/>
      <c r="JK123" s="21"/>
      <c r="JL123" s="21"/>
      <c r="JM123" s="21"/>
      <c r="JN123" s="21"/>
      <c r="JO123" s="21"/>
      <c r="JP123" s="21"/>
      <c r="JQ123" s="21"/>
      <c r="JR123" s="21"/>
      <c r="JS123" s="21"/>
      <c r="JT123" s="21"/>
      <c r="JU123" s="21"/>
      <c r="JV123" s="21"/>
      <c r="JW123" s="21"/>
      <c r="JX123" s="21"/>
      <c r="JY123" s="21"/>
      <c r="JZ123" s="21"/>
      <c r="KA123" s="21"/>
      <c r="KB123" s="21"/>
      <c r="KC123" s="21"/>
      <c r="KD123" s="21"/>
      <c r="KE123" s="21"/>
      <c r="KF123" s="21"/>
      <c r="KG123" s="21"/>
      <c r="KH123" s="21"/>
      <c r="KI123" s="21"/>
      <c r="KJ123" s="21"/>
      <c r="KK123" s="21"/>
      <c r="KL123" s="21"/>
      <c r="KM123" s="21"/>
      <c r="KN123" s="21"/>
      <c r="KO123" s="21"/>
      <c r="KP123" s="21"/>
      <c r="KQ123" s="21"/>
      <c r="KR123" s="21"/>
      <c r="KS123" s="21"/>
      <c r="KT123" s="21"/>
      <c r="KU123" s="21"/>
      <c r="KV123" s="21"/>
      <c r="KW123" s="21"/>
      <c r="KX123" s="21"/>
      <c r="KY123" s="21"/>
      <c r="KZ123" s="21"/>
      <c r="LA123" s="21"/>
      <c r="LB123" s="21"/>
      <c r="LC123" s="21"/>
      <c r="LD123" s="21"/>
      <c r="LE123" s="21"/>
      <c r="LF123" s="21"/>
      <c r="LG123" s="21"/>
      <c r="LH123" s="21"/>
      <c r="LI123" s="21"/>
      <c r="LJ123" s="21"/>
      <c r="LK123" s="21"/>
      <c r="LL123" s="21"/>
      <c r="LM123" s="21"/>
      <c r="LN123" s="21"/>
      <c r="LO123" s="21"/>
      <c r="LP123" s="21"/>
      <c r="LQ123" s="21"/>
      <c r="LR123" s="21"/>
      <c r="LS123" s="21"/>
      <c r="LT123" s="21"/>
      <c r="LU123" s="21"/>
      <c r="LV123" s="21"/>
      <c r="LW123" s="21"/>
      <c r="LX123" s="21"/>
      <c r="LY123" s="21"/>
      <c r="LZ123" s="21"/>
      <c r="MA123" s="21"/>
      <c r="MB123" s="21"/>
      <c r="MC123" s="21"/>
      <c r="MD123" s="21"/>
      <c r="ME123" s="21"/>
      <c r="MF123" s="21"/>
      <c r="MG123" s="21"/>
      <c r="MH123" s="21"/>
      <c r="MI123" s="21"/>
      <c r="MJ123" s="21"/>
      <c r="MK123" s="21"/>
      <c r="ML123" s="21"/>
      <c r="MM123" s="21"/>
      <c r="MN123" s="21"/>
      <c r="MO123" s="21"/>
      <c r="MP123" s="21"/>
      <c r="MQ123" s="21"/>
      <c r="MR123" s="21"/>
      <c r="MS123" s="21"/>
      <c r="MT123" s="21"/>
      <c r="MU123" s="21"/>
      <c r="MV123" s="21"/>
      <c r="MW123" s="21"/>
      <c r="MX123" s="21"/>
      <c r="MY123" s="21"/>
      <c r="MZ123" s="21"/>
      <c r="NA123" s="21"/>
      <c r="NB123" s="21"/>
      <c r="NC123" s="21"/>
      <c r="ND123" s="21"/>
      <c r="NE123" s="21"/>
      <c r="NF123" s="21"/>
      <c r="NG123" s="21"/>
      <c r="NH123" s="21"/>
      <c r="NI123" s="21"/>
      <c r="NJ123" s="21"/>
      <c r="NK123" s="21"/>
      <c r="NL123" s="21"/>
      <c r="NM123" s="21"/>
      <c r="NN123" s="21"/>
      <c r="NO123" s="21"/>
      <c r="NP123" s="21"/>
      <c r="NQ123" s="21"/>
      <c r="NR123" s="21"/>
      <c r="NS123" s="21"/>
      <c r="NT123" s="21"/>
      <c r="NU123" s="21"/>
      <c r="NV123" s="21"/>
      <c r="NW123" s="21"/>
      <c r="NX123" s="21"/>
      <c r="NY123" s="21"/>
      <c r="NZ123" s="21"/>
      <c r="OA123" s="21"/>
      <c r="OB123" s="21"/>
      <c r="OC123" s="21"/>
      <c r="OD123" s="21"/>
      <c r="OE123" s="21"/>
      <c r="OF123" s="21"/>
      <c r="OG123" s="21"/>
      <c r="OH123" s="21"/>
      <c r="OI123" s="21"/>
      <c r="OJ123" s="21"/>
      <c r="OK123" s="21"/>
      <c r="OL123" s="21"/>
      <c r="OM123" s="21"/>
      <c r="ON123" s="21"/>
      <c r="OO123" s="21"/>
      <c r="OP123" s="21"/>
      <c r="OQ123" s="21"/>
      <c r="OR123" s="21"/>
      <c r="OS123" s="21"/>
      <c r="OT123" s="21"/>
      <c r="OU123" s="21"/>
      <c r="OV123" s="21"/>
      <c r="OW123" s="21"/>
      <c r="OX123" s="21"/>
      <c r="OY123" s="21"/>
      <c r="OZ123" s="21"/>
      <c r="PA123" s="21"/>
      <c r="PB123" s="21"/>
      <c r="PC123" s="21"/>
      <c r="PD123" s="21"/>
      <c r="PE123" s="21"/>
      <c r="PF123" s="21"/>
      <c r="PG123" s="21"/>
      <c r="PH123" s="21"/>
      <c r="PI123" s="21"/>
      <c r="PJ123" s="21"/>
      <c r="PK123" s="21"/>
      <c r="PL123" s="21"/>
      <c r="PM123" s="21"/>
      <c r="PN123" s="21"/>
      <c r="PO123" s="21"/>
      <c r="PP123" s="21"/>
      <c r="PQ123" s="21"/>
      <c r="PR123" s="21"/>
      <c r="PS123" s="21"/>
      <c r="PT123" s="21"/>
      <c r="PU123" s="21"/>
      <c r="PV123" s="21"/>
      <c r="PW123" s="21"/>
      <c r="PX123" s="21"/>
      <c r="PY123" s="21"/>
      <c r="PZ123" s="21"/>
      <c r="QA123" s="21"/>
      <c r="QB123" s="21"/>
      <c r="QC123" s="21"/>
      <c r="QD123" s="21"/>
      <c r="QE123" s="21"/>
      <c r="QF123" s="21"/>
      <c r="QG123" s="21"/>
      <c r="QH123" s="21"/>
      <c r="QI123" s="21"/>
      <c r="QJ123" s="21"/>
      <c r="QK123" s="21"/>
      <c r="QL123" s="21"/>
      <c r="QM123" s="21"/>
      <c r="QN123" s="21"/>
      <c r="QO123" s="21"/>
      <c r="QP123" s="21"/>
      <c r="QQ123" s="21"/>
      <c r="QR123" s="21"/>
      <c r="QS123" s="21"/>
      <c r="QT123" s="21"/>
      <c r="QU123" s="21"/>
      <c r="QV123" s="21"/>
      <c r="QW123" s="21"/>
      <c r="QX123" s="21"/>
      <c r="QY123" s="21"/>
      <c r="QZ123" s="21"/>
      <c r="RA123" s="21"/>
      <c r="RB123" s="21"/>
      <c r="RC123" s="21"/>
      <c r="RD123" s="21"/>
      <c r="RE123" s="21"/>
      <c r="RF123" s="21"/>
      <c r="RG123" s="21"/>
      <c r="RH123" s="21"/>
      <c r="RI123" s="21"/>
      <c r="RJ123" s="21"/>
      <c r="RK123" s="21"/>
      <c r="RL123" s="21"/>
      <c r="RM123" s="21"/>
      <c r="RN123" s="21"/>
      <c r="RO123" s="21"/>
      <c r="RP123" s="21"/>
      <c r="RQ123" s="21"/>
      <c r="RR123" s="21"/>
      <c r="RS123" s="21"/>
      <c r="RT123" s="21"/>
      <c r="RU123" s="21"/>
      <c r="RV123" s="21"/>
      <c r="RW123" s="21"/>
      <c r="RX123" s="21"/>
      <c r="RY123" s="21"/>
      <c r="RZ123" s="21"/>
      <c r="SA123" s="21"/>
      <c r="SB123" s="21"/>
      <c r="SC123" s="21"/>
      <c r="SD123" s="21"/>
      <c r="SE123" s="21"/>
      <c r="SF123" s="21"/>
      <c r="SG123" s="21"/>
      <c r="SH123" s="21"/>
      <c r="SI123" s="21"/>
      <c r="SJ123" s="21"/>
      <c r="SK123" s="21"/>
      <c r="SL123" s="21"/>
      <c r="SM123" s="21"/>
      <c r="SN123" s="21"/>
      <c r="SO123" s="21"/>
      <c r="SP123" s="21"/>
      <c r="SQ123" s="21"/>
      <c r="SR123" s="21"/>
      <c r="SS123" s="21"/>
      <c r="ST123" s="21"/>
      <c r="SU123" s="21"/>
      <c r="SV123" s="21"/>
      <c r="SW123" s="21"/>
      <c r="SX123" s="21"/>
      <c r="SY123" s="21"/>
      <c r="SZ123" s="21"/>
      <c r="TA123" s="21"/>
      <c r="TB123" s="21"/>
      <c r="TC123" s="21"/>
      <c r="TD123" s="21"/>
      <c r="TE123" s="21"/>
      <c r="TF123" s="21"/>
      <c r="TG123" s="21"/>
      <c r="TH123" s="21"/>
      <c r="TI123" s="21"/>
      <c r="TJ123" s="21"/>
      <c r="TK123" s="21"/>
      <c r="TL123" s="21"/>
      <c r="TM123" s="21"/>
      <c r="TN123" s="21"/>
      <c r="TO123" s="21"/>
      <c r="TP123" s="21"/>
      <c r="TQ123" s="21"/>
      <c r="TR123" s="21"/>
      <c r="TS123" s="21"/>
      <c r="TT123" s="21"/>
      <c r="TU123" s="21"/>
      <c r="TV123" s="21"/>
      <c r="TW123" s="21"/>
      <c r="TX123" s="21"/>
      <c r="TY123" s="21"/>
      <c r="TZ123" s="21"/>
      <c r="UA123" s="21"/>
      <c r="UB123" s="21"/>
      <c r="UC123" s="21"/>
      <c r="UD123" s="21"/>
      <c r="UE123" s="21"/>
      <c r="UF123" s="21"/>
      <c r="UG123" s="21"/>
      <c r="UH123" s="21"/>
      <c r="UI123" s="21"/>
      <c r="UJ123" s="21"/>
      <c r="UK123" s="21"/>
      <c r="UL123" s="21"/>
      <c r="UM123" s="21"/>
      <c r="UN123" s="21"/>
      <c r="UO123" s="21"/>
      <c r="UP123" s="21"/>
      <c r="UQ123" s="21"/>
      <c r="UR123" s="21"/>
      <c r="US123" s="21"/>
      <c r="UT123" s="21"/>
      <c r="UU123" s="21"/>
      <c r="UV123" s="21"/>
      <c r="UW123" s="21"/>
      <c r="UX123" s="21"/>
      <c r="UY123" s="21"/>
      <c r="UZ123" s="21"/>
      <c r="VA123" s="21"/>
      <c r="VB123" s="21"/>
      <c r="VC123" s="21"/>
      <c r="VD123" s="21"/>
      <c r="VE123" s="21"/>
      <c r="VF123" s="21"/>
      <c r="VG123" s="21"/>
      <c r="VH123" s="21"/>
      <c r="VI123" s="21"/>
      <c r="VJ123" s="21"/>
      <c r="VK123" s="21"/>
      <c r="VL123" s="21"/>
      <c r="VM123" s="21"/>
      <c r="VN123" s="21"/>
      <c r="VO123" s="21"/>
      <c r="VP123" s="21"/>
      <c r="VQ123" s="21"/>
      <c r="VR123" s="21"/>
      <c r="VS123" s="21"/>
      <c r="VT123" s="21"/>
      <c r="VU123" s="21"/>
      <c r="VV123" s="21"/>
      <c r="VW123" s="21"/>
      <c r="VX123" s="21"/>
      <c r="VY123" s="21"/>
      <c r="VZ123" s="21"/>
      <c r="WA123" s="21"/>
      <c r="WB123" s="21"/>
      <c r="WC123" s="21"/>
      <c r="WD123" s="21"/>
      <c r="WE123" s="21"/>
      <c r="WF123" s="21"/>
      <c r="WG123" s="21"/>
      <c r="WH123" s="21"/>
      <c r="WI123" s="21"/>
      <c r="WJ123" s="21"/>
      <c r="WK123" s="21"/>
      <c r="WL123" s="21"/>
      <c r="WM123" s="21"/>
      <c r="WN123" s="21"/>
      <c r="WO123" s="21"/>
      <c r="WP123" s="21"/>
      <c r="WQ123" s="21"/>
      <c r="WR123" s="21"/>
      <c r="WS123" s="21"/>
      <c r="WT123" s="21"/>
      <c r="WU123" s="21"/>
      <c r="WV123" s="21"/>
      <c r="WW123" s="21"/>
      <c r="WX123" s="21"/>
      <c r="WY123" s="21"/>
      <c r="WZ123" s="21"/>
      <c r="XA123" s="21"/>
      <c r="XB123" s="21"/>
      <c r="XC123" s="21"/>
      <c r="XD123" s="21"/>
      <c r="XE123" s="21"/>
      <c r="XF123" s="21"/>
      <c r="XG123" s="21"/>
      <c r="XH123" s="21"/>
      <c r="XI123" s="21"/>
      <c r="XJ123" s="21"/>
      <c r="XK123" s="21"/>
      <c r="XL123" s="21"/>
      <c r="XM123" s="21"/>
      <c r="XN123" s="21"/>
      <c r="XO123" s="21"/>
      <c r="XP123" s="21"/>
      <c r="XQ123" s="21"/>
      <c r="XR123" s="21"/>
      <c r="XS123" s="21"/>
      <c r="XT123" s="21"/>
      <c r="XU123" s="21"/>
      <c r="XV123" s="21"/>
      <c r="XW123" s="21"/>
      <c r="XX123" s="21"/>
      <c r="XY123" s="21"/>
      <c r="XZ123" s="21"/>
      <c r="YA123" s="21"/>
      <c r="YB123" s="21"/>
      <c r="YC123" s="21"/>
      <c r="YD123" s="21"/>
      <c r="YE123" s="21"/>
      <c r="YF123" s="21"/>
      <c r="YG123" s="21"/>
      <c r="YH123" s="21"/>
      <c r="YI123" s="21"/>
      <c r="YJ123" s="21"/>
      <c r="YK123" s="21"/>
      <c r="YL123" s="21"/>
      <c r="YM123" s="21"/>
      <c r="YN123" s="21"/>
      <c r="YO123" s="21"/>
      <c r="YP123" s="21"/>
      <c r="YQ123" s="21"/>
      <c r="YR123" s="21"/>
      <c r="YS123" s="21"/>
      <c r="YT123" s="21"/>
      <c r="YU123" s="21"/>
      <c r="YV123" s="21"/>
      <c r="YW123" s="21"/>
      <c r="YX123" s="21"/>
      <c r="YY123" s="21"/>
      <c r="YZ123" s="21"/>
      <c r="ZA123" s="21"/>
      <c r="ZB123" s="21"/>
      <c r="ZC123" s="21"/>
      <c r="ZD123" s="21"/>
      <c r="ZE123" s="21"/>
      <c r="ZF123" s="21"/>
      <c r="ZG123" s="21"/>
      <c r="ZH123" s="21"/>
      <c r="ZI123" s="21"/>
      <c r="ZJ123" s="21"/>
      <c r="ZK123" s="21"/>
      <c r="ZL123" s="21"/>
      <c r="ZM123" s="21"/>
      <c r="ZN123" s="21"/>
      <c r="ZO123" s="21"/>
      <c r="ZP123" s="21"/>
      <c r="ZQ123" s="21"/>
      <c r="ZR123" s="21"/>
      <c r="ZS123" s="21"/>
      <c r="ZT123" s="21"/>
      <c r="ZU123" s="21"/>
      <c r="ZV123" s="21"/>
      <c r="ZW123" s="21"/>
      <c r="ZX123" s="21"/>
      <c r="ZY123" s="21"/>
      <c r="ZZ123" s="21"/>
      <c r="AAA123" s="21"/>
      <c r="AAB123" s="21"/>
      <c r="AAC123" s="21"/>
      <c r="AAD123" s="21"/>
      <c r="AAE123" s="21"/>
      <c r="AAF123" s="21"/>
      <c r="AAG123" s="21"/>
      <c r="AAH123" s="21"/>
      <c r="AAI123" s="21"/>
      <c r="AAJ123" s="21"/>
      <c r="AAK123" s="21"/>
      <c r="AAL123" s="21"/>
      <c r="AAM123" s="21"/>
      <c r="AAN123" s="21"/>
      <c r="AAO123" s="21"/>
      <c r="AAP123" s="21"/>
      <c r="AAQ123" s="21"/>
      <c r="AAR123" s="21"/>
      <c r="AAS123" s="21"/>
      <c r="AAT123" s="21"/>
      <c r="AAU123" s="21"/>
      <c r="AAV123" s="21"/>
      <c r="AAW123" s="21"/>
      <c r="AAX123" s="21"/>
      <c r="AAY123" s="21"/>
      <c r="AAZ123" s="21"/>
      <c r="ABA123" s="21"/>
      <c r="ABB123" s="21"/>
      <c r="ABC123" s="21"/>
      <c r="ABD123" s="21"/>
      <c r="ABE123" s="21"/>
      <c r="ABF123" s="21"/>
      <c r="ABG123" s="21"/>
      <c r="ABH123" s="21"/>
      <c r="ABI123" s="21"/>
      <c r="ABJ123" s="21"/>
      <c r="ABK123" s="21"/>
      <c r="ABL123" s="21"/>
      <c r="ABM123" s="21"/>
      <c r="ABN123" s="21"/>
      <c r="ABO123" s="21"/>
      <c r="ABP123" s="21"/>
      <c r="ABQ123" s="21"/>
      <c r="ABR123" s="21"/>
      <c r="ABS123" s="21"/>
      <c r="ABT123" s="21"/>
      <c r="ABU123" s="21"/>
      <c r="ABV123" s="21"/>
      <c r="ABW123" s="21"/>
      <c r="ABX123" s="21"/>
      <c r="ABY123" s="21"/>
      <c r="ABZ123" s="21"/>
      <c r="ACA123" s="21"/>
      <c r="ACB123" s="21"/>
      <c r="ACC123" s="21"/>
      <c r="ACD123" s="21"/>
      <c r="ACE123" s="21"/>
      <c r="ACF123" s="21"/>
      <c r="ACG123" s="21"/>
      <c r="ACH123" s="21"/>
      <c r="ACI123" s="21"/>
      <c r="ACJ123" s="21"/>
      <c r="ACK123" s="21"/>
      <c r="ACL123" s="21"/>
      <c r="ACM123" s="21"/>
      <c r="ACN123" s="21"/>
      <c r="ACO123" s="21"/>
      <c r="ACP123" s="21"/>
      <c r="ACQ123" s="21"/>
      <c r="ACR123" s="21"/>
      <c r="ACS123" s="21"/>
      <c r="ACT123" s="21"/>
      <c r="ACU123" s="21"/>
      <c r="ACV123" s="21"/>
      <c r="ACW123" s="21"/>
      <c r="ACX123" s="21"/>
      <c r="ACY123" s="21"/>
      <c r="ACZ123" s="21"/>
      <c r="ADA123" s="21"/>
      <c r="ADB123" s="21"/>
      <c r="ADC123" s="21"/>
      <c r="ADD123" s="21"/>
      <c r="ADE123" s="21"/>
      <c r="ADF123" s="21"/>
      <c r="ADG123" s="21"/>
      <c r="ADH123" s="21"/>
      <c r="ADI123" s="21"/>
      <c r="ADJ123" s="21"/>
      <c r="ADK123" s="21"/>
      <c r="ADL123" s="21"/>
      <c r="ADM123" s="21"/>
      <c r="ADN123" s="21"/>
      <c r="ADO123" s="21"/>
      <c r="ADP123" s="21"/>
      <c r="ADQ123" s="21"/>
      <c r="ADR123" s="21"/>
      <c r="ADS123" s="21"/>
      <c r="ADT123" s="21"/>
      <c r="ADU123" s="21"/>
      <c r="ADV123" s="21"/>
      <c r="ADW123" s="21"/>
      <c r="ADX123" s="21"/>
      <c r="ADY123" s="21"/>
      <c r="ADZ123" s="21"/>
      <c r="AEA123" s="21"/>
      <c r="AEB123" s="21"/>
      <c r="AEC123" s="21"/>
      <c r="AED123" s="21"/>
      <c r="AEE123" s="21"/>
      <c r="AEF123" s="21"/>
      <c r="AEG123" s="21"/>
      <c r="AEH123" s="21"/>
      <c r="AEI123" s="21"/>
      <c r="AEJ123" s="21"/>
      <c r="AEK123" s="21"/>
      <c r="AEL123" s="21"/>
      <c r="AEM123" s="21"/>
      <c r="AEN123" s="21"/>
      <c r="AEO123" s="21"/>
      <c r="AEP123" s="21"/>
      <c r="AEQ123" s="21"/>
      <c r="AER123" s="21"/>
      <c r="AES123" s="21"/>
      <c r="AET123" s="21"/>
      <c r="AEU123" s="21"/>
      <c r="AEV123" s="21"/>
      <c r="AEW123" s="21"/>
      <c r="AEX123" s="21"/>
      <c r="AEY123" s="21"/>
      <c r="AEZ123" s="21"/>
      <c r="AFA123" s="21"/>
      <c r="AFB123" s="21"/>
      <c r="AFC123" s="21"/>
      <c r="AFD123" s="21"/>
      <c r="AFE123" s="21"/>
      <c r="AFF123" s="21"/>
      <c r="AFG123" s="21"/>
      <c r="AFH123" s="21"/>
      <c r="AFI123" s="21"/>
      <c r="AFJ123" s="21"/>
      <c r="AFK123" s="21"/>
      <c r="AFL123" s="21"/>
      <c r="AFM123" s="21"/>
      <c r="AFN123" s="21"/>
      <c r="AFO123" s="21"/>
      <c r="AFP123" s="21"/>
      <c r="AFQ123" s="21"/>
      <c r="AFR123" s="21"/>
      <c r="AFS123" s="21"/>
      <c r="AFT123" s="21"/>
      <c r="AFU123" s="21"/>
      <c r="AFV123" s="21"/>
      <c r="AFW123" s="21"/>
      <c r="AFX123" s="21"/>
      <c r="AFY123" s="21"/>
      <c r="AFZ123" s="21"/>
      <c r="AGA123" s="21"/>
      <c r="AGB123" s="21"/>
      <c r="AGC123" s="21"/>
      <c r="AGD123" s="21"/>
      <c r="AGE123" s="21"/>
      <c r="AGF123" s="21"/>
      <c r="AGG123" s="21"/>
      <c r="AGH123" s="21"/>
      <c r="AGI123" s="21"/>
      <c r="AGJ123" s="21"/>
      <c r="AGK123" s="21"/>
      <c r="AGL123" s="21"/>
      <c r="AGM123" s="21"/>
      <c r="AGN123" s="21"/>
      <c r="AGO123" s="21"/>
      <c r="AGP123" s="21"/>
      <c r="AGQ123" s="21"/>
      <c r="AGR123" s="21"/>
      <c r="AGS123" s="21"/>
    </row>
    <row r="124" spans="1:877" ht="13">
      <c r="A124" s="12"/>
      <c r="B124" s="70" t="s">
        <v>71</v>
      </c>
      <c r="C124" s="82">
        <v>12000000</v>
      </c>
      <c r="D124" s="84">
        <v>46204</v>
      </c>
      <c r="E124" s="61"/>
      <c r="F124" s="27"/>
      <c r="G124" s="27">
        <f t="shared" ref="G124:CL124" si="52">IF(AND(MONTH(G$4)=MONTH($D124),YEAR(G$4)=YEAR($D124)),$C124,0)</f>
        <v>0</v>
      </c>
      <c r="H124" s="27">
        <f t="shared" si="52"/>
        <v>0</v>
      </c>
      <c r="I124" s="27">
        <f t="shared" si="52"/>
        <v>0</v>
      </c>
      <c r="J124" s="27">
        <f t="shared" si="52"/>
        <v>0</v>
      </c>
      <c r="K124" s="27">
        <f t="shared" si="52"/>
        <v>0</v>
      </c>
      <c r="L124" s="27">
        <f t="shared" si="52"/>
        <v>0</v>
      </c>
      <c r="M124" s="27">
        <f t="shared" si="52"/>
        <v>0</v>
      </c>
      <c r="N124" s="27">
        <f t="shared" si="52"/>
        <v>0</v>
      </c>
      <c r="O124" s="27">
        <f t="shared" si="52"/>
        <v>0</v>
      </c>
      <c r="P124" s="27">
        <f t="shared" si="52"/>
        <v>0</v>
      </c>
      <c r="Q124" s="27">
        <f t="shared" si="52"/>
        <v>0</v>
      </c>
      <c r="R124" s="27">
        <f t="shared" si="52"/>
        <v>0</v>
      </c>
      <c r="S124" s="27">
        <f t="shared" si="52"/>
        <v>12000000</v>
      </c>
      <c r="T124" s="27">
        <f t="shared" si="52"/>
        <v>0</v>
      </c>
      <c r="U124" s="27">
        <f t="shared" si="52"/>
        <v>0</v>
      </c>
      <c r="V124" s="27">
        <f t="shared" si="52"/>
        <v>0</v>
      </c>
      <c r="W124" s="27">
        <f t="shared" si="52"/>
        <v>0</v>
      </c>
      <c r="X124" s="27">
        <f t="shared" si="52"/>
        <v>0</v>
      </c>
      <c r="Y124" s="27">
        <f t="shared" si="52"/>
        <v>0</v>
      </c>
      <c r="Z124" s="27">
        <f t="shared" si="52"/>
        <v>0</v>
      </c>
      <c r="AA124" s="27">
        <f t="shared" si="52"/>
        <v>0</v>
      </c>
      <c r="AB124" s="27">
        <f t="shared" si="52"/>
        <v>0</v>
      </c>
      <c r="AC124" s="27">
        <f t="shared" si="52"/>
        <v>0</v>
      </c>
      <c r="AD124" s="27">
        <f t="shared" si="52"/>
        <v>0</v>
      </c>
      <c r="AE124" s="27">
        <f t="shared" si="52"/>
        <v>0</v>
      </c>
      <c r="AF124" s="27">
        <f t="shared" si="52"/>
        <v>0</v>
      </c>
      <c r="AG124" s="27">
        <f t="shared" si="52"/>
        <v>0</v>
      </c>
      <c r="AH124" s="27">
        <f t="shared" si="52"/>
        <v>0</v>
      </c>
      <c r="AI124" s="27">
        <f t="shared" si="52"/>
        <v>0</v>
      </c>
      <c r="AJ124" s="27">
        <f t="shared" si="52"/>
        <v>0</v>
      </c>
      <c r="AK124" s="27">
        <f t="shared" si="52"/>
        <v>0</v>
      </c>
      <c r="AL124" s="27">
        <f t="shared" si="52"/>
        <v>0</v>
      </c>
      <c r="AM124" s="27">
        <f t="shared" si="52"/>
        <v>0</v>
      </c>
      <c r="AN124" s="27">
        <f t="shared" si="52"/>
        <v>0</v>
      </c>
      <c r="AO124" s="27">
        <f t="shared" si="52"/>
        <v>0</v>
      </c>
      <c r="AP124" s="27">
        <f t="shared" si="52"/>
        <v>0</v>
      </c>
      <c r="AQ124" s="27">
        <f t="shared" si="52"/>
        <v>0</v>
      </c>
      <c r="AR124" s="27">
        <f t="shared" si="52"/>
        <v>0</v>
      </c>
      <c r="AS124" s="27">
        <f t="shared" si="52"/>
        <v>0</v>
      </c>
      <c r="AT124" s="27">
        <f t="shared" si="52"/>
        <v>0</v>
      </c>
      <c r="AU124" s="27">
        <f t="shared" si="52"/>
        <v>0</v>
      </c>
      <c r="AV124" s="27">
        <f t="shared" si="52"/>
        <v>0</v>
      </c>
      <c r="AW124" s="27">
        <f t="shared" si="52"/>
        <v>0</v>
      </c>
      <c r="AX124" s="27">
        <f t="shared" si="52"/>
        <v>0</v>
      </c>
      <c r="AY124" s="27">
        <f t="shared" si="52"/>
        <v>0</v>
      </c>
      <c r="AZ124" s="27">
        <f t="shared" si="52"/>
        <v>0</v>
      </c>
      <c r="BA124" s="27">
        <f t="shared" si="52"/>
        <v>0</v>
      </c>
      <c r="BB124" s="27">
        <f t="shared" si="52"/>
        <v>0</v>
      </c>
      <c r="BC124" s="27">
        <f t="shared" si="52"/>
        <v>0</v>
      </c>
      <c r="BD124" s="27">
        <f t="shared" si="52"/>
        <v>0</v>
      </c>
      <c r="BE124" s="27">
        <f t="shared" si="52"/>
        <v>0</v>
      </c>
      <c r="BF124" s="27">
        <f t="shared" si="52"/>
        <v>0</v>
      </c>
      <c r="BG124" s="27">
        <f t="shared" si="52"/>
        <v>0</v>
      </c>
      <c r="BH124" s="27">
        <f t="shared" si="52"/>
        <v>0</v>
      </c>
      <c r="BI124" s="27">
        <f t="shared" si="52"/>
        <v>0</v>
      </c>
      <c r="BJ124" s="27">
        <f t="shared" si="52"/>
        <v>0</v>
      </c>
      <c r="BK124" s="27">
        <f t="shared" si="52"/>
        <v>0</v>
      </c>
      <c r="BL124" s="27">
        <f t="shared" si="52"/>
        <v>0</v>
      </c>
      <c r="BM124" s="27">
        <f t="shared" si="52"/>
        <v>0</v>
      </c>
      <c r="BN124" s="27">
        <f t="shared" si="52"/>
        <v>0</v>
      </c>
      <c r="BO124" s="27">
        <f t="shared" si="52"/>
        <v>0</v>
      </c>
      <c r="BP124" s="27">
        <f t="shared" si="52"/>
        <v>0</v>
      </c>
      <c r="BQ124" s="27">
        <f t="shared" si="52"/>
        <v>0</v>
      </c>
      <c r="BR124" s="27">
        <f t="shared" si="52"/>
        <v>0</v>
      </c>
      <c r="BS124" s="27">
        <f t="shared" si="52"/>
        <v>0</v>
      </c>
      <c r="BT124" s="27">
        <f t="shared" si="52"/>
        <v>0</v>
      </c>
      <c r="BU124" s="27">
        <f t="shared" si="52"/>
        <v>0</v>
      </c>
      <c r="BV124" s="27">
        <f t="shared" si="52"/>
        <v>0</v>
      </c>
      <c r="BW124" s="27">
        <f t="shared" si="52"/>
        <v>0</v>
      </c>
      <c r="BX124" s="27">
        <f t="shared" si="52"/>
        <v>0</v>
      </c>
      <c r="BY124" s="27">
        <f t="shared" si="52"/>
        <v>0</v>
      </c>
      <c r="BZ124" s="27">
        <f t="shared" si="52"/>
        <v>0</v>
      </c>
      <c r="CA124" s="27">
        <f t="shared" si="52"/>
        <v>0</v>
      </c>
      <c r="CB124" s="27">
        <f t="shared" si="52"/>
        <v>0</v>
      </c>
      <c r="CC124" s="27">
        <f t="shared" si="52"/>
        <v>0</v>
      </c>
      <c r="CD124" s="27">
        <f t="shared" si="52"/>
        <v>0</v>
      </c>
      <c r="CE124" s="27">
        <f t="shared" si="52"/>
        <v>0</v>
      </c>
      <c r="CF124" s="27">
        <f t="shared" si="52"/>
        <v>0</v>
      </c>
      <c r="CG124" s="27">
        <f t="shared" si="52"/>
        <v>0</v>
      </c>
      <c r="CH124" s="27">
        <f t="shared" si="52"/>
        <v>0</v>
      </c>
      <c r="CI124" s="27">
        <f t="shared" si="52"/>
        <v>0</v>
      </c>
      <c r="CJ124" s="27">
        <f t="shared" si="52"/>
        <v>0</v>
      </c>
      <c r="CK124" s="27">
        <f t="shared" si="52"/>
        <v>0</v>
      </c>
      <c r="CL124" s="27">
        <f t="shared" si="52"/>
        <v>0</v>
      </c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  <c r="IY124" s="21"/>
      <c r="IZ124" s="21"/>
      <c r="JA124" s="21"/>
      <c r="JB124" s="21"/>
      <c r="JC124" s="21"/>
      <c r="JD124" s="21"/>
      <c r="JE124" s="21"/>
      <c r="JF124" s="21"/>
      <c r="JG124" s="21"/>
      <c r="JH124" s="21"/>
      <c r="JI124" s="21"/>
      <c r="JJ124" s="21"/>
      <c r="JK124" s="21"/>
      <c r="JL124" s="21"/>
      <c r="JM124" s="21"/>
      <c r="JN124" s="21"/>
      <c r="JO124" s="21"/>
      <c r="JP124" s="21"/>
      <c r="JQ124" s="21"/>
      <c r="JR124" s="21"/>
      <c r="JS124" s="21"/>
      <c r="JT124" s="21"/>
      <c r="JU124" s="21"/>
      <c r="JV124" s="21"/>
      <c r="JW124" s="21"/>
      <c r="JX124" s="21"/>
      <c r="JY124" s="21"/>
      <c r="JZ124" s="21"/>
      <c r="KA124" s="21"/>
      <c r="KB124" s="21"/>
      <c r="KC124" s="21"/>
      <c r="KD124" s="21"/>
      <c r="KE124" s="21"/>
      <c r="KF124" s="21"/>
      <c r="KG124" s="21"/>
      <c r="KH124" s="21"/>
      <c r="KI124" s="21"/>
      <c r="KJ124" s="21"/>
      <c r="KK124" s="21"/>
      <c r="KL124" s="21"/>
      <c r="KM124" s="21"/>
      <c r="KN124" s="21"/>
      <c r="KO124" s="21"/>
      <c r="KP124" s="21"/>
      <c r="KQ124" s="21"/>
      <c r="KR124" s="21"/>
      <c r="KS124" s="21"/>
      <c r="KT124" s="21"/>
      <c r="KU124" s="21"/>
      <c r="KV124" s="21"/>
      <c r="KW124" s="21"/>
      <c r="KX124" s="21"/>
      <c r="KY124" s="21"/>
      <c r="KZ124" s="21"/>
      <c r="LA124" s="21"/>
      <c r="LB124" s="21"/>
      <c r="LC124" s="21"/>
      <c r="LD124" s="21"/>
      <c r="LE124" s="21"/>
      <c r="LF124" s="21"/>
      <c r="LG124" s="21"/>
      <c r="LH124" s="21"/>
      <c r="LI124" s="21"/>
      <c r="LJ124" s="21"/>
      <c r="LK124" s="21"/>
      <c r="LL124" s="21"/>
      <c r="LM124" s="21"/>
      <c r="LN124" s="21"/>
      <c r="LO124" s="21"/>
      <c r="LP124" s="21"/>
      <c r="LQ124" s="21"/>
      <c r="LR124" s="21"/>
      <c r="LS124" s="21"/>
      <c r="LT124" s="21"/>
      <c r="LU124" s="21"/>
      <c r="LV124" s="21"/>
      <c r="LW124" s="21"/>
      <c r="LX124" s="21"/>
      <c r="LY124" s="21"/>
      <c r="LZ124" s="21"/>
      <c r="MA124" s="21"/>
      <c r="MB124" s="21"/>
      <c r="MC124" s="21"/>
      <c r="MD124" s="21"/>
      <c r="ME124" s="21"/>
      <c r="MF124" s="21"/>
      <c r="MG124" s="21"/>
      <c r="MH124" s="21"/>
      <c r="MI124" s="21"/>
      <c r="MJ124" s="21"/>
      <c r="MK124" s="21"/>
      <c r="ML124" s="21"/>
      <c r="MM124" s="21"/>
      <c r="MN124" s="21"/>
      <c r="MO124" s="21"/>
      <c r="MP124" s="21"/>
      <c r="MQ124" s="21"/>
      <c r="MR124" s="21"/>
      <c r="MS124" s="21"/>
      <c r="MT124" s="21"/>
      <c r="MU124" s="21"/>
      <c r="MV124" s="21"/>
      <c r="MW124" s="21"/>
      <c r="MX124" s="21"/>
      <c r="MY124" s="21"/>
      <c r="MZ124" s="21"/>
      <c r="NA124" s="21"/>
      <c r="NB124" s="21"/>
      <c r="NC124" s="21"/>
      <c r="ND124" s="21"/>
      <c r="NE124" s="21"/>
      <c r="NF124" s="21"/>
      <c r="NG124" s="21"/>
      <c r="NH124" s="21"/>
      <c r="NI124" s="21"/>
      <c r="NJ124" s="21"/>
      <c r="NK124" s="21"/>
      <c r="NL124" s="21"/>
      <c r="NM124" s="21"/>
      <c r="NN124" s="21"/>
      <c r="NO124" s="21"/>
      <c r="NP124" s="21"/>
      <c r="NQ124" s="21"/>
      <c r="NR124" s="21"/>
      <c r="NS124" s="21"/>
      <c r="NT124" s="21"/>
      <c r="NU124" s="21"/>
      <c r="NV124" s="21"/>
      <c r="NW124" s="21"/>
      <c r="NX124" s="21"/>
      <c r="NY124" s="21"/>
      <c r="NZ124" s="21"/>
      <c r="OA124" s="21"/>
      <c r="OB124" s="21"/>
      <c r="OC124" s="21"/>
      <c r="OD124" s="21"/>
      <c r="OE124" s="21"/>
      <c r="OF124" s="21"/>
      <c r="OG124" s="21"/>
      <c r="OH124" s="21"/>
      <c r="OI124" s="21"/>
      <c r="OJ124" s="21"/>
      <c r="OK124" s="21"/>
      <c r="OL124" s="21"/>
      <c r="OM124" s="21"/>
      <c r="ON124" s="21"/>
      <c r="OO124" s="21"/>
      <c r="OP124" s="21"/>
      <c r="OQ124" s="21"/>
      <c r="OR124" s="21"/>
      <c r="OS124" s="21"/>
      <c r="OT124" s="21"/>
      <c r="OU124" s="21"/>
      <c r="OV124" s="21"/>
      <c r="OW124" s="21"/>
      <c r="OX124" s="21"/>
      <c r="OY124" s="21"/>
      <c r="OZ124" s="21"/>
      <c r="PA124" s="21"/>
      <c r="PB124" s="21"/>
      <c r="PC124" s="21"/>
      <c r="PD124" s="21"/>
      <c r="PE124" s="21"/>
      <c r="PF124" s="21"/>
      <c r="PG124" s="21"/>
      <c r="PH124" s="21"/>
      <c r="PI124" s="21"/>
      <c r="PJ124" s="21"/>
      <c r="PK124" s="21"/>
      <c r="PL124" s="21"/>
      <c r="PM124" s="21"/>
      <c r="PN124" s="21"/>
      <c r="PO124" s="21"/>
      <c r="PP124" s="21"/>
      <c r="PQ124" s="21"/>
      <c r="PR124" s="21"/>
      <c r="PS124" s="21"/>
      <c r="PT124" s="21"/>
      <c r="PU124" s="21"/>
      <c r="PV124" s="21"/>
      <c r="PW124" s="21"/>
      <c r="PX124" s="21"/>
      <c r="PY124" s="21"/>
      <c r="PZ124" s="21"/>
      <c r="QA124" s="21"/>
      <c r="QB124" s="21"/>
      <c r="QC124" s="21"/>
      <c r="QD124" s="21"/>
      <c r="QE124" s="21"/>
      <c r="QF124" s="21"/>
      <c r="QG124" s="21"/>
      <c r="QH124" s="21"/>
      <c r="QI124" s="21"/>
      <c r="QJ124" s="21"/>
      <c r="QK124" s="21"/>
      <c r="QL124" s="21"/>
      <c r="QM124" s="21"/>
      <c r="QN124" s="21"/>
      <c r="QO124" s="21"/>
      <c r="QP124" s="21"/>
      <c r="QQ124" s="21"/>
      <c r="QR124" s="21"/>
      <c r="QS124" s="21"/>
      <c r="QT124" s="21"/>
      <c r="QU124" s="21"/>
      <c r="QV124" s="21"/>
      <c r="QW124" s="21"/>
      <c r="QX124" s="21"/>
      <c r="QY124" s="21"/>
      <c r="QZ124" s="21"/>
      <c r="RA124" s="21"/>
      <c r="RB124" s="21"/>
      <c r="RC124" s="21"/>
      <c r="RD124" s="21"/>
      <c r="RE124" s="21"/>
      <c r="RF124" s="21"/>
      <c r="RG124" s="21"/>
      <c r="RH124" s="21"/>
      <c r="RI124" s="21"/>
      <c r="RJ124" s="21"/>
      <c r="RK124" s="21"/>
      <c r="RL124" s="21"/>
      <c r="RM124" s="21"/>
      <c r="RN124" s="21"/>
      <c r="RO124" s="21"/>
      <c r="RP124" s="21"/>
      <c r="RQ124" s="21"/>
      <c r="RR124" s="21"/>
      <c r="RS124" s="21"/>
      <c r="RT124" s="21"/>
      <c r="RU124" s="21"/>
      <c r="RV124" s="21"/>
      <c r="RW124" s="21"/>
      <c r="RX124" s="21"/>
      <c r="RY124" s="21"/>
      <c r="RZ124" s="21"/>
      <c r="SA124" s="21"/>
      <c r="SB124" s="21"/>
      <c r="SC124" s="21"/>
      <c r="SD124" s="21"/>
      <c r="SE124" s="21"/>
      <c r="SF124" s="21"/>
      <c r="SG124" s="21"/>
      <c r="SH124" s="21"/>
      <c r="SI124" s="21"/>
      <c r="SJ124" s="21"/>
      <c r="SK124" s="21"/>
      <c r="SL124" s="21"/>
      <c r="SM124" s="21"/>
      <c r="SN124" s="21"/>
      <c r="SO124" s="21"/>
      <c r="SP124" s="21"/>
      <c r="SQ124" s="21"/>
      <c r="SR124" s="21"/>
      <c r="SS124" s="21"/>
      <c r="ST124" s="21"/>
      <c r="SU124" s="21"/>
      <c r="SV124" s="21"/>
      <c r="SW124" s="21"/>
      <c r="SX124" s="21"/>
      <c r="SY124" s="21"/>
      <c r="SZ124" s="21"/>
      <c r="TA124" s="21"/>
      <c r="TB124" s="21"/>
      <c r="TC124" s="21"/>
      <c r="TD124" s="21"/>
      <c r="TE124" s="21"/>
      <c r="TF124" s="21"/>
      <c r="TG124" s="21"/>
      <c r="TH124" s="21"/>
      <c r="TI124" s="21"/>
      <c r="TJ124" s="21"/>
      <c r="TK124" s="21"/>
      <c r="TL124" s="21"/>
      <c r="TM124" s="21"/>
      <c r="TN124" s="21"/>
      <c r="TO124" s="21"/>
      <c r="TP124" s="21"/>
      <c r="TQ124" s="21"/>
      <c r="TR124" s="21"/>
      <c r="TS124" s="21"/>
      <c r="TT124" s="21"/>
      <c r="TU124" s="21"/>
      <c r="TV124" s="21"/>
      <c r="TW124" s="21"/>
      <c r="TX124" s="21"/>
      <c r="TY124" s="21"/>
      <c r="TZ124" s="21"/>
      <c r="UA124" s="21"/>
      <c r="UB124" s="21"/>
      <c r="UC124" s="21"/>
      <c r="UD124" s="21"/>
      <c r="UE124" s="21"/>
      <c r="UF124" s="21"/>
      <c r="UG124" s="21"/>
      <c r="UH124" s="21"/>
      <c r="UI124" s="21"/>
      <c r="UJ124" s="21"/>
      <c r="UK124" s="21"/>
      <c r="UL124" s="21"/>
      <c r="UM124" s="21"/>
      <c r="UN124" s="21"/>
      <c r="UO124" s="21"/>
      <c r="UP124" s="21"/>
      <c r="UQ124" s="21"/>
      <c r="UR124" s="21"/>
      <c r="US124" s="21"/>
      <c r="UT124" s="21"/>
      <c r="UU124" s="21"/>
      <c r="UV124" s="21"/>
      <c r="UW124" s="21"/>
      <c r="UX124" s="21"/>
      <c r="UY124" s="21"/>
      <c r="UZ124" s="21"/>
      <c r="VA124" s="21"/>
      <c r="VB124" s="21"/>
      <c r="VC124" s="21"/>
      <c r="VD124" s="21"/>
      <c r="VE124" s="21"/>
      <c r="VF124" s="21"/>
      <c r="VG124" s="21"/>
      <c r="VH124" s="21"/>
      <c r="VI124" s="21"/>
      <c r="VJ124" s="21"/>
      <c r="VK124" s="21"/>
      <c r="VL124" s="21"/>
      <c r="VM124" s="21"/>
      <c r="VN124" s="21"/>
      <c r="VO124" s="21"/>
      <c r="VP124" s="21"/>
      <c r="VQ124" s="21"/>
      <c r="VR124" s="21"/>
      <c r="VS124" s="21"/>
      <c r="VT124" s="21"/>
      <c r="VU124" s="21"/>
      <c r="VV124" s="21"/>
      <c r="VW124" s="21"/>
      <c r="VX124" s="21"/>
      <c r="VY124" s="21"/>
      <c r="VZ124" s="21"/>
      <c r="WA124" s="21"/>
      <c r="WB124" s="21"/>
      <c r="WC124" s="21"/>
      <c r="WD124" s="21"/>
      <c r="WE124" s="21"/>
      <c r="WF124" s="21"/>
      <c r="WG124" s="21"/>
      <c r="WH124" s="21"/>
      <c r="WI124" s="21"/>
      <c r="WJ124" s="21"/>
      <c r="WK124" s="21"/>
      <c r="WL124" s="21"/>
      <c r="WM124" s="21"/>
      <c r="WN124" s="21"/>
      <c r="WO124" s="21"/>
      <c r="WP124" s="21"/>
      <c r="WQ124" s="21"/>
      <c r="WR124" s="21"/>
      <c r="WS124" s="21"/>
      <c r="WT124" s="21"/>
      <c r="WU124" s="21"/>
      <c r="WV124" s="21"/>
      <c r="WW124" s="21"/>
      <c r="WX124" s="21"/>
      <c r="WY124" s="21"/>
      <c r="WZ124" s="21"/>
      <c r="XA124" s="21"/>
      <c r="XB124" s="21"/>
      <c r="XC124" s="21"/>
      <c r="XD124" s="21"/>
      <c r="XE124" s="21"/>
      <c r="XF124" s="21"/>
      <c r="XG124" s="21"/>
      <c r="XH124" s="21"/>
      <c r="XI124" s="21"/>
      <c r="XJ124" s="21"/>
      <c r="XK124" s="21"/>
      <c r="XL124" s="21"/>
      <c r="XM124" s="21"/>
      <c r="XN124" s="21"/>
      <c r="XO124" s="21"/>
      <c r="XP124" s="21"/>
      <c r="XQ124" s="21"/>
      <c r="XR124" s="21"/>
      <c r="XS124" s="21"/>
      <c r="XT124" s="21"/>
      <c r="XU124" s="21"/>
      <c r="XV124" s="21"/>
      <c r="XW124" s="21"/>
      <c r="XX124" s="21"/>
      <c r="XY124" s="21"/>
      <c r="XZ124" s="21"/>
      <c r="YA124" s="21"/>
      <c r="YB124" s="21"/>
      <c r="YC124" s="21"/>
      <c r="YD124" s="21"/>
      <c r="YE124" s="21"/>
      <c r="YF124" s="21"/>
      <c r="YG124" s="21"/>
      <c r="YH124" s="21"/>
      <c r="YI124" s="21"/>
      <c r="YJ124" s="21"/>
      <c r="YK124" s="21"/>
      <c r="YL124" s="21"/>
      <c r="YM124" s="21"/>
      <c r="YN124" s="21"/>
      <c r="YO124" s="21"/>
      <c r="YP124" s="21"/>
      <c r="YQ124" s="21"/>
      <c r="YR124" s="21"/>
      <c r="YS124" s="21"/>
      <c r="YT124" s="21"/>
      <c r="YU124" s="21"/>
      <c r="YV124" s="21"/>
      <c r="YW124" s="21"/>
      <c r="YX124" s="21"/>
      <c r="YY124" s="21"/>
      <c r="YZ124" s="21"/>
      <c r="ZA124" s="21"/>
      <c r="ZB124" s="21"/>
      <c r="ZC124" s="21"/>
      <c r="ZD124" s="21"/>
      <c r="ZE124" s="21"/>
      <c r="ZF124" s="21"/>
      <c r="ZG124" s="21"/>
      <c r="ZH124" s="21"/>
      <c r="ZI124" s="21"/>
      <c r="ZJ124" s="21"/>
      <c r="ZK124" s="21"/>
      <c r="ZL124" s="21"/>
      <c r="ZM124" s="21"/>
      <c r="ZN124" s="21"/>
      <c r="ZO124" s="21"/>
      <c r="ZP124" s="21"/>
      <c r="ZQ124" s="21"/>
      <c r="ZR124" s="21"/>
      <c r="ZS124" s="21"/>
      <c r="ZT124" s="21"/>
      <c r="ZU124" s="21"/>
      <c r="ZV124" s="21"/>
      <c r="ZW124" s="21"/>
      <c r="ZX124" s="21"/>
      <c r="ZY124" s="21"/>
      <c r="ZZ124" s="21"/>
      <c r="AAA124" s="21"/>
      <c r="AAB124" s="21"/>
      <c r="AAC124" s="21"/>
      <c r="AAD124" s="21"/>
      <c r="AAE124" s="21"/>
      <c r="AAF124" s="21"/>
      <c r="AAG124" s="21"/>
      <c r="AAH124" s="21"/>
      <c r="AAI124" s="21"/>
      <c r="AAJ124" s="21"/>
      <c r="AAK124" s="21"/>
      <c r="AAL124" s="21"/>
      <c r="AAM124" s="21"/>
      <c r="AAN124" s="21"/>
      <c r="AAO124" s="21"/>
      <c r="AAP124" s="21"/>
      <c r="AAQ124" s="21"/>
      <c r="AAR124" s="21"/>
      <c r="AAS124" s="21"/>
      <c r="AAT124" s="21"/>
      <c r="AAU124" s="21"/>
      <c r="AAV124" s="21"/>
      <c r="AAW124" s="21"/>
      <c r="AAX124" s="21"/>
      <c r="AAY124" s="21"/>
      <c r="AAZ124" s="21"/>
      <c r="ABA124" s="21"/>
      <c r="ABB124" s="21"/>
      <c r="ABC124" s="21"/>
      <c r="ABD124" s="21"/>
      <c r="ABE124" s="21"/>
      <c r="ABF124" s="21"/>
      <c r="ABG124" s="21"/>
      <c r="ABH124" s="21"/>
      <c r="ABI124" s="21"/>
      <c r="ABJ124" s="21"/>
      <c r="ABK124" s="21"/>
      <c r="ABL124" s="21"/>
      <c r="ABM124" s="21"/>
      <c r="ABN124" s="21"/>
      <c r="ABO124" s="21"/>
      <c r="ABP124" s="21"/>
      <c r="ABQ124" s="21"/>
      <c r="ABR124" s="21"/>
      <c r="ABS124" s="21"/>
      <c r="ABT124" s="21"/>
      <c r="ABU124" s="21"/>
      <c r="ABV124" s="21"/>
      <c r="ABW124" s="21"/>
      <c r="ABX124" s="21"/>
      <c r="ABY124" s="21"/>
      <c r="ABZ124" s="21"/>
      <c r="ACA124" s="21"/>
      <c r="ACB124" s="21"/>
      <c r="ACC124" s="21"/>
      <c r="ACD124" s="21"/>
      <c r="ACE124" s="21"/>
      <c r="ACF124" s="21"/>
      <c r="ACG124" s="21"/>
      <c r="ACH124" s="21"/>
      <c r="ACI124" s="21"/>
      <c r="ACJ124" s="21"/>
      <c r="ACK124" s="21"/>
      <c r="ACL124" s="21"/>
      <c r="ACM124" s="21"/>
      <c r="ACN124" s="21"/>
      <c r="ACO124" s="21"/>
      <c r="ACP124" s="21"/>
      <c r="ACQ124" s="21"/>
      <c r="ACR124" s="21"/>
      <c r="ACS124" s="21"/>
      <c r="ACT124" s="21"/>
      <c r="ACU124" s="21"/>
      <c r="ACV124" s="21"/>
      <c r="ACW124" s="21"/>
      <c r="ACX124" s="21"/>
      <c r="ACY124" s="21"/>
      <c r="ACZ124" s="21"/>
      <c r="ADA124" s="21"/>
      <c r="ADB124" s="21"/>
      <c r="ADC124" s="21"/>
      <c r="ADD124" s="21"/>
      <c r="ADE124" s="21"/>
      <c r="ADF124" s="21"/>
      <c r="ADG124" s="21"/>
      <c r="ADH124" s="21"/>
      <c r="ADI124" s="21"/>
      <c r="ADJ124" s="21"/>
      <c r="ADK124" s="21"/>
      <c r="ADL124" s="21"/>
      <c r="ADM124" s="21"/>
      <c r="ADN124" s="21"/>
      <c r="ADO124" s="21"/>
      <c r="ADP124" s="21"/>
      <c r="ADQ124" s="21"/>
      <c r="ADR124" s="21"/>
      <c r="ADS124" s="21"/>
      <c r="ADT124" s="21"/>
      <c r="ADU124" s="21"/>
      <c r="ADV124" s="21"/>
      <c r="ADW124" s="21"/>
      <c r="ADX124" s="21"/>
      <c r="ADY124" s="21"/>
      <c r="ADZ124" s="21"/>
      <c r="AEA124" s="21"/>
      <c r="AEB124" s="21"/>
      <c r="AEC124" s="21"/>
      <c r="AED124" s="21"/>
      <c r="AEE124" s="21"/>
      <c r="AEF124" s="21"/>
      <c r="AEG124" s="21"/>
      <c r="AEH124" s="21"/>
      <c r="AEI124" s="21"/>
      <c r="AEJ124" s="21"/>
      <c r="AEK124" s="21"/>
      <c r="AEL124" s="21"/>
      <c r="AEM124" s="21"/>
      <c r="AEN124" s="21"/>
      <c r="AEO124" s="21"/>
      <c r="AEP124" s="21"/>
      <c r="AEQ124" s="21"/>
      <c r="AER124" s="21"/>
      <c r="AES124" s="21"/>
      <c r="AET124" s="21"/>
      <c r="AEU124" s="21"/>
      <c r="AEV124" s="21"/>
      <c r="AEW124" s="21"/>
      <c r="AEX124" s="21"/>
      <c r="AEY124" s="21"/>
      <c r="AEZ124" s="21"/>
      <c r="AFA124" s="21"/>
      <c r="AFB124" s="21"/>
      <c r="AFC124" s="21"/>
      <c r="AFD124" s="21"/>
      <c r="AFE124" s="21"/>
      <c r="AFF124" s="21"/>
      <c r="AFG124" s="21"/>
      <c r="AFH124" s="21"/>
      <c r="AFI124" s="21"/>
      <c r="AFJ124" s="21"/>
      <c r="AFK124" s="21"/>
      <c r="AFL124" s="21"/>
      <c r="AFM124" s="21"/>
      <c r="AFN124" s="21"/>
      <c r="AFO124" s="21"/>
      <c r="AFP124" s="21"/>
      <c r="AFQ124" s="21"/>
      <c r="AFR124" s="21"/>
      <c r="AFS124" s="21"/>
      <c r="AFT124" s="21"/>
      <c r="AFU124" s="21"/>
      <c r="AFV124" s="21"/>
      <c r="AFW124" s="21"/>
      <c r="AFX124" s="21"/>
      <c r="AFY124" s="21"/>
      <c r="AFZ124" s="21"/>
      <c r="AGA124" s="21"/>
      <c r="AGB124" s="21"/>
      <c r="AGC124" s="21"/>
      <c r="AGD124" s="21"/>
      <c r="AGE124" s="21"/>
      <c r="AGF124" s="21"/>
      <c r="AGG124" s="21"/>
      <c r="AGH124" s="21"/>
      <c r="AGI124" s="21"/>
      <c r="AGJ124" s="21"/>
      <c r="AGK124" s="21"/>
      <c r="AGL124" s="21"/>
      <c r="AGM124" s="21"/>
      <c r="AGN124" s="21"/>
      <c r="AGO124" s="21"/>
      <c r="AGP124" s="21"/>
      <c r="AGQ124" s="21"/>
      <c r="AGR124" s="21"/>
      <c r="AGS124" s="21"/>
    </row>
    <row r="125" spans="1:877" ht="13">
      <c r="A125" s="12"/>
      <c r="B125" s="70" t="s">
        <v>72</v>
      </c>
      <c r="C125" s="82">
        <v>0</v>
      </c>
      <c r="D125" s="85"/>
      <c r="E125" s="61"/>
      <c r="F125" s="27"/>
      <c r="G125" s="27">
        <f t="shared" ref="G125:CL125" si="53">IF(AND(MONTH(G$4)=MONTH($D125),YEAR(G$4)=YEAR($D125)),$C125,0)</f>
        <v>0</v>
      </c>
      <c r="H125" s="27">
        <f t="shared" si="53"/>
        <v>0</v>
      </c>
      <c r="I125" s="27">
        <f t="shared" si="53"/>
        <v>0</v>
      </c>
      <c r="J125" s="27">
        <f t="shared" si="53"/>
        <v>0</v>
      </c>
      <c r="K125" s="27">
        <f t="shared" si="53"/>
        <v>0</v>
      </c>
      <c r="L125" s="27">
        <f t="shared" si="53"/>
        <v>0</v>
      </c>
      <c r="M125" s="27">
        <f t="shared" si="53"/>
        <v>0</v>
      </c>
      <c r="N125" s="27">
        <f t="shared" si="53"/>
        <v>0</v>
      </c>
      <c r="O125" s="27">
        <f t="shared" si="53"/>
        <v>0</v>
      </c>
      <c r="P125" s="27">
        <f t="shared" si="53"/>
        <v>0</v>
      </c>
      <c r="Q125" s="27">
        <f t="shared" si="53"/>
        <v>0</v>
      </c>
      <c r="R125" s="27">
        <f t="shared" si="53"/>
        <v>0</v>
      </c>
      <c r="S125" s="27">
        <f t="shared" si="53"/>
        <v>0</v>
      </c>
      <c r="T125" s="27">
        <f t="shared" si="53"/>
        <v>0</v>
      </c>
      <c r="U125" s="27">
        <f t="shared" si="53"/>
        <v>0</v>
      </c>
      <c r="V125" s="27">
        <f t="shared" si="53"/>
        <v>0</v>
      </c>
      <c r="W125" s="27">
        <f t="shared" si="53"/>
        <v>0</v>
      </c>
      <c r="X125" s="27">
        <f t="shared" si="53"/>
        <v>0</v>
      </c>
      <c r="Y125" s="27">
        <f t="shared" si="53"/>
        <v>0</v>
      </c>
      <c r="Z125" s="27">
        <f t="shared" si="53"/>
        <v>0</v>
      </c>
      <c r="AA125" s="27">
        <f t="shared" si="53"/>
        <v>0</v>
      </c>
      <c r="AB125" s="27">
        <f t="shared" si="53"/>
        <v>0</v>
      </c>
      <c r="AC125" s="27">
        <f t="shared" si="53"/>
        <v>0</v>
      </c>
      <c r="AD125" s="27">
        <f t="shared" si="53"/>
        <v>0</v>
      </c>
      <c r="AE125" s="27">
        <f t="shared" si="53"/>
        <v>0</v>
      </c>
      <c r="AF125" s="27">
        <f t="shared" si="53"/>
        <v>0</v>
      </c>
      <c r="AG125" s="27">
        <f t="shared" si="53"/>
        <v>0</v>
      </c>
      <c r="AH125" s="27">
        <f t="shared" si="53"/>
        <v>0</v>
      </c>
      <c r="AI125" s="27">
        <f t="shared" si="53"/>
        <v>0</v>
      </c>
      <c r="AJ125" s="27">
        <f t="shared" si="53"/>
        <v>0</v>
      </c>
      <c r="AK125" s="27">
        <f t="shared" si="53"/>
        <v>0</v>
      </c>
      <c r="AL125" s="27">
        <f t="shared" si="53"/>
        <v>0</v>
      </c>
      <c r="AM125" s="27">
        <f t="shared" si="53"/>
        <v>0</v>
      </c>
      <c r="AN125" s="27">
        <f t="shared" si="53"/>
        <v>0</v>
      </c>
      <c r="AO125" s="27">
        <f t="shared" si="53"/>
        <v>0</v>
      </c>
      <c r="AP125" s="27">
        <f t="shared" si="53"/>
        <v>0</v>
      </c>
      <c r="AQ125" s="27">
        <f t="shared" si="53"/>
        <v>0</v>
      </c>
      <c r="AR125" s="27">
        <f t="shared" si="53"/>
        <v>0</v>
      </c>
      <c r="AS125" s="27">
        <f t="shared" si="53"/>
        <v>0</v>
      </c>
      <c r="AT125" s="27">
        <f t="shared" si="53"/>
        <v>0</v>
      </c>
      <c r="AU125" s="27">
        <f t="shared" si="53"/>
        <v>0</v>
      </c>
      <c r="AV125" s="27">
        <f t="shared" si="53"/>
        <v>0</v>
      </c>
      <c r="AW125" s="27">
        <f t="shared" si="53"/>
        <v>0</v>
      </c>
      <c r="AX125" s="27">
        <f t="shared" si="53"/>
        <v>0</v>
      </c>
      <c r="AY125" s="27">
        <f t="shared" si="53"/>
        <v>0</v>
      </c>
      <c r="AZ125" s="27">
        <f t="shared" si="53"/>
        <v>0</v>
      </c>
      <c r="BA125" s="27">
        <f t="shared" si="53"/>
        <v>0</v>
      </c>
      <c r="BB125" s="27">
        <f t="shared" si="53"/>
        <v>0</v>
      </c>
      <c r="BC125" s="27">
        <f t="shared" si="53"/>
        <v>0</v>
      </c>
      <c r="BD125" s="27">
        <f t="shared" si="53"/>
        <v>0</v>
      </c>
      <c r="BE125" s="27">
        <f t="shared" si="53"/>
        <v>0</v>
      </c>
      <c r="BF125" s="27">
        <f t="shared" si="53"/>
        <v>0</v>
      </c>
      <c r="BG125" s="27">
        <f t="shared" si="53"/>
        <v>0</v>
      </c>
      <c r="BH125" s="27">
        <f t="shared" si="53"/>
        <v>0</v>
      </c>
      <c r="BI125" s="27">
        <f t="shared" si="53"/>
        <v>0</v>
      </c>
      <c r="BJ125" s="27">
        <f t="shared" si="53"/>
        <v>0</v>
      </c>
      <c r="BK125" s="27">
        <f t="shared" si="53"/>
        <v>0</v>
      </c>
      <c r="BL125" s="27">
        <f t="shared" si="53"/>
        <v>0</v>
      </c>
      <c r="BM125" s="27">
        <f t="shared" si="53"/>
        <v>0</v>
      </c>
      <c r="BN125" s="27">
        <f t="shared" si="53"/>
        <v>0</v>
      </c>
      <c r="BO125" s="27">
        <f t="shared" si="53"/>
        <v>0</v>
      </c>
      <c r="BP125" s="27">
        <f t="shared" si="53"/>
        <v>0</v>
      </c>
      <c r="BQ125" s="27">
        <f t="shared" si="53"/>
        <v>0</v>
      </c>
      <c r="BR125" s="27">
        <f t="shared" si="53"/>
        <v>0</v>
      </c>
      <c r="BS125" s="27">
        <f t="shared" si="53"/>
        <v>0</v>
      </c>
      <c r="BT125" s="27">
        <f t="shared" si="53"/>
        <v>0</v>
      </c>
      <c r="BU125" s="27">
        <f t="shared" si="53"/>
        <v>0</v>
      </c>
      <c r="BV125" s="27">
        <f t="shared" si="53"/>
        <v>0</v>
      </c>
      <c r="BW125" s="27">
        <f t="shared" si="53"/>
        <v>0</v>
      </c>
      <c r="BX125" s="27">
        <f t="shared" si="53"/>
        <v>0</v>
      </c>
      <c r="BY125" s="27">
        <f t="shared" si="53"/>
        <v>0</v>
      </c>
      <c r="BZ125" s="27">
        <f t="shared" si="53"/>
        <v>0</v>
      </c>
      <c r="CA125" s="27">
        <f t="shared" si="53"/>
        <v>0</v>
      </c>
      <c r="CB125" s="27">
        <f t="shared" si="53"/>
        <v>0</v>
      </c>
      <c r="CC125" s="27">
        <f t="shared" si="53"/>
        <v>0</v>
      </c>
      <c r="CD125" s="27">
        <f t="shared" si="53"/>
        <v>0</v>
      </c>
      <c r="CE125" s="27">
        <f t="shared" si="53"/>
        <v>0</v>
      </c>
      <c r="CF125" s="27">
        <f t="shared" si="53"/>
        <v>0</v>
      </c>
      <c r="CG125" s="27">
        <f t="shared" si="53"/>
        <v>0</v>
      </c>
      <c r="CH125" s="27">
        <f t="shared" si="53"/>
        <v>0</v>
      </c>
      <c r="CI125" s="27">
        <f t="shared" si="53"/>
        <v>0</v>
      </c>
      <c r="CJ125" s="27">
        <f t="shared" si="53"/>
        <v>0</v>
      </c>
      <c r="CK125" s="27">
        <f t="shared" si="53"/>
        <v>0</v>
      </c>
      <c r="CL125" s="27">
        <f t="shared" si="53"/>
        <v>0</v>
      </c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  <c r="IY125" s="21"/>
      <c r="IZ125" s="21"/>
      <c r="JA125" s="21"/>
      <c r="JB125" s="21"/>
      <c r="JC125" s="21"/>
      <c r="JD125" s="21"/>
      <c r="JE125" s="21"/>
      <c r="JF125" s="21"/>
      <c r="JG125" s="21"/>
      <c r="JH125" s="21"/>
      <c r="JI125" s="21"/>
      <c r="JJ125" s="21"/>
      <c r="JK125" s="21"/>
      <c r="JL125" s="21"/>
      <c r="JM125" s="21"/>
      <c r="JN125" s="21"/>
      <c r="JO125" s="21"/>
      <c r="JP125" s="21"/>
      <c r="JQ125" s="21"/>
      <c r="JR125" s="21"/>
      <c r="JS125" s="21"/>
      <c r="JT125" s="21"/>
      <c r="JU125" s="21"/>
      <c r="JV125" s="21"/>
      <c r="JW125" s="21"/>
      <c r="JX125" s="21"/>
      <c r="JY125" s="21"/>
      <c r="JZ125" s="21"/>
      <c r="KA125" s="21"/>
      <c r="KB125" s="21"/>
      <c r="KC125" s="21"/>
      <c r="KD125" s="21"/>
      <c r="KE125" s="21"/>
      <c r="KF125" s="21"/>
      <c r="KG125" s="21"/>
      <c r="KH125" s="21"/>
      <c r="KI125" s="21"/>
      <c r="KJ125" s="21"/>
      <c r="KK125" s="21"/>
      <c r="KL125" s="21"/>
      <c r="KM125" s="21"/>
      <c r="KN125" s="21"/>
      <c r="KO125" s="21"/>
      <c r="KP125" s="21"/>
      <c r="KQ125" s="21"/>
      <c r="KR125" s="21"/>
      <c r="KS125" s="21"/>
      <c r="KT125" s="21"/>
      <c r="KU125" s="21"/>
      <c r="KV125" s="21"/>
      <c r="KW125" s="21"/>
      <c r="KX125" s="21"/>
      <c r="KY125" s="21"/>
      <c r="KZ125" s="21"/>
      <c r="LA125" s="21"/>
      <c r="LB125" s="21"/>
      <c r="LC125" s="21"/>
      <c r="LD125" s="21"/>
      <c r="LE125" s="21"/>
      <c r="LF125" s="21"/>
      <c r="LG125" s="21"/>
      <c r="LH125" s="21"/>
      <c r="LI125" s="21"/>
      <c r="LJ125" s="21"/>
      <c r="LK125" s="21"/>
      <c r="LL125" s="21"/>
      <c r="LM125" s="21"/>
      <c r="LN125" s="21"/>
      <c r="LO125" s="21"/>
      <c r="LP125" s="21"/>
      <c r="LQ125" s="21"/>
      <c r="LR125" s="21"/>
      <c r="LS125" s="21"/>
      <c r="LT125" s="21"/>
      <c r="LU125" s="21"/>
      <c r="LV125" s="21"/>
      <c r="LW125" s="21"/>
      <c r="LX125" s="21"/>
      <c r="LY125" s="21"/>
      <c r="LZ125" s="21"/>
      <c r="MA125" s="21"/>
      <c r="MB125" s="21"/>
      <c r="MC125" s="21"/>
      <c r="MD125" s="21"/>
      <c r="ME125" s="21"/>
      <c r="MF125" s="21"/>
      <c r="MG125" s="21"/>
      <c r="MH125" s="21"/>
      <c r="MI125" s="21"/>
      <c r="MJ125" s="21"/>
      <c r="MK125" s="21"/>
      <c r="ML125" s="21"/>
      <c r="MM125" s="21"/>
      <c r="MN125" s="21"/>
      <c r="MO125" s="21"/>
      <c r="MP125" s="21"/>
      <c r="MQ125" s="21"/>
      <c r="MR125" s="21"/>
      <c r="MS125" s="21"/>
      <c r="MT125" s="21"/>
      <c r="MU125" s="21"/>
      <c r="MV125" s="21"/>
      <c r="MW125" s="21"/>
      <c r="MX125" s="21"/>
      <c r="MY125" s="21"/>
      <c r="MZ125" s="21"/>
      <c r="NA125" s="21"/>
      <c r="NB125" s="21"/>
      <c r="NC125" s="21"/>
      <c r="ND125" s="21"/>
      <c r="NE125" s="21"/>
      <c r="NF125" s="21"/>
      <c r="NG125" s="21"/>
      <c r="NH125" s="21"/>
      <c r="NI125" s="21"/>
      <c r="NJ125" s="21"/>
      <c r="NK125" s="21"/>
      <c r="NL125" s="21"/>
      <c r="NM125" s="21"/>
      <c r="NN125" s="21"/>
      <c r="NO125" s="21"/>
      <c r="NP125" s="21"/>
      <c r="NQ125" s="21"/>
      <c r="NR125" s="21"/>
      <c r="NS125" s="21"/>
      <c r="NT125" s="21"/>
      <c r="NU125" s="21"/>
      <c r="NV125" s="21"/>
      <c r="NW125" s="21"/>
      <c r="NX125" s="21"/>
      <c r="NY125" s="21"/>
      <c r="NZ125" s="21"/>
      <c r="OA125" s="21"/>
      <c r="OB125" s="21"/>
      <c r="OC125" s="21"/>
      <c r="OD125" s="21"/>
      <c r="OE125" s="21"/>
      <c r="OF125" s="21"/>
      <c r="OG125" s="21"/>
      <c r="OH125" s="21"/>
      <c r="OI125" s="21"/>
      <c r="OJ125" s="21"/>
      <c r="OK125" s="21"/>
      <c r="OL125" s="21"/>
      <c r="OM125" s="21"/>
      <c r="ON125" s="21"/>
      <c r="OO125" s="21"/>
      <c r="OP125" s="21"/>
      <c r="OQ125" s="21"/>
      <c r="OR125" s="21"/>
      <c r="OS125" s="21"/>
      <c r="OT125" s="21"/>
      <c r="OU125" s="21"/>
      <c r="OV125" s="21"/>
      <c r="OW125" s="21"/>
      <c r="OX125" s="21"/>
      <c r="OY125" s="21"/>
      <c r="OZ125" s="21"/>
      <c r="PA125" s="21"/>
      <c r="PB125" s="21"/>
      <c r="PC125" s="21"/>
      <c r="PD125" s="21"/>
      <c r="PE125" s="21"/>
      <c r="PF125" s="21"/>
      <c r="PG125" s="21"/>
      <c r="PH125" s="21"/>
      <c r="PI125" s="21"/>
      <c r="PJ125" s="21"/>
      <c r="PK125" s="21"/>
      <c r="PL125" s="21"/>
      <c r="PM125" s="21"/>
      <c r="PN125" s="21"/>
      <c r="PO125" s="21"/>
      <c r="PP125" s="21"/>
      <c r="PQ125" s="21"/>
      <c r="PR125" s="21"/>
      <c r="PS125" s="21"/>
      <c r="PT125" s="21"/>
      <c r="PU125" s="21"/>
      <c r="PV125" s="21"/>
      <c r="PW125" s="21"/>
      <c r="PX125" s="21"/>
      <c r="PY125" s="21"/>
      <c r="PZ125" s="21"/>
      <c r="QA125" s="21"/>
      <c r="QB125" s="21"/>
      <c r="QC125" s="21"/>
      <c r="QD125" s="21"/>
      <c r="QE125" s="21"/>
      <c r="QF125" s="21"/>
      <c r="QG125" s="21"/>
      <c r="QH125" s="21"/>
      <c r="QI125" s="21"/>
      <c r="QJ125" s="21"/>
      <c r="QK125" s="21"/>
      <c r="QL125" s="21"/>
      <c r="QM125" s="21"/>
      <c r="QN125" s="21"/>
      <c r="QO125" s="21"/>
      <c r="QP125" s="21"/>
      <c r="QQ125" s="21"/>
      <c r="QR125" s="21"/>
      <c r="QS125" s="21"/>
      <c r="QT125" s="21"/>
      <c r="QU125" s="21"/>
      <c r="QV125" s="21"/>
      <c r="QW125" s="21"/>
      <c r="QX125" s="21"/>
      <c r="QY125" s="21"/>
      <c r="QZ125" s="21"/>
      <c r="RA125" s="21"/>
      <c r="RB125" s="21"/>
      <c r="RC125" s="21"/>
      <c r="RD125" s="21"/>
      <c r="RE125" s="21"/>
      <c r="RF125" s="21"/>
      <c r="RG125" s="21"/>
      <c r="RH125" s="21"/>
      <c r="RI125" s="21"/>
      <c r="RJ125" s="21"/>
      <c r="RK125" s="21"/>
      <c r="RL125" s="21"/>
      <c r="RM125" s="21"/>
      <c r="RN125" s="21"/>
      <c r="RO125" s="21"/>
      <c r="RP125" s="21"/>
      <c r="RQ125" s="21"/>
      <c r="RR125" s="21"/>
      <c r="RS125" s="21"/>
      <c r="RT125" s="21"/>
      <c r="RU125" s="21"/>
      <c r="RV125" s="21"/>
      <c r="RW125" s="21"/>
      <c r="RX125" s="21"/>
      <c r="RY125" s="21"/>
      <c r="RZ125" s="21"/>
      <c r="SA125" s="21"/>
      <c r="SB125" s="21"/>
      <c r="SC125" s="21"/>
      <c r="SD125" s="21"/>
      <c r="SE125" s="21"/>
      <c r="SF125" s="21"/>
      <c r="SG125" s="21"/>
      <c r="SH125" s="21"/>
      <c r="SI125" s="21"/>
      <c r="SJ125" s="21"/>
      <c r="SK125" s="21"/>
      <c r="SL125" s="21"/>
      <c r="SM125" s="21"/>
      <c r="SN125" s="21"/>
      <c r="SO125" s="21"/>
      <c r="SP125" s="21"/>
      <c r="SQ125" s="21"/>
      <c r="SR125" s="21"/>
      <c r="SS125" s="21"/>
      <c r="ST125" s="21"/>
      <c r="SU125" s="21"/>
      <c r="SV125" s="21"/>
      <c r="SW125" s="21"/>
      <c r="SX125" s="21"/>
      <c r="SY125" s="21"/>
      <c r="SZ125" s="21"/>
      <c r="TA125" s="21"/>
      <c r="TB125" s="21"/>
      <c r="TC125" s="21"/>
      <c r="TD125" s="21"/>
      <c r="TE125" s="21"/>
      <c r="TF125" s="21"/>
      <c r="TG125" s="21"/>
      <c r="TH125" s="21"/>
      <c r="TI125" s="21"/>
      <c r="TJ125" s="21"/>
      <c r="TK125" s="21"/>
      <c r="TL125" s="21"/>
      <c r="TM125" s="21"/>
      <c r="TN125" s="21"/>
      <c r="TO125" s="21"/>
      <c r="TP125" s="21"/>
      <c r="TQ125" s="21"/>
      <c r="TR125" s="21"/>
      <c r="TS125" s="21"/>
      <c r="TT125" s="21"/>
      <c r="TU125" s="21"/>
      <c r="TV125" s="21"/>
      <c r="TW125" s="21"/>
      <c r="TX125" s="21"/>
      <c r="TY125" s="21"/>
      <c r="TZ125" s="21"/>
      <c r="UA125" s="21"/>
      <c r="UB125" s="21"/>
      <c r="UC125" s="21"/>
      <c r="UD125" s="21"/>
      <c r="UE125" s="21"/>
      <c r="UF125" s="21"/>
      <c r="UG125" s="21"/>
      <c r="UH125" s="21"/>
      <c r="UI125" s="21"/>
      <c r="UJ125" s="21"/>
      <c r="UK125" s="21"/>
      <c r="UL125" s="21"/>
      <c r="UM125" s="21"/>
      <c r="UN125" s="21"/>
      <c r="UO125" s="21"/>
      <c r="UP125" s="21"/>
      <c r="UQ125" s="21"/>
      <c r="UR125" s="21"/>
      <c r="US125" s="21"/>
      <c r="UT125" s="21"/>
      <c r="UU125" s="21"/>
      <c r="UV125" s="21"/>
      <c r="UW125" s="21"/>
      <c r="UX125" s="21"/>
      <c r="UY125" s="21"/>
      <c r="UZ125" s="21"/>
      <c r="VA125" s="21"/>
      <c r="VB125" s="21"/>
      <c r="VC125" s="21"/>
      <c r="VD125" s="21"/>
      <c r="VE125" s="21"/>
      <c r="VF125" s="21"/>
      <c r="VG125" s="21"/>
      <c r="VH125" s="21"/>
      <c r="VI125" s="21"/>
      <c r="VJ125" s="21"/>
      <c r="VK125" s="21"/>
      <c r="VL125" s="21"/>
      <c r="VM125" s="21"/>
      <c r="VN125" s="21"/>
      <c r="VO125" s="21"/>
      <c r="VP125" s="21"/>
      <c r="VQ125" s="21"/>
      <c r="VR125" s="21"/>
      <c r="VS125" s="21"/>
      <c r="VT125" s="21"/>
      <c r="VU125" s="21"/>
      <c r="VV125" s="21"/>
      <c r="VW125" s="21"/>
      <c r="VX125" s="21"/>
      <c r="VY125" s="21"/>
      <c r="VZ125" s="21"/>
      <c r="WA125" s="21"/>
      <c r="WB125" s="21"/>
      <c r="WC125" s="21"/>
      <c r="WD125" s="21"/>
      <c r="WE125" s="21"/>
      <c r="WF125" s="21"/>
      <c r="WG125" s="21"/>
      <c r="WH125" s="21"/>
      <c r="WI125" s="21"/>
      <c r="WJ125" s="21"/>
      <c r="WK125" s="21"/>
      <c r="WL125" s="21"/>
      <c r="WM125" s="21"/>
      <c r="WN125" s="21"/>
      <c r="WO125" s="21"/>
      <c r="WP125" s="21"/>
      <c r="WQ125" s="21"/>
      <c r="WR125" s="21"/>
      <c r="WS125" s="21"/>
      <c r="WT125" s="21"/>
      <c r="WU125" s="21"/>
      <c r="WV125" s="21"/>
      <c r="WW125" s="21"/>
      <c r="WX125" s="21"/>
      <c r="WY125" s="21"/>
      <c r="WZ125" s="21"/>
      <c r="XA125" s="21"/>
      <c r="XB125" s="21"/>
      <c r="XC125" s="21"/>
      <c r="XD125" s="21"/>
      <c r="XE125" s="21"/>
      <c r="XF125" s="21"/>
      <c r="XG125" s="21"/>
      <c r="XH125" s="21"/>
      <c r="XI125" s="21"/>
      <c r="XJ125" s="21"/>
      <c r="XK125" s="21"/>
      <c r="XL125" s="21"/>
      <c r="XM125" s="21"/>
      <c r="XN125" s="21"/>
      <c r="XO125" s="21"/>
      <c r="XP125" s="21"/>
      <c r="XQ125" s="21"/>
      <c r="XR125" s="21"/>
      <c r="XS125" s="21"/>
      <c r="XT125" s="21"/>
      <c r="XU125" s="21"/>
      <c r="XV125" s="21"/>
      <c r="XW125" s="21"/>
      <c r="XX125" s="21"/>
      <c r="XY125" s="21"/>
      <c r="XZ125" s="21"/>
      <c r="YA125" s="21"/>
      <c r="YB125" s="21"/>
      <c r="YC125" s="21"/>
      <c r="YD125" s="21"/>
      <c r="YE125" s="21"/>
      <c r="YF125" s="21"/>
      <c r="YG125" s="21"/>
      <c r="YH125" s="21"/>
      <c r="YI125" s="21"/>
      <c r="YJ125" s="21"/>
      <c r="YK125" s="21"/>
      <c r="YL125" s="21"/>
      <c r="YM125" s="21"/>
      <c r="YN125" s="21"/>
      <c r="YO125" s="21"/>
      <c r="YP125" s="21"/>
      <c r="YQ125" s="21"/>
      <c r="YR125" s="21"/>
      <c r="YS125" s="21"/>
      <c r="YT125" s="21"/>
      <c r="YU125" s="21"/>
      <c r="YV125" s="21"/>
      <c r="YW125" s="21"/>
      <c r="YX125" s="21"/>
      <c r="YY125" s="21"/>
      <c r="YZ125" s="21"/>
      <c r="ZA125" s="21"/>
      <c r="ZB125" s="21"/>
      <c r="ZC125" s="21"/>
      <c r="ZD125" s="21"/>
      <c r="ZE125" s="21"/>
      <c r="ZF125" s="21"/>
      <c r="ZG125" s="21"/>
      <c r="ZH125" s="21"/>
      <c r="ZI125" s="21"/>
      <c r="ZJ125" s="21"/>
      <c r="ZK125" s="21"/>
      <c r="ZL125" s="21"/>
      <c r="ZM125" s="21"/>
      <c r="ZN125" s="21"/>
      <c r="ZO125" s="21"/>
      <c r="ZP125" s="21"/>
      <c r="ZQ125" s="21"/>
      <c r="ZR125" s="21"/>
      <c r="ZS125" s="21"/>
      <c r="ZT125" s="21"/>
      <c r="ZU125" s="21"/>
      <c r="ZV125" s="21"/>
      <c r="ZW125" s="21"/>
      <c r="ZX125" s="21"/>
      <c r="ZY125" s="21"/>
      <c r="ZZ125" s="21"/>
      <c r="AAA125" s="21"/>
      <c r="AAB125" s="21"/>
      <c r="AAC125" s="21"/>
      <c r="AAD125" s="21"/>
      <c r="AAE125" s="21"/>
      <c r="AAF125" s="21"/>
      <c r="AAG125" s="21"/>
      <c r="AAH125" s="21"/>
      <c r="AAI125" s="21"/>
      <c r="AAJ125" s="21"/>
      <c r="AAK125" s="21"/>
      <c r="AAL125" s="21"/>
      <c r="AAM125" s="21"/>
      <c r="AAN125" s="21"/>
      <c r="AAO125" s="21"/>
      <c r="AAP125" s="21"/>
      <c r="AAQ125" s="21"/>
      <c r="AAR125" s="21"/>
      <c r="AAS125" s="21"/>
      <c r="AAT125" s="21"/>
      <c r="AAU125" s="21"/>
      <c r="AAV125" s="21"/>
      <c r="AAW125" s="21"/>
      <c r="AAX125" s="21"/>
      <c r="AAY125" s="21"/>
      <c r="AAZ125" s="21"/>
      <c r="ABA125" s="21"/>
      <c r="ABB125" s="21"/>
      <c r="ABC125" s="21"/>
      <c r="ABD125" s="21"/>
      <c r="ABE125" s="21"/>
      <c r="ABF125" s="21"/>
      <c r="ABG125" s="21"/>
      <c r="ABH125" s="21"/>
      <c r="ABI125" s="21"/>
      <c r="ABJ125" s="21"/>
      <c r="ABK125" s="21"/>
      <c r="ABL125" s="21"/>
      <c r="ABM125" s="21"/>
      <c r="ABN125" s="21"/>
      <c r="ABO125" s="21"/>
      <c r="ABP125" s="21"/>
      <c r="ABQ125" s="21"/>
      <c r="ABR125" s="21"/>
      <c r="ABS125" s="21"/>
      <c r="ABT125" s="21"/>
      <c r="ABU125" s="21"/>
      <c r="ABV125" s="21"/>
      <c r="ABW125" s="21"/>
      <c r="ABX125" s="21"/>
      <c r="ABY125" s="21"/>
      <c r="ABZ125" s="21"/>
      <c r="ACA125" s="21"/>
      <c r="ACB125" s="21"/>
      <c r="ACC125" s="21"/>
      <c r="ACD125" s="21"/>
      <c r="ACE125" s="21"/>
      <c r="ACF125" s="21"/>
      <c r="ACG125" s="21"/>
      <c r="ACH125" s="21"/>
      <c r="ACI125" s="21"/>
      <c r="ACJ125" s="21"/>
      <c r="ACK125" s="21"/>
      <c r="ACL125" s="21"/>
      <c r="ACM125" s="21"/>
      <c r="ACN125" s="21"/>
      <c r="ACO125" s="21"/>
      <c r="ACP125" s="21"/>
      <c r="ACQ125" s="21"/>
      <c r="ACR125" s="21"/>
      <c r="ACS125" s="21"/>
      <c r="ACT125" s="21"/>
      <c r="ACU125" s="21"/>
      <c r="ACV125" s="21"/>
      <c r="ACW125" s="21"/>
      <c r="ACX125" s="21"/>
      <c r="ACY125" s="21"/>
      <c r="ACZ125" s="21"/>
      <c r="ADA125" s="21"/>
      <c r="ADB125" s="21"/>
      <c r="ADC125" s="21"/>
      <c r="ADD125" s="21"/>
      <c r="ADE125" s="21"/>
      <c r="ADF125" s="21"/>
      <c r="ADG125" s="21"/>
      <c r="ADH125" s="21"/>
      <c r="ADI125" s="21"/>
      <c r="ADJ125" s="21"/>
      <c r="ADK125" s="21"/>
      <c r="ADL125" s="21"/>
      <c r="ADM125" s="21"/>
      <c r="ADN125" s="21"/>
      <c r="ADO125" s="21"/>
      <c r="ADP125" s="21"/>
      <c r="ADQ125" s="21"/>
      <c r="ADR125" s="21"/>
      <c r="ADS125" s="21"/>
      <c r="ADT125" s="21"/>
      <c r="ADU125" s="21"/>
      <c r="ADV125" s="21"/>
      <c r="ADW125" s="21"/>
      <c r="ADX125" s="21"/>
      <c r="ADY125" s="21"/>
      <c r="ADZ125" s="21"/>
      <c r="AEA125" s="21"/>
      <c r="AEB125" s="21"/>
      <c r="AEC125" s="21"/>
      <c r="AED125" s="21"/>
      <c r="AEE125" s="21"/>
      <c r="AEF125" s="21"/>
      <c r="AEG125" s="21"/>
      <c r="AEH125" s="21"/>
      <c r="AEI125" s="21"/>
      <c r="AEJ125" s="21"/>
      <c r="AEK125" s="21"/>
      <c r="AEL125" s="21"/>
      <c r="AEM125" s="21"/>
      <c r="AEN125" s="21"/>
      <c r="AEO125" s="21"/>
      <c r="AEP125" s="21"/>
      <c r="AEQ125" s="21"/>
      <c r="AER125" s="21"/>
      <c r="AES125" s="21"/>
      <c r="AET125" s="21"/>
      <c r="AEU125" s="21"/>
      <c r="AEV125" s="21"/>
      <c r="AEW125" s="21"/>
      <c r="AEX125" s="21"/>
      <c r="AEY125" s="21"/>
      <c r="AEZ125" s="21"/>
      <c r="AFA125" s="21"/>
      <c r="AFB125" s="21"/>
      <c r="AFC125" s="21"/>
      <c r="AFD125" s="21"/>
      <c r="AFE125" s="21"/>
      <c r="AFF125" s="21"/>
      <c r="AFG125" s="21"/>
      <c r="AFH125" s="21"/>
      <c r="AFI125" s="21"/>
      <c r="AFJ125" s="21"/>
      <c r="AFK125" s="21"/>
      <c r="AFL125" s="21"/>
      <c r="AFM125" s="21"/>
      <c r="AFN125" s="21"/>
      <c r="AFO125" s="21"/>
      <c r="AFP125" s="21"/>
      <c r="AFQ125" s="21"/>
      <c r="AFR125" s="21"/>
      <c r="AFS125" s="21"/>
      <c r="AFT125" s="21"/>
      <c r="AFU125" s="21"/>
      <c r="AFV125" s="21"/>
      <c r="AFW125" s="21"/>
      <c r="AFX125" s="21"/>
      <c r="AFY125" s="21"/>
      <c r="AFZ125" s="21"/>
      <c r="AGA125" s="21"/>
      <c r="AGB125" s="21"/>
      <c r="AGC125" s="21"/>
      <c r="AGD125" s="21"/>
      <c r="AGE125" s="21"/>
      <c r="AGF125" s="21"/>
      <c r="AGG125" s="21"/>
      <c r="AGH125" s="21"/>
      <c r="AGI125" s="21"/>
      <c r="AGJ125" s="21"/>
      <c r="AGK125" s="21"/>
      <c r="AGL125" s="21"/>
      <c r="AGM125" s="21"/>
      <c r="AGN125" s="21"/>
      <c r="AGO125" s="21"/>
      <c r="AGP125" s="21"/>
      <c r="AGQ125" s="21"/>
      <c r="AGR125" s="21"/>
      <c r="AGS125" s="21"/>
    </row>
    <row r="126" spans="1:877" ht="13">
      <c r="A126" s="12"/>
      <c r="B126" s="70" t="s">
        <v>72</v>
      </c>
      <c r="C126" s="82">
        <v>0</v>
      </c>
      <c r="D126" s="85"/>
      <c r="E126" s="61"/>
      <c r="F126" s="27"/>
      <c r="G126" s="27">
        <f t="shared" ref="G126:CL126" si="54">IF(AND(MONTH(G$4)=MONTH($D126),YEAR(G$4)=YEAR($D126)),$C126,0)</f>
        <v>0</v>
      </c>
      <c r="H126" s="27">
        <f t="shared" si="54"/>
        <v>0</v>
      </c>
      <c r="I126" s="27">
        <f t="shared" si="54"/>
        <v>0</v>
      </c>
      <c r="J126" s="27">
        <f t="shared" si="54"/>
        <v>0</v>
      </c>
      <c r="K126" s="27">
        <f t="shared" si="54"/>
        <v>0</v>
      </c>
      <c r="L126" s="27">
        <f t="shared" si="54"/>
        <v>0</v>
      </c>
      <c r="M126" s="27">
        <f t="shared" si="54"/>
        <v>0</v>
      </c>
      <c r="N126" s="27">
        <f t="shared" si="54"/>
        <v>0</v>
      </c>
      <c r="O126" s="27">
        <f t="shared" si="54"/>
        <v>0</v>
      </c>
      <c r="P126" s="27">
        <f t="shared" si="54"/>
        <v>0</v>
      </c>
      <c r="Q126" s="27">
        <f t="shared" si="54"/>
        <v>0</v>
      </c>
      <c r="R126" s="27">
        <f t="shared" si="54"/>
        <v>0</v>
      </c>
      <c r="S126" s="27">
        <f t="shared" si="54"/>
        <v>0</v>
      </c>
      <c r="T126" s="27">
        <f t="shared" si="54"/>
        <v>0</v>
      </c>
      <c r="U126" s="27">
        <f t="shared" si="54"/>
        <v>0</v>
      </c>
      <c r="V126" s="27">
        <f t="shared" si="54"/>
        <v>0</v>
      </c>
      <c r="W126" s="27">
        <f t="shared" si="54"/>
        <v>0</v>
      </c>
      <c r="X126" s="27">
        <f t="shared" si="54"/>
        <v>0</v>
      </c>
      <c r="Y126" s="27">
        <f t="shared" si="54"/>
        <v>0</v>
      </c>
      <c r="Z126" s="27">
        <f t="shared" si="54"/>
        <v>0</v>
      </c>
      <c r="AA126" s="27">
        <f t="shared" si="54"/>
        <v>0</v>
      </c>
      <c r="AB126" s="27">
        <f t="shared" si="54"/>
        <v>0</v>
      </c>
      <c r="AC126" s="27">
        <f t="shared" si="54"/>
        <v>0</v>
      </c>
      <c r="AD126" s="27">
        <f t="shared" si="54"/>
        <v>0</v>
      </c>
      <c r="AE126" s="27">
        <f t="shared" si="54"/>
        <v>0</v>
      </c>
      <c r="AF126" s="27">
        <f t="shared" si="54"/>
        <v>0</v>
      </c>
      <c r="AG126" s="27">
        <f t="shared" si="54"/>
        <v>0</v>
      </c>
      <c r="AH126" s="27">
        <f t="shared" si="54"/>
        <v>0</v>
      </c>
      <c r="AI126" s="27">
        <f t="shared" si="54"/>
        <v>0</v>
      </c>
      <c r="AJ126" s="27">
        <f t="shared" si="54"/>
        <v>0</v>
      </c>
      <c r="AK126" s="27">
        <f t="shared" si="54"/>
        <v>0</v>
      </c>
      <c r="AL126" s="27">
        <f t="shared" si="54"/>
        <v>0</v>
      </c>
      <c r="AM126" s="27">
        <f t="shared" si="54"/>
        <v>0</v>
      </c>
      <c r="AN126" s="27">
        <f t="shared" si="54"/>
        <v>0</v>
      </c>
      <c r="AO126" s="27">
        <f t="shared" si="54"/>
        <v>0</v>
      </c>
      <c r="AP126" s="27">
        <f t="shared" si="54"/>
        <v>0</v>
      </c>
      <c r="AQ126" s="27">
        <f t="shared" si="54"/>
        <v>0</v>
      </c>
      <c r="AR126" s="27">
        <f t="shared" si="54"/>
        <v>0</v>
      </c>
      <c r="AS126" s="27">
        <f t="shared" si="54"/>
        <v>0</v>
      </c>
      <c r="AT126" s="27">
        <f t="shared" si="54"/>
        <v>0</v>
      </c>
      <c r="AU126" s="27">
        <f t="shared" si="54"/>
        <v>0</v>
      </c>
      <c r="AV126" s="27">
        <f t="shared" si="54"/>
        <v>0</v>
      </c>
      <c r="AW126" s="27">
        <f t="shared" si="54"/>
        <v>0</v>
      </c>
      <c r="AX126" s="27">
        <f t="shared" si="54"/>
        <v>0</v>
      </c>
      <c r="AY126" s="27">
        <f t="shared" si="54"/>
        <v>0</v>
      </c>
      <c r="AZ126" s="27">
        <f t="shared" si="54"/>
        <v>0</v>
      </c>
      <c r="BA126" s="27">
        <f t="shared" si="54"/>
        <v>0</v>
      </c>
      <c r="BB126" s="27">
        <f t="shared" si="54"/>
        <v>0</v>
      </c>
      <c r="BC126" s="27">
        <f t="shared" si="54"/>
        <v>0</v>
      </c>
      <c r="BD126" s="27">
        <f t="shared" si="54"/>
        <v>0</v>
      </c>
      <c r="BE126" s="27">
        <f t="shared" si="54"/>
        <v>0</v>
      </c>
      <c r="BF126" s="27">
        <f t="shared" si="54"/>
        <v>0</v>
      </c>
      <c r="BG126" s="27">
        <f t="shared" si="54"/>
        <v>0</v>
      </c>
      <c r="BH126" s="27">
        <f t="shared" si="54"/>
        <v>0</v>
      </c>
      <c r="BI126" s="27">
        <f t="shared" si="54"/>
        <v>0</v>
      </c>
      <c r="BJ126" s="27">
        <f t="shared" si="54"/>
        <v>0</v>
      </c>
      <c r="BK126" s="27">
        <f t="shared" si="54"/>
        <v>0</v>
      </c>
      <c r="BL126" s="27">
        <f t="shared" si="54"/>
        <v>0</v>
      </c>
      <c r="BM126" s="27">
        <f t="shared" si="54"/>
        <v>0</v>
      </c>
      <c r="BN126" s="27">
        <f t="shared" si="54"/>
        <v>0</v>
      </c>
      <c r="BO126" s="27">
        <f t="shared" si="54"/>
        <v>0</v>
      </c>
      <c r="BP126" s="27">
        <f t="shared" si="54"/>
        <v>0</v>
      </c>
      <c r="BQ126" s="27">
        <f t="shared" si="54"/>
        <v>0</v>
      </c>
      <c r="BR126" s="27">
        <f t="shared" si="54"/>
        <v>0</v>
      </c>
      <c r="BS126" s="27">
        <f t="shared" si="54"/>
        <v>0</v>
      </c>
      <c r="BT126" s="27">
        <f t="shared" si="54"/>
        <v>0</v>
      </c>
      <c r="BU126" s="27">
        <f t="shared" si="54"/>
        <v>0</v>
      </c>
      <c r="BV126" s="27">
        <f t="shared" si="54"/>
        <v>0</v>
      </c>
      <c r="BW126" s="27">
        <f t="shared" si="54"/>
        <v>0</v>
      </c>
      <c r="BX126" s="27">
        <f t="shared" si="54"/>
        <v>0</v>
      </c>
      <c r="BY126" s="27">
        <f t="shared" si="54"/>
        <v>0</v>
      </c>
      <c r="BZ126" s="27">
        <f t="shared" si="54"/>
        <v>0</v>
      </c>
      <c r="CA126" s="27">
        <f t="shared" si="54"/>
        <v>0</v>
      </c>
      <c r="CB126" s="27">
        <f t="shared" si="54"/>
        <v>0</v>
      </c>
      <c r="CC126" s="27">
        <f t="shared" si="54"/>
        <v>0</v>
      </c>
      <c r="CD126" s="27">
        <f t="shared" si="54"/>
        <v>0</v>
      </c>
      <c r="CE126" s="27">
        <f t="shared" si="54"/>
        <v>0</v>
      </c>
      <c r="CF126" s="27">
        <f t="shared" si="54"/>
        <v>0</v>
      </c>
      <c r="CG126" s="27">
        <f t="shared" si="54"/>
        <v>0</v>
      </c>
      <c r="CH126" s="27">
        <f t="shared" si="54"/>
        <v>0</v>
      </c>
      <c r="CI126" s="27">
        <f t="shared" si="54"/>
        <v>0</v>
      </c>
      <c r="CJ126" s="27">
        <f t="shared" si="54"/>
        <v>0</v>
      </c>
      <c r="CK126" s="27">
        <f t="shared" si="54"/>
        <v>0</v>
      </c>
      <c r="CL126" s="27">
        <f t="shared" si="54"/>
        <v>0</v>
      </c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K126" s="21"/>
      <c r="JL126" s="21"/>
      <c r="JM126" s="21"/>
      <c r="JN126" s="21"/>
      <c r="JO126" s="21"/>
      <c r="JP126" s="21"/>
      <c r="JQ126" s="21"/>
      <c r="JR126" s="21"/>
      <c r="JS126" s="21"/>
      <c r="JT126" s="21"/>
      <c r="JU126" s="21"/>
      <c r="JV126" s="21"/>
      <c r="JW126" s="21"/>
      <c r="JX126" s="21"/>
      <c r="JY126" s="21"/>
      <c r="JZ126" s="21"/>
      <c r="KA126" s="21"/>
      <c r="KB126" s="21"/>
      <c r="KC126" s="21"/>
      <c r="KD126" s="21"/>
      <c r="KE126" s="21"/>
      <c r="KF126" s="21"/>
      <c r="KG126" s="21"/>
      <c r="KH126" s="21"/>
      <c r="KI126" s="21"/>
      <c r="KJ126" s="21"/>
      <c r="KK126" s="21"/>
      <c r="KL126" s="21"/>
      <c r="KM126" s="21"/>
      <c r="KN126" s="21"/>
      <c r="KO126" s="21"/>
      <c r="KP126" s="21"/>
      <c r="KQ126" s="21"/>
      <c r="KR126" s="21"/>
      <c r="KS126" s="21"/>
      <c r="KT126" s="21"/>
      <c r="KU126" s="21"/>
      <c r="KV126" s="21"/>
      <c r="KW126" s="21"/>
      <c r="KX126" s="21"/>
      <c r="KY126" s="21"/>
      <c r="KZ126" s="21"/>
      <c r="LA126" s="21"/>
      <c r="LB126" s="21"/>
      <c r="LC126" s="21"/>
      <c r="LD126" s="21"/>
      <c r="LE126" s="21"/>
      <c r="LF126" s="21"/>
      <c r="LG126" s="21"/>
      <c r="LH126" s="21"/>
      <c r="LI126" s="21"/>
      <c r="LJ126" s="21"/>
      <c r="LK126" s="21"/>
      <c r="LL126" s="21"/>
      <c r="LM126" s="21"/>
      <c r="LN126" s="21"/>
      <c r="LO126" s="21"/>
      <c r="LP126" s="21"/>
      <c r="LQ126" s="21"/>
      <c r="LR126" s="21"/>
      <c r="LS126" s="21"/>
      <c r="LT126" s="21"/>
      <c r="LU126" s="21"/>
      <c r="LV126" s="21"/>
      <c r="LW126" s="21"/>
      <c r="LX126" s="21"/>
      <c r="LY126" s="21"/>
      <c r="LZ126" s="21"/>
      <c r="MA126" s="21"/>
      <c r="MB126" s="21"/>
      <c r="MC126" s="21"/>
      <c r="MD126" s="21"/>
      <c r="ME126" s="21"/>
      <c r="MF126" s="21"/>
      <c r="MG126" s="21"/>
      <c r="MH126" s="21"/>
      <c r="MI126" s="21"/>
      <c r="MJ126" s="21"/>
      <c r="MK126" s="21"/>
      <c r="ML126" s="21"/>
      <c r="MM126" s="21"/>
      <c r="MN126" s="21"/>
      <c r="MO126" s="21"/>
      <c r="MP126" s="21"/>
      <c r="MQ126" s="21"/>
      <c r="MR126" s="21"/>
      <c r="MS126" s="21"/>
      <c r="MT126" s="21"/>
      <c r="MU126" s="21"/>
      <c r="MV126" s="21"/>
      <c r="MW126" s="21"/>
      <c r="MX126" s="21"/>
      <c r="MY126" s="21"/>
      <c r="MZ126" s="21"/>
      <c r="NA126" s="21"/>
      <c r="NB126" s="21"/>
      <c r="NC126" s="21"/>
      <c r="ND126" s="21"/>
      <c r="NE126" s="21"/>
      <c r="NF126" s="21"/>
      <c r="NG126" s="21"/>
      <c r="NH126" s="21"/>
      <c r="NI126" s="21"/>
      <c r="NJ126" s="21"/>
      <c r="NK126" s="21"/>
      <c r="NL126" s="21"/>
      <c r="NM126" s="21"/>
      <c r="NN126" s="21"/>
      <c r="NO126" s="21"/>
      <c r="NP126" s="21"/>
      <c r="NQ126" s="21"/>
      <c r="NR126" s="21"/>
      <c r="NS126" s="21"/>
      <c r="NT126" s="21"/>
      <c r="NU126" s="21"/>
      <c r="NV126" s="21"/>
      <c r="NW126" s="21"/>
      <c r="NX126" s="21"/>
      <c r="NY126" s="21"/>
      <c r="NZ126" s="21"/>
      <c r="OA126" s="21"/>
      <c r="OB126" s="21"/>
      <c r="OC126" s="21"/>
      <c r="OD126" s="21"/>
      <c r="OE126" s="21"/>
      <c r="OF126" s="21"/>
      <c r="OG126" s="21"/>
      <c r="OH126" s="21"/>
      <c r="OI126" s="21"/>
      <c r="OJ126" s="21"/>
      <c r="OK126" s="21"/>
      <c r="OL126" s="21"/>
      <c r="OM126" s="21"/>
      <c r="ON126" s="21"/>
      <c r="OO126" s="21"/>
      <c r="OP126" s="21"/>
      <c r="OQ126" s="21"/>
      <c r="OR126" s="21"/>
      <c r="OS126" s="21"/>
      <c r="OT126" s="21"/>
      <c r="OU126" s="21"/>
      <c r="OV126" s="21"/>
      <c r="OW126" s="21"/>
      <c r="OX126" s="21"/>
      <c r="OY126" s="21"/>
      <c r="OZ126" s="21"/>
      <c r="PA126" s="21"/>
      <c r="PB126" s="21"/>
      <c r="PC126" s="21"/>
      <c r="PD126" s="21"/>
      <c r="PE126" s="21"/>
      <c r="PF126" s="21"/>
      <c r="PG126" s="21"/>
      <c r="PH126" s="21"/>
      <c r="PI126" s="21"/>
      <c r="PJ126" s="21"/>
      <c r="PK126" s="21"/>
      <c r="PL126" s="21"/>
      <c r="PM126" s="21"/>
      <c r="PN126" s="21"/>
      <c r="PO126" s="21"/>
      <c r="PP126" s="21"/>
      <c r="PQ126" s="21"/>
      <c r="PR126" s="21"/>
      <c r="PS126" s="21"/>
      <c r="PT126" s="21"/>
      <c r="PU126" s="21"/>
      <c r="PV126" s="21"/>
      <c r="PW126" s="21"/>
      <c r="PX126" s="21"/>
      <c r="PY126" s="21"/>
      <c r="PZ126" s="21"/>
      <c r="QA126" s="21"/>
      <c r="QB126" s="21"/>
      <c r="QC126" s="21"/>
      <c r="QD126" s="21"/>
      <c r="QE126" s="21"/>
      <c r="QF126" s="21"/>
      <c r="QG126" s="21"/>
      <c r="QH126" s="21"/>
      <c r="QI126" s="21"/>
      <c r="QJ126" s="21"/>
      <c r="QK126" s="21"/>
      <c r="QL126" s="21"/>
      <c r="QM126" s="21"/>
      <c r="QN126" s="21"/>
      <c r="QO126" s="21"/>
      <c r="QP126" s="21"/>
      <c r="QQ126" s="21"/>
      <c r="QR126" s="21"/>
      <c r="QS126" s="21"/>
      <c r="QT126" s="21"/>
      <c r="QU126" s="21"/>
      <c r="QV126" s="21"/>
      <c r="QW126" s="21"/>
      <c r="QX126" s="21"/>
      <c r="QY126" s="21"/>
      <c r="QZ126" s="21"/>
      <c r="RA126" s="21"/>
      <c r="RB126" s="21"/>
      <c r="RC126" s="21"/>
      <c r="RD126" s="21"/>
      <c r="RE126" s="21"/>
      <c r="RF126" s="21"/>
      <c r="RG126" s="21"/>
      <c r="RH126" s="21"/>
      <c r="RI126" s="21"/>
      <c r="RJ126" s="21"/>
      <c r="RK126" s="21"/>
      <c r="RL126" s="21"/>
      <c r="RM126" s="21"/>
      <c r="RN126" s="21"/>
      <c r="RO126" s="21"/>
      <c r="RP126" s="21"/>
      <c r="RQ126" s="21"/>
      <c r="RR126" s="21"/>
      <c r="RS126" s="21"/>
      <c r="RT126" s="21"/>
      <c r="RU126" s="21"/>
      <c r="RV126" s="21"/>
      <c r="RW126" s="21"/>
      <c r="RX126" s="21"/>
      <c r="RY126" s="21"/>
      <c r="RZ126" s="21"/>
      <c r="SA126" s="21"/>
      <c r="SB126" s="21"/>
      <c r="SC126" s="21"/>
      <c r="SD126" s="21"/>
      <c r="SE126" s="21"/>
      <c r="SF126" s="21"/>
      <c r="SG126" s="21"/>
      <c r="SH126" s="21"/>
      <c r="SI126" s="21"/>
      <c r="SJ126" s="21"/>
      <c r="SK126" s="21"/>
      <c r="SL126" s="21"/>
      <c r="SM126" s="21"/>
      <c r="SN126" s="21"/>
      <c r="SO126" s="21"/>
      <c r="SP126" s="21"/>
      <c r="SQ126" s="21"/>
      <c r="SR126" s="21"/>
      <c r="SS126" s="21"/>
      <c r="ST126" s="21"/>
      <c r="SU126" s="21"/>
      <c r="SV126" s="21"/>
      <c r="SW126" s="21"/>
      <c r="SX126" s="21"/>
      <c r="SY126" s="21"/>
      <c r="SZ126" s="21"/>
      <c r="TA126" s="21"/>
      <c r="TB126" s="21"/>
      <c r="TC126" s="21"/>
      <c r="TD126" s="21"/>
      <c r="TE126" s="21"/>
      <c r="TF126" s="21"/>
      <c r="TG126" s="21"/>
      <c r="TH126" s="21"/>
      <c r="TI126" s="21"/>
      <c r="TJ126" s="21"/>
      <c r="TK126" s="21"/>
      <c r="TL126" s="21"/>
      <c r="TM126" s="21"/>
      <c r="TN126" s="21"/>
      <c r="TO126" s="21"/>
      <c r="TP126" s="21"/>
      <c r="TQ126" s="21"/>
      <c r="TR126" s="21"/>
      <c r="TS126" s="21"/>
      <c r="TT126" s="21"/>
      <c r="TU126" s="21"/>
      <c r="TV126" s="21"/>
      <c r="TW126" s="21"/>
      <c r="TX126" s="21"/>
      <c r="TY126" s="21"/>
      <c r="TZ126" s="21"/>
      <c r="UA126" s="21"/>
      <c r="UB126" s="21"/>
      <c r="UC126" s="21"/>
      <c r="UD126" s="21"/>
      <c r="UE126" s="21"/>
      <c r="UF126" s="21"/>
      <c r="UG126" s="21"/>
      <c r="UH126" s="21"/>
      <c r="UI126" s="21"/>
      <c r="UJ126" s="21"/>
      <c r="UK126" s="21"/>
      <c r="UL126" s="21"/>
      <c r="UM126" s="21"/>
      <c r="UN126" s="21"/>
      <c r="UO126" s="21"/>
      <c r="UP126" s="21"/>
      <c r="UQ126" s="21"/>
      <c r="UR126" s="21"/>
      <c r="US126" s="21"/>
      <c r="UT126" s="21"/>
      <c r="UU126" s="21"/>
      <c r="UV126" s="21"/>
      <c r="UW126" s="21"/>
      <c r="UX126" s="21"/>
      <c r="UY126" s="21"/>
      <c r="UZ126" s="21"/>
      <c r="VA126" s="21"/>
      <c r="VB126" s="21"/>
      <c r="VC126" s="21"/>
      <c r="VD126" s="21"/>
      <c r="VE126" s="21"/>
      <c r="VF126" s="21"/>
      <c r="VG126" s="21"/>
      <c r="VH126" s="21"/>
      <c r="VI126" s="21"/>
      <c r="VJ126" s="21"/>
      <c r="VK126" s="21"/>
      <c r="VL126" s="21"/>
      <c r="VM126" s="21"/>
      <c r="VN126" s="21"/>
      <c r="VO126" s="21"/>
      <c r="VP126" s="21"/>
      <c r="VQ126" s="21"/>
      <c r="VR126" s="21"/>
      <c r="VS126" s="21"/>
      <c r="VT126" s="21"/>
      <c r="VU126" s="21"/>
      <c r="VV126" s="21"/>
      <c r="VW126" s="21"/>
      <c r="VX126" s="21"/>
      <c r="VY126" s="21"/>
      <c r="VZ126" s="21"/>
      <c r="WA126" s="21"/>
      <c r="WB126" s="21"/>
      <c r="WC126" s="21"/>
      <c r="WD126" s="21"/>
      <c r="WE126" s="21"/>
      <c r="WF126" s="21"/>
      <c r="WG126" s="21"/>
      <c r="WH126" s="21"/>
      <c r="WI126" s="21"/>
      <c r="WJ126" s="21"/>
      <c r="WK126" s="21"/>
      <c r="WL126" s="21"/>
      <c r="WM126" s="21"/>
      <c r="WN126" s="21"/>
      <c r="WO126" s="21"/>
      <c r="WP126" s="21"/>
      <c r="WQ126" s="21"/>
      <c r="WR126" s="21"/>
      <c r="WS126" s="21"/>
      <c r="WT126" s="21"/>
      <c r="WU126" s="21"/>
      <c r="WV126" s="21"/>
      <c r="WW126" s="21"/>
      <c r="WX126" s="21"/>
      <c r="WY126" s="21"/>
      <c r="WZ126" s="21"/>
      <c r="XA126" s="21"/>
      <c r="XB126" s="21"/>
      <c r="XC126" s="21"/>
      <c r="XD126" s="21"/>
      <c r="XE126" s="21"/>
      <c r="XF126" s="21"/>
      <c r="XG126" s="21"/>
      <c r="XH126" s="21"/>
      <c r="XI126" s="21"/>
      <c r="XJ126" s="21"/>
      <c r="XK126" s="21"/>
      <c r="XL126" s="21"/>
      <c r="XM126" s="21"/>
      <c r="XN126" s="21"/>
      <c r="XO126" s="21"/>
      <c r="XP126" s="21"/>
      <c r="XQ126" s="21"/>
      <c r="XR126" s="21"/>
      <c r="XS126" s="21"/>
      <c r="XT126" s="21"/>
      <c r="XU126" s="21"/>
      <c r="XV126" s="21"/>
      <c r="XW126" s="21"/>
      <c r="XX126" s="21"/>
      <c r="XY126" s="21"/>
      <c r="XZ126" s="21"/>
      <c r="YA126" s="21"/>
      <c r="YB126" s="21"/>
      <c r="YC126" s="21"/>
      <c r="YD126" s="21"/>
      <c r="YE126" s="21"/>
      <c r="YF126" s="21"/>
      <c r="YG126" s="21"/>
      <c r="YH126" s="21"/>
      <c r="YI126" s="21"/>
      <c r="YJ126" s="21"/>
      <c r="YK126" s="21"/>
      <c r="YL126" s="21"/>
      <c r="YM126" s="21"/>
      <c r="YN126" s="21"/>
      <c r="YO126" s="21"/>
      <c r="YP126" s="21"/>
      <c r="YQ126" s="21"/>
      <c r="YR126" s="21"/>
      <c r="YS126" s="21"/>
      <c r="YT126" s="21"/>
      <c r="YU126" s="21"/>
      <c r="YV126" s="21"/>
      <c r="YW126" s="21"/>
      <c r="YX126" s="21"/>
      <c r="YY126" s="21"/>
      <c r="YZ126" s="21"/>
      <c r="ZA126" s="21"/>
      <c r="ZB126" s="21"/>
      <c r="ZC126" s="21"/>
      <c r="ZD126" s="21"/>
      <c r="ZE126" s="21"/>
      <c r="ZF126" s="21"/>
      <c r="ZG126" s="21"/>
      <c r="ZH126" s="21"/>
      <c r="ZI126" s="21"/>
      <c r="ZJ126" s="21"/>
      <c r="ZK126" s="21"/>
      <c r="ZL126" s="21"/>
      <c r="ZM126" s="21"/>
      <c r="ZN126" s="21"/>
      <c r="ZO126" s="21"/>
      <c r="ZP126" s="21"/>
      <c r="ZQ126" s="21"/>
      <c r="ZR126" s="21"/>
      <c r="ZS126" s="21"/>
      <c r="ZT126" s="21"/>
      <c r="ZU126" s="21"/>
      <c r="ZV126" s="21"/>
      <c r="ZW126" s="21"/>
      <c r="ZX126" s="21"/>
      <c r="ZY126" s="21"/>
      <c r="ZZ126" s="21"/>
      <c r="AAA126" s="21"/>
      <c r="AAB126" s="21"/>
      <c r="AAC126" s="21"/>
      <c r="AAD126" s="21"/>
      <c r="AAE126" s="21"/>
      <c r="AAF126" s="21"/>
      <c r="AAG126" s="21"/>
      <c r="AAH126" s="21"/>
      <c r="AAI126" s="21"/>
      <c r="AAJ126" s="21"/>
      <c r="AAK126" s="21"/>
      <c r="AAL126" s="21"/>
      <c r="AAM126" s="21"/>
      <c r="AAN126" s="21"/>
      <c r="AAO126" s="21"/>
      <c r="AAP126" s="21"/>
      <c r="AAQ126" s="21"/>
      <c r="AAR126" s="21"/>
      <c r="AAS126" s="21"/>
      <c r="AAT126" s="21"/>
      <c r="AAU126" s="21"/>
      <c r="AAV126" s="21"/>
      <c r="AAW126" s="21"/>
      <c r="AAX126" s="21"/>
      <c r="AAY126" s="21"/>
      <c r="AAZ126" s="21"/>
      <c r="ABA126" s="21"/>
      <c r="ABB126" s="21"/>
      <c r="ABC126" s="21"/>
      <c r="ABD126" s="21"/>
      <c r="ABE126" s="21"/>
      <c r="ABF126" s="21"/>
      <c r="ABG126" s="21"/>
      <c r="ABH126" s="21"/>
      <c r="ABI126" s="21"/>
      <c r="ABJ126" s="21"/>
      <c r="ABK126" s="21"/>
      <c r="ABL126" s="21"/>
      <c r="ABM126" s="21"/>
      <c r="ABN126" s="21"/>
      <c r="ABO126" s="21"/>
      <c r="ABP126" s="21"/>
      <c r="ABQ126" s="21"/>
      <c r="ABR126" s="21"/>
      <c r="ABS126" s="21"/>
      <c r="ABT126" s="21"/>
      <c r="ABU126" s="21"/>
      <c r="ABV126" s="21"/>
      <c r="ABW126" s="21"/>
      <c r="ABX126" s="21"/>
      <c r="ABY126" s="21"/>
      <c r="ABZ126" s="21"/>
      <c r="ACA126" s="21"/>
      <c r="ACB126" s="21"/>
      <c r="ACC126" s="21"/>
      <c r="ACD126" s="21"/>
      <c r="ACE126" s="21"/>
      <c r="ACF126" s="21"/>
      <c r="ACG126" s="21"/>
      <c r="ACH126" s="21"/>
      <c r="ACI126" s="21"/>
      <c r="ACJ126" s="21"/>
      <c r="ACK126" s="21"/>
      <c r="ACL126" s="21"/>
      <c r="ACM126" s="21"/>
      <c r="ACN126" s="21"/>
      <c r="ACO126" s="21"/>
      <c r="ACP126" s="21"/>
      <c r="ACQ126" s="21"/>
      <c r="ACR126" s="21"/>
      <c r="ACS126" s="21"/>
      <c r="ACT126" s="21"/>
      <c r="ACU126" s="21"/>
      <c r="ACV126" s="21"/>
      <c r="ACW126" s="21"/>
      <c r="ACX126" s="21"/>
      <c r="ACY126" s="21"/>
      <c r="ACZ126" s="21"/>
      <c r="ADA126" s="21"/>
      <c r="ADB126" s="21"/>
      <c r="ADC126" s="21"/>
      <c r="ADD126" s="21"/>
      <c r="ADE126" s="21"/>
      <c r="ADF126" s="21"/>
      <c r="ADG126" s="21"/>
      <c r="ADH126" s="21"/>
      <c r="ADI126" s="21"/>
      <c r="ADJ126" s="21"/>
      <c r="ADK126" s="21"/>
      <c r="ADL126" s="21"/>
      <c r="ADM126" s="21"/>
      <c r="ADN126" s="21"/>
      <c r="ADO126" s="21"/>
      <c r="ADP126" s="21"/>
      <c r="ADQ126" s="21"/>
      <c r="ADR126" s="21"/>
      <c r="ADS126" s="21"/>
      <c r="ADT126" s="21"/>
      <c r="ADU126" s="21"/>
      <c r="ADV126" s="21"/>
      <c r="ADW126" s="21"/>
      <c r="ADX126" s="21"/>
      <c r="ADY126" s="21"/>
      <c r="ADZ126" s="21"/>
      <c r="AEA126" s="21"/>
      <c r="AEB126" s="21"/>
      <c r="AEC126" s="21"/>
      <c r="AED126" s="21"/>
      <c r="AEE126" s="21"/>
      <c r="AEF126" s="21"/>
      <c r="AEG126" s="21"/>
      <c r="AEH126" s="21"/>
      <c r="AEI126" s="21"/>
      <c r="AEJ126" s="21"/>
      <c r="AEK126" s="21"/>
      <c r="AEL126" s="21"/>
      <c r="AEM126" s="21"/>
      <c r="AEN126" s="21"/>
      <c r="AEO126" s="21"/>
      <c r="AEP126" s="21"/>
      <c r="AEQ126" s="21"/>
      <c r="AER126" s="21"/>
      <c r="AES126" s="21"/>
      <c r="AET126" s="21"/>
      <c r="AEU126" s="21"/>
      <c r="AEV126" s="21"/>
      <c r="AEW126" s="21"/>
      <c r="AEX126" s="21"/>
      <c r="AEY126" s="21"/>
      <c r="AEZ126" s="21"/>
      <c r="AFA126" s="21"/>
      <c r="AFB126" s="21"/>
      <c r="AFC126" s="21"/>
      <c r="AFD126" s="21"/>
      <c r="AFE126" s="21"/>
      <c r="AFF126" s="21"/>
      <c r="AFG126" s="21"/>
      <c r="AFH126" s="21"/>
      <c r="AFI126" s="21"/>
      <c r="AFJ126" s="21"/>
      <c r="AFK126" s="21"/>
      <c r="AFL126" s="21"/>
      <c r="AFM126" s="21"/>
      <c r="AFN126" s="21"/>
      <c r="AFO126" s="21"/>
      <c r="AFP126" s="21"/>
      <c r="AFQ126" s="21"/>
      <c r="AFR126" s="21"/>
      <c r="AFS126" s="21"/>
      <c r="AFT126" s="21"/>
      <c r="AFU126" s="21"/>
      <c r="AFV126" s="21"/>
      <c r="AFW126" s="21"/>
      <c r="AFX126" s="21"/>
      <c r="AFY126" s="21"/>
      <c r="AFZ126" s="21"/>
      <c r="AGA126" s="21"/>
      <c r="AGB126" s="21"/>
      <c r="AGC126" s="21"/>
      <c r="AGD126" s="21"/>
      <c r="AGE126" s="21"/>
      <c r="AGF126" s="21"/>
      <c r="AGG126" s="21"/>
      <c r="AGH126" s="21"/>
      <c r="AGI126" s="21"/>
      <c r="AGJ126" s="21"/>
      <c r="AGK126" s="21"/>
      <c r="AGL126" s="21"/>
      <c r="AGM126" s="21"/>
      <c r="AGN126" s="21"/>
      <c r="AGO126" s="21"/>
      <c r="AGP126" s="21"/>
      <c r="AGQ126" s="21"/>
      <c r="AGR126" s="21"/>
      <c r="AGS126" s="21"/>
    </row>
    <row r="127" spans="1:877" ht="13">
      <c r="A127" s="12"/>
      <c r="B127" s="86"/>
      <c r="C127" s="12"/>
      <c r="D127" s="12"/>
      <c r="E127" s="61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27">
        <f t="shared" ref="R127:CL127" si="55">IF(AND(MONTH(R$4)=MONTH($D127),YEAR(R$4)=YEAR($D127)),$C127,0)</f>
        <v>0</v>
      </c>
      <c r="S127" s="27">
        <f t="shared" si="55"/>
        <v>0</v>
      </c>
      <c r="T127" s="27">
        <f t="shared" si="55"/>
        <v>0</v>
      </c>
      <c r="U127" s="27">
        <f t="shared" si="55"/>
        <v>0</v>
      </c>
      <c r="V127" s="27">
        <f t="shared" si="55"/>
        <v>0</v>
      </c>
      <c r="W127" s="27">
        <f t="shared" si="55"/>
        <v>0</v>
      </c>
      <c r="X127" s="27">
        <f t="shared" si="55"/>
        <v>0</v>
      </c>
      <c r="Y127" s="27">
        <f t="shared" si="55"/>
        <v>0</v>
      </c>
      <c r="Z127" s="27">
        <f t="shared" si="55"/>
        <v>0</v>
      </c>
      <c r="AA127" s="27">
        <f t="shared" si="55"/>
        <v>0</v>
      </c>
      <c r="AB127" s="27">
        <f t="shared" si="55"/>
        <v>0</v>
      </c>
      <c r="AC127" s="27">
        <f t="shared" si="55"/>
        <v>0</v>
      </c>
      <c r="AD127" s="27">
        <f t="shared" si="55"/>
        <v>0</v>
      </c>
      <c r="AE127" s="27">
        <f t="shared" si="55"/>
        <v>0</v>
      </c>
      <c r="AF127" s="27">
        <f t="shared" si="55"/>
        <v>0</v>
      </c>
      <c r="AG127" s="27">
        <f t="shared" si="55"/>
        <v>0</v>
      </c>
      <c r="AH127" s="27">
        <f t="shared" si="55"/>
        <v>0</v>
      </c>
      <c r="AI127" s="27">
        <f t="shared" si="55"/>
        <v>0</v>
      </c>
      <c r="AJ127" s="27">
        <f t="shared" si="55"/>
        <v>0</v>
      </c>
      <c r="AK127" s="27">
        <f t="shared" si="55"/>
        <v>0</v>
      </c>
      <c r="AL127" s="27">
        <f t="shared" si="55"/>
        <v>0</v>
      </c>
      <c r="AM127" s="27">
        <f t="shared" si="55"/>
        <v>0</v>
      </c>
      <c r="AN127" s="27">
        <f t="shared" si="55"/>
        <v>0</v>
      </c>
      <c r="AO127" s="27">
        <f t="shared" si="55"/>
        <v>0</v>
      </c>
      <c r="AP127" s="27">
        <f t="shared" si="55"/>
        <v>0</v>
      </c>
      <c r="AQ127" s="27">
        <f t="shared" si="55"/>
        <v>0</v>
      </c>
      <c r="AR127" s="27">
        <f t="shared" si="55"/>
        <v>0</v>
      </c>
      <c r="AS127" s="27">
        <f t="shared" si="55"/>
        <v>0</v>
      </c>
      <c r="AT127" s="27">
        <f t="shared" si="55"/>
        <v>0</v>
      </c>
      <c r="AU127" s="27">
        <f t="shared" si="55"/>
        <v>0</v>
      </c>
      <c r="AV127" s="27">
        <f t="shared" si="55"/>
        <v>0</v>
      </c>
      <c r="AW127" s="27">
        <f t="shared" si="55"/>
        <v>0</v>
      </c>
      <c r="AX127" s="27">
        <f t="shared" si="55"/>
        <v>0</v>
      </c>
      <c r="AY127" s="27">
        <f t="shared" si="55"/>
        <v>0</v>
      </c>
      <c r="AZ127" s="27">
        <f t="shared" si="55"/>
        <v>0</v>
      </c>
      <c r="BA127" s="27">
        <f t="shared" si="55"/>
        <v>0</v>
      </c>
      <c r="BB127" s="27">
        <f t="shared" si="55"/>
        <v>0</v>
      </c>
      <c r="BC127" s="27">
        <f t="shared" si="55"/>
        <v>0</v>
      </c>
      <c r="BD127" s="27">
        <f t="shared" si="55"/>
        <v>0</v>
      </c>
      <c r="BE127" s="27">
        <f t="shared" si="55"/>
        <v>0</v>
      </c>
      <c r="BF127" s="27">
        <f t="shared" si="55"/>
        <v>0</v>
      </c>
      <c r="BG127" s="27">
        <f t="shared" si="55"/>
        <v>0</v>
      </c>
      <c r="BH127" s="27">
        <f t="shared" si="55"/>
        <v>0</v>
      </c>
      <c r="BI127" s="27">
        <f t="shared" si="55"/>
        <v>0</v>
      </c>
      <c r="BJ127" s="27">
        <f t="shared" si="55"/>
        <v>0</v>
      </c>
      <c r="BK127" s="27">
        <f t="shared" si="55"/>
        <v>0</v>
      </c>
      <c r="BL127" s="27">
        <f t="shared" si="55"/>
        <v>0</v>
      </c>
      <c r="BM127" s="27">
        <f t="shared" si="55"/>
        <v>0</v>
      </c>
      <c r="BN127" s="27">
        <f t="shared" si="55"/>
        <v>0</v>
      </c>
      <c r="BO127" s="27">
        <f t="shared" si="55"/>
        <v>0</v>
      </c>
      <c r="BP127" s="27">
        <f t="shared" si="55"/>
        <v>0</v>
      </c>
      <c r="BQ127" s="27">
        <f t="shared" si="55"/>
        <v>0</v>
      </c>
      <c r="BR127" s="27">
        <f t="shared" si="55"/>
        <v>0</v>
      </c>
      <c r="BS127" s="27">
        <f t="shared" si="55"/>
        <v>0</v>
      </c>
      <c r="BT127" s="27">
        <f t="shared" si="55"/>
        <v>0</v>
      </c>
      <c r="BU127" s="27">
        <f t="shared" si="55"/>
        <v>0</v>
      </c>
      <c r="BV127" s="27">
        <f t="shared" si="55"/>
        <v>0</v>
      </c>
      <c r="BW127" s="27">
        <f t="shared" si="55"/>
        <v>0</v>
      </c>
      <c r="BX127" s="27">
        <f t="shared" si="55"/>
        <v>0</v>
      </c>
      <c r="BY127" s="27">
        <f t="shared" si="55"/>
        <v>0</v>
      </c>
      <c r="BZ127" s="27">
        <f t="shared" si="55"/>
        <v>0</v>
      </c>
      <c r="CA127" s="27">
        <f t="shared" si="55"/>
        <v>0</v>
      </c>
      <c r="CB127" s="27">
        <f t="shared" si="55"/>
        <v>0</v>
      </c>
      <c r="CC127" s="27">
        <f t="shared" si="55"/>
        <v>0</v>
      </c>
      <c r="CD127" s="27">
        <f t="shared" si="55"/>
        <v>0</v>
      </c>
      <c r="CE127" s="27">
        <f t="shared" si="55"/>
        <v>0</v>
      </c>
      <c r="CF127" s="27">
        <f t="shared" si="55"/>
        <v>0</v>
      </c>
      <c r="CG127" s="27">
        <f t="shared" si="55"/>
        <v>0</v>
      </c>
      <c r="CH127" s="27">
        <f t="shared" si="55"/>
        <v>0</v>
      </c>
      <c r="CI127" s="27">
        <f t="shared" si="55"/>
        <v>0</v>
      </c>
      <c r="CJ127" s="27">
        <f t="shared" si="55"/>
        <v>0</v>
      </c>
      <c r="CK127" s="27">
        <f t="shared" si="55"/>
        <v>0</v>
      </c>
      <c r="CL127" s="27">
        <f t="shared" si="55"/>
        <v>0</v>
      </c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  <c r="JO127" s="21"/>
      <c r="JP127" s="21"/>
      <c r="JQ127" s="21"/>
      <c r="JR127" s="21"/>
      <c r="JS127" s="21"/>
      <c r="JT127" s="21"/>
      <c r="JU127" s="21"/>
      <c r="JV127" s="21"/>
      <c r="JW127" s="21"/>
      <c r="JX127" s="21"/>
      <c r="JY127" s="21"/>
      <c r="JZ127" s="21"/>
      <c r="KA127" s="21"/>
      <c r="KB127" s="21"/>
      <c r="KC127" s="21"/>
      <c r="KD127" s="21"/>
      <c r="KE127" s="21"/>
      <c r="KF127" s="21"/>
      <c r="KG127" s="21"/>
      <c r="KH127" s="21"/>
      <c r="KI127" s="21"/>
      <c r="KJ127" s="21"/>
      <c r="KK127" s="21"/>
      <c r="KL127" s="21"/>
      <c r="KM127" s="21"/>
      <c r="KN127" s="21"/>
      <c r="KO127" s="21"/>
      <c r="KP127" s="21"/>
      <c r="KQ127" s="21"/>
      <c r="KR127" s="21"/>
      <c r="KS127" s="21"/>
      <c r="KT127" s="21"/>
      <c r="KU127" s="21"/>
      <c r="KV127" s="21"/>
      <c r="KW127" s="21"/>
      <c r="KX127" s="21"/>
      <c r="KY127" s="21"/>
      <c r="KZ127" s="21"/>
      <c r="LA127" s="21"/>
      <c r="LB127" s="21"/>
      <c r="LC127" s="21"/>
      <c r="LD127" s="21"/>
      <c r="LE127" s="21"/>
      <c r="LF127" s="21"/>
      <c r="LG127" s="21"/>
      <c r="LH127" s="21"/>
      <c r="LI127" s="21"/>
      <c r="LJ127" s="21"/>
      <c r="LK127" s="21"/>
      <c r="LL127" s="21"/>
      <c r="LM127" s="21"/>
      <c r="LN127" s="21"/>
      <c r="LO127" s="21"/>
      <c r="LP127" s="21"/>
      <c r="LQ127" s="21"/>
      <c r="LR127" s="21"/>
      <c r="LS127" s="21"/>
      <c r="LT127" s="21"/>
      <c r="LU127" s="21"/>
      <c r="LV127" s="21"/>
      <c r="LW127" s="21"/>
      <c r="LX127" s="21"/>
      <c r="LY127" s="21"/>
      <c r="LZ127" s="21"/>
      <c r="MA127" s="21"/>
      <c r="MB127" s="21"/>
      <c r="MC127" s="21"/>
      <c r="MD127" s="21"/>
      <c r="ME127" s="21"/>
      <c r="MF127" s="21"/>
      <c r="MG127" s="21"/>
      <c r="MH127" s="21"/>
      <c r="MI127" s="21"/>
      <c r="MJ127" s="21"/>
      <c r="MK127" s="21"/>
      <c r="ML127" s="21"/>
      <c r="MM127" s="21"/>
      <c r="MN127" s="21"/>
      <c r="MO127" s="21"/>
      <c r="MP127" s="21"/>
      <c r="MQ127" s="21"/>
      <c r="MR127" s="21"/>
      <c r="MS127" s="21"/>
      <c r="MT127" s="21"/>
      <c r="MU127" s="21"/>
      <c r="MV127" s="21"/>
      <c r="MW127" s="21"/>
      <c r="MX127" s="21"/>
      <c r="MY127" s="21"/>
      <c r="MZ127" s="21"/>
      <c r="NA127" s="21"/>
      <c r="NB127" s="21"/>
      <c r="NC127" s="21"/>
      <c r="ND127" s="21"/>
      <c r="NE127" s="21"/>
      <c r="NF127" s="21"/>
      <c r="NG127" s="21"/>
      <c r="NH127" s="21"/>
      <c r="NI127" s="21"/>
      <c r="NJ127" s="21"/>
      <c r="NK127" s="21"/>
      <c r="NL127" s="21"/>
      <c r="NM127" s="21"/>
      <c r="NN127" s="21"/>
      <c r="NO127" s="21"/>
      <c r="NP127" s="21"/>
      <c r="NQ127" s="21"/>
      <c r="NR127" s="21"/>
      <c r="NS127" s="21"/>
      <c r="NT127" s="21"/>
      <c r="NU127" s="21"/>
      <c r="NV127" s="21"/>
      <c r="NW127" s="21"/>
      <c r="NX127" s="21"/>
      <c r="NY127" s="21"/>
      <c r="NZ127" s="21"/>
      <c r="OA127" s="21"/>
      <c r="OB127" s="21"/>
      <c r="OC127" s="21"/>
      <c r="OD127" s="21"/>
      <c r="OE127" s="21"/>
      <c r="OF127" s="21"/>
      <c r="OG127" s="21"/>
      <c r="OH127" s="21"/>
      <c r="OI127" s="21"/>
      <c r="OJ127" s="21"/>
      <c r="OK127" s="21"/>
      <c r="OL127" s="21"/>
      <c r="OM127" s="21"/>
      <c r="ON127" s="21"/>
      <c r="OO127" s="21"/>
      <c r="OP127" s="21"/>
      <c r="OQ127" s="21"/>
      <c r="OR127" s="21"/>
      <c r="OS127" s="21"/>
      <c r="OT127" s="21"/>
      <c r="OU127" s="21"/>
      <c r="OV127" s="21"/>
      <c r="OW127" s="21"/>
      <c r="OX127" s="21"/>
      <c r="OY127" s="21"/>
      <c r="OZ127" s="21"/>
      <c r="PA127" s="21"/>
      <c r="PB127" s="21"/>
      <c r="PC127" s="21"/>
      <c r="PD127" s="21"/>
      <c r="PE127" s="21"/>
      <c r="PF127" s="21"/>
      <c r="PG127" s="21"/>
      <c r="PH127" s="21"/>
      <c r="PI127" s="21"/>
      <c r="PJ127" s="21"/>
      <c r="PK127" s="21"/>
      <c r="PL127" s="21"/>
      <c r="PM127" s="21"/>
      <c r="PN127" s="21"/>
      <c r="PO127" s="21"/>
      <c r="PP127" s="21"/>
      <c r="PQ127" s="21"/>
      <c r="PR127" s="21"/>
      <c r="PS127" s="21"/>
      <c r="PT127" s="21"/>
      <c r="PU127" s="21"/>
      <c r="PV127" s="21"/>
      <c r="PW127" s="21"/>
      <c r="PX127" s="21"/>
      <c r="PY127" s="21"/>
      <c r="PZ127" s="21"/>
      <c r="QA127" s="21"/>
      <c r="QB127" s="21"/>
      <c r="QC127" s="21"/>
      <c r="QD127" s="21"/>
      <c r="QE127" s="21"/>
      <c r="QF127" s="21"/>
      <c r="QG127" s="21"/>
      <c r="QH127" s="21"/>
      <c r="QI127" s="21"/>
      <c r="QJ127" s="21"/>
      <c r="QK127" s="21"/>
      <c r="QL127" s="21"/>
      <c r="QM127" s="21"/>
      <c r="QN127" s="21"/>
      <c r="QO127" s="21"/>
      <c r="QP127" s="21"/>
      <c r="QQ127" s="21"/>
      <c r="QR127" s="21"/>
      <c r="QS127" s="21"/>
      <c r="QT127" s="21"/>
      <c r="QU127" s="21"/>
      <c r="QV127" s="21"/>
      <c r="QW127" s="21"/>
      <c r="QX127" s="21"/>
      <c r="QY127" s="21"/>
      <c r="QZ127" s="21"/>
      <c r="RA127" s="21"/>
      <c r="RB127" s="21"/>
      <c r="RC127" s="21"/>
      <c r="RD127" s="21"/>
      <c r="RE127" s="21"/>
      <c r="RF127" s="21"/>
      <c r="RG127" s="21"/>
      <c r="RH127" s="21"/>
      <c r="RI127" s="21"/>
      <c r="RJ127" s="21"/>
      <c r="RK127" s="21"/>
      <c r="RL127" s="21"/>
      <c r="RM127" s="21"/>
      <c r="RN127" s="21"/>
      <c r="RO127" s="21"/>
      <c r="RP127" s="21"/>
      <c r="RQ127" s="21"/>
      <c r="RR127" s="21"/>
      <c r="RS127" s="21"/>
      <c r="RT127" s="21"/>
      <c r="RU127" s="21"/>
      <c r="RV127" s="21"/>
      <c r="RW127" s="21"/>
      <c r="RX127" s="21"/>
      <c r="RY127" s="21"/>
      <c r="RZ127" s="21"/>
      <c r="SA127" s="21"/>
      <c r="SB127" s="21"/>
      <c r="SC127" s="21"/>
      <c r="SD127" s="21"/>
      <c r="SE127" s="21"/>
      <c r="SF127" s="21"/>
      <c r="SG127" s="21"/>
      <c r="SH127" s="21"/>
      <c r="SI127" s="21"/>
      <c r="SJ127" s="21"/>
      <c r="SK127" s="21"/>
      <c r="SL127" s="21"/>
      <c r="SM127" s="21"/>
      <c r="SN127" s="21"/>
      <c r="SO127" s="21"/>
      <c r="SP127" s="21"/>
      <c r="SQ127" s="21"/>
      <c r="SR127" s="21"/>
      <c r="SS127" s="21"/>
      <c r="ST127" s="21"/>
      <c r="SU127" s="21"/>
      <c r="SV127" s="21"/>
      <c r="SW127" s="21"/>
      <c r="SX127" s="21"/>
      <c r="SY127" s="21"/>
      <c r="SZ127" s="21"/>
      <c r="TA127" s="21"/>
      <c r="TB127" s="21"/>
      <c r="TC127" s="21"/>
      <c r="TD127" s="21"/>
      <c r="TE127" s="21"/>
      <c r="TF127" s="21"/>
      <c r="TG127" s="21"/>
      <c r="TH127" s="21"/>
      <c r="TI127" s="21"/>
      <c r="TJ127" s="21"/>
      <c r="TK127" s="21"/>
      <c r="TL127" s="21"/>
      <c r="TM127" s="21"/>
      <c r="TN127" s="21"/>
      <c r="TO127" s="21"/>
      <c r="TP127" s="21"/>
      <c r="TQ127" s="21"/>
      <c r="TR127" s="21"/>
      <c r="TS127" s="21"/>
      <c r="TT127" s="21"/>
      <c r="TU127" s="21"/>
      <c r="TV127" s="21"/>
      <c r="TW127" s="21"/>
      <c r="TX127" s="21"/>
      <c r="TY127" s="21"/>
      <c r="TZ127" s="21"/>
      <c r="UA127" s="21"/>
      <c r="UB127" s="21"/>
      <c r="UC127" s="21"/>
      <c r="UD127" s="21"/>
      <c r="UE127" s="21"/>
      <c r="UF127" s="21"/>
      <c r="UG127" s="21"/>
      <c r="UH127" s="21"/>
      <c r="UI127" s="21"/>
      <c r="UJ127" s="21"/>
      <c r="UK127" s="21"/>
      <c r="UL127" s="21"/>
      <c r="UM127" s="21"/>
      <c r="UN127" s="21"/>
      <c r="UO127" s="21"/>
      <c r="UP127" s="21"/>
      <c r="UQ127" s="21"/>
      <c r="UR127" s="21"/>
      <c r="US127" s="21"/>
      <c r="UT127" s="21"/>
      <c r="UU127" s="21"/>
      <c r="UV127" s="21"/>
      <c r="UW127" s="21"/>
      <c r="UX127" s="21"/>
      <c r="UY127" s="21"/>
      <c r="UZ127" s="21"/>
      <c r="VA127" s="21"/>
      <c r="VB127" s="21"/>
      <c r="VC127" s="21"/>
      <c r="VD127" s="21"/>
      <c r="VE127" s="21"/>
      <c r="VF127" s="21"/>
      <c r="VG127" s="21"/>
      <c r="VH127" s="21"/>
      <c r="VI127" s="21"/>
      <c r="VJ127" s="21"/>
      <c r="VK127" s="21"/>
      <c r="VL127" s="21"/>
      <c r="VM127" s="21"/>
      <c r="VN127" s="21"/>
      <c r="VO127" s="21"/>
      <c r="VP127" s="21"/>
      <c r="VQ127" s="21"/>
      <c r="VR127" s="21"/>
      <c r="VS127" s="21"/>
      <c r="VT127" s="21"/>
      <c r="VU127" s="21"/>
      <c r="VV127" s="21"/>
      <c r="VW127" s="21"/>
      <c r="VX127" s="21"/>
      <c r="VY127" s="21"/>
      <c r="VZ127" s="21"/>
      <c r="WA127" s="21"/>
      <c r="WB127" s="21"/>
      <c r="WC127" s="21"/>
      <c r="WD127" s="21"/>
      <c r="WE127" s="21"/>
      <c r="WF127" s="21"/>
      <c r="WG127" s="21"/>
      <c r="WH127" s="21"/>
      <c r="WI127" s="21"/>
      <c r="WJ127" s="21"/>
      <c r="WK127" s="21"/>
      <c r="WL127" s="21"/>
      <c r="WM127" s="21"/>
      <c r="WN127" s="21"/>
      <c r="WO127" s="21"/>
      <c r="WP127" s="21"/>
      <c r="WQ127" s="21"/>
      <c r="WR127" s="21"/>
      <c r="WS127" s="21"/>
      <c r="WT127" s="21"/>
      <c r="WU127" s="21"/>
      <c r="WV127" s="21"/>
      <c r="WW127" s="21"/>
      <c r="WX127" s="21"/>
      <c r="WY127" s="21"/>
      <c r="WZ127" s="21"/>
      <c r="XA127" s="21"/>
      <c r="XB127" s="21"/>
      <c r="XC127" s="21"/>
      <c r="XD127" s="21"/>
      <c r="XE127" s="21"/>
      <c r="XF127" s="21"/>
      <c r="XG127" s="21"/>
      <c r="XH127" s="21"/>
      <c r="XI127" s="21"/>
      <c r="XJ127" s="21"/>
      <c r="XK127" s="21"/>
      <c r="XL127" s="21"/>
      <c r="XM127" s="21"/>
      <c r="XN127" s="21"/>
      <c r="XO127" s="21"/>
      <c r="XP127" s="21"/>
      <c r="XQ127" s="21"/>
      <c r="XR127" s="21"/>
      <c r="XS127" s="21"/>
      <c r="XT127" s="21"/>
      <c r="XU127" s="21"/>
      <c r="XV127" s="21"/>
      <c r="XW127" s="21"/>
      <c r="XX127" s="21"/>
      <c r="XY127" s="21"/>
      <c r="XZ127" s="21"/>
      <c r="YA127" s="21"/>
      <c r="YB127" s="21"/>
      <c r="YC127" s="21"/>
      <c r="YD127" s="21"/>
      <c r="YE127" s="21"/>
      <c r="YF127" s="21"/>
      <c r="YG127" s="21"/>
      <c r="YH127" s="21"/>
      <c r="YI127" s="21"/>
      <c r="YJ127" s="21"/>
      <c r="YK127" s="21"/>
      <c r="YL127" s="21"/>
      <c r="YM127" s="21"/>
      <c r="YN127" s="21"/>
      <c r="YO127" s="21"/>
      <c r="YP127" s="21"/>
      <c r="YQ127" s="21"/>
      <c r="YR127" s="21"/>
      <c r="YS127" s="21"/>
      <c r="YT127" s="21"/>
      <c r="YU127" s="21"/>
      <c r="YV127" s="21"/>
      <c r="YW127" s="21"/>
      <c r="YX127" s="21"/>
      <c r="YY127" s="21"/>
      <c r="YZ127" s="21"/>
      <c r="ZA127" s="21"/>
      <c r="ZB127" s="21"/>
      <c r="ZC127" s="21"/>
      <c r="ZD127" s="21"/>
      <c r="ZE127" s="21"/>
      <c r="ZF127" s="21"/>
      <c r="ZG127" s="21"/>
      <c r="ZH127" s="21"/>
      <c r="ZI127" s="21"/>
      <c r="ZJ127" s="21"/>
      <c r="ZK127" s="21"/>
      <c r="ZL127" s="21"/>
      <c r="ZM127" s="21"/>
      <c r="ZN127" s="21"/>
      <c r="ZO127" s="21"/>
      <c r="ZP127" s="21"/>
      <c r="ZQ127" s="21"/>
      <c r="ZR127" s="21"/>
      <c r="ZS127" s="21"/>
      <c r="ZT127" s="21"/>
      <c r="ZU127" s="21"/>
      <c r="ZV127" s="21"/>
      <c r="ZW127" s="21"/>
      <c r="ZX127" s="21"/>
      <c r="ZY127" s="21"/>
      <c r="ZZ127" s="21"/>
      <c r="AAA127" s="21"/>
      <c r="AAB127" s="21"/>
      <c r="AAC127" s="21"/>
      <c r="AAD127" s="21"/>
      <c r="AAE127" s="21"/>
      <c r="AAF127" s="21"/>
      <c r="AAG127" s="21"/>
      <c r="AAH127" s="21"/>
      <c r="AAI127" s="21"/>
      <c r="AAJ127" s="21"/>
      <c r="AAK127" s="21"/>
      <c r="AAL127" s="21"/>
      <c r="AAM127" s="21"/>
      <c r="AAN127" s="21"/>
      <c r="AAO127" s="21"/>
      <c r="AAP127" s="21"/>
      <c r="AAQ127" s="21"/>
      <c r="AAR127" s="21"/>
      <c r="AAS127" s="21"/>
      <c r="AAT127" s="21"/>
      <c r="AAU127" s="21"/>
      <c r="AAV127" s="21"/>
      <c r="AAW127" s="21"/>
      <c r="AAX127" s="21"/>
      <c r="AAY127" s="21"/>
      <c r="AAZ127" s="21"/>
      <c r="ABA127" s="21"/>
      <c r="ABB127" s="21"/>
      <c r="ABC127" s="21"/>
      <c r="ABD127" s="21"/>
      <c r="ABE127" s="21"/>
      <c r="ABF127" s="21"/>
      <c r="ABG127" s="21"/>
      <c r="ABH127" s="21"/>
      <c r="ABI127" s="21"/>
      <c r="ABJ127" s="21"/>
      <c r="ABK127" s="21"/>
      <c r="ABL127" s="21"/>
      <c r="ABM127" s="21"/>
      <c r="ABN127" s="21"/>
      <c r="ABO127" s="21"/>
      <c r="ABP127" s="21"/>
      <c r="ABQ127" s="21"/>
      <c r="ABR127" s="21"/>
      <c r="ABS127" s="21"/>
      <c r="ABT127" s="21"/>
      <c r="ABU127" s="21"/>
      <c r="ABV127" s="21"/>
      <c r="ABW127" s="21"/>
      <c r="ABX127" s="21"/>
      <c r="ABY127" s="21"/>
      <c r="ABZ127" s="21"/>
      <c r="ACA127" s="21"/>
      <c r="ACB127" s="21"/>
      <c r="ACC127" s="21"/>
      <c r="ACD127" s="21"/>
      <c r="ACE127" s="21"/>
      <c r="ACF127" s="21"/>
      <c r="ACG127" s="21"/>
      <c r="ACH127" s="21"/>
      <c r="ACI127" s="21"/>
      <c r="ACJ127" s="21"/>
      <c r="ACK127" s="21"/>
      <c r="ACL127" s="21"/>
      <c r="ACM127" s="21"/>
      <c r="ACN127" s="21"/>
      <c r="ACO127" s="21"/>
      <c r="ACP127" s="21"/>
      <c r="ACQ127" s="21"/>
      <c r="ACR127" s="21"/>
      <c r="ACS127" s="21"/>
      <c r="ACT127" s="21"/>
      <c r="ACU127" s="21"/>
      <c r="ACV127" s="21"/>
      <c r="ACW127" s="21"/>
      <c r="ACX127" s="21"/>
      <c r="ACY127" s="21"/>
      <c r="ACZ127" s="21"/>
      <c r="ADA127" s="21"/>
      <c r="ADB127" s="21"/>
      <c r="ADC127" s="21"/>
      <c r="ADD127" s="21"/>
      <c r="ADE127" s="21"/>
      <c r="ADF127" s="21"/>
      <c r="ADG127" s="21"/>
      <c r="ADH127" s="21"/>
      <c r="ADI127" s="21"/>
      <c r="ADJ127" s="21"/>
      <c r="ADK127" s="21"/>
      <c r="ADL127" s="21"/>
      <c r="ADM127" s="21"/>
      <c r="ADN127" s="21"/>
      <c r="ADO127" s="21"/>
      <c r="ADP127" s="21"/>
      <c r="ADQ127" s="21"/>
      <c r="ADR127" s="21"/>
      <c r="ADS127" s="21"/>
      <c r="ADT127" s="21"/>
      <c r="ADU127" s="21"/>
      <c r="ADV127" s="21"/>
      <c r="ADW127" s="21"/>
      <c r="ADX127" s="21"/>
      <c r="ADY127" s="21"/>
      <c r="ADZ127" s="21"/>
      <c r="AEA127" s="21"/>
      <c r="AEB127" s="21"/>
      <c r="AEC127" s="21"/>
      <c r="AED127" s="21"/>
      <c r="AEE127" s="21"/>
      <c r="AEF127" s="21"/>
      <c r="AEG127" s="21"/>
      <c r="AEH127" s="21"/>
      <c r="AEI127" s="21"/>
      <c r="AEJ127" s="21"/>
      <c r="AEK127" s="21"/>
      <c r="AEL127" s="21"/>
      <c r="AEM127" s="21"/>
      <c r="AEN127" s="21"/>
      <c r="AEO127" s="21"/>
      <c r="AEP127" s="21"/>
      <c r="AEQ127" s="21"/>
      <c r="AER127" s="21"/>
      <c r="AES127" s="21"/>
      <c r="AET127" s="21"/>
      <c r="AEU127" s="21"/>
      <c r="AEV127" s="21"/>
      <c r="AEW127" s="21"/>
      <c r="AEX127" s="21"/>
      <c r="AEY127" s="21"/>
      <c r="AEZ127" s="21"/>
      <c r="AFA127" s="21"/>
      <c r="AFB127" s="21"/>
      <c r="AFC127" s="21"/>
      <c r="AFD127" s="21"/>
      <c r="AFE127" s="21"/>
      <c r="AFF127" s="21"/>
      <c r="AFG127" s="21"/>
      <c r="AFH127" s="21"/>
      <c r="AFI127" s="21"/>
      <c r="AFJ127" s="21"/>
      <c r="AFK127" s="21"/>
      <c r="AFL127" s="21"/>
      <c r="AFM127" s="21"/>
      <c r="AFN127" s="21"/>
      <c r="AFO127" s="21"/>
      <c r="AFP127" s="21"/>
      <c r="AFQ127" s="21"/>
      <c r="AFR127" s="21"/>
      <c r="AFS127" s="21"/>
      <c r="AFT127" s="21"/>
      <c r="AFU127" s="21"/>
      <c r="AFV127" s="21"/>
      <c r="AFW127" s="21"/>
      <c r="AFX127" s="21"/>
      <c r="AFY127" s="21"/>
      <c r="AFZ127" s="21"/>
      <c r="AGA127" s="21"/>
      <c r="AGB127" s="21"/>
      <c r="AGC127" s="21"/>
      <c r="AGD127" s="21"/>
      <c r="AGE127" s="21"/>
      <c r="AGF127" s="21"/>
      <c r="AGG127" s="21"/>
      <c r="AGH127" s="21"/>
      <c r="AGI127" s="21"/>
      <c r="AGJ127" s="21"/>
      <c r="AGK127" s="21"/>
      <c r="AGL127" s="21"/>
      <c r="AGM127" s="21"/>
      <c r="AGN127" s="21"/>
      <c r="AGO127" s="21"/>
      <c r="AGP127" s="21"/>
      <c r="AGQ127" s="21"/>
      <c r="AGR127" s="21"/>
      <c r="AGS127" s="21"/>
    </row>
    <row r="128" spans="1:877" ht="13">
      <c r="A128" s="12"/>
      <c r="B128" s="64" t="s">
        <v>67</v>
      </c>
      <c r="C128" s="12"/>
      <c r="D128" s="12"/>
      <c r="E128" s="61"/>
      <c r="F128" s="66"/>
      <c r="G128" s="66">
        <f>SUM(G123:G126)</f>
        <v>4500000</v>
      </c>
      <c r="H128" s="66">
        <f t="shared" ref="H128:CL128" si="56">G128+SUM(H123:H126)</f>
        <v>4500000</v>
      </c>
      <c r="I128" s="66">
        <f t="shared" si="56"/>
        <v>4500000</v>
      </c>
      <c r="J128" s="66">
        <f t="shared" si="56"/>
        <v>4500000</v>
      </c>
      <c r="K128" s="66">
        <f t="shared" si="56"/>
        <v>4500000</v>
      </c>
      <c r="L128" s="66">
        <f t="shared" si="56"/>
        <v>4500000</v>
      </c>
      <c r="M128" s="66">
        <f t="shared" si="56"/>
        <v>4500000</v>
      </c>
      <c r="N128" s="66">
        <f t="shared" si="56"/>
        <v>4500000</v>
      </c>
      <c r="O128" s="66">
        <f t="shared" si="56"/>
        <v>4500000</v>
      </c>
      <c r="P128" s="66">
        <f t="shared" si="56"/>
        <v>4500000</v>
      </c>
      <c r="Q128" s="66">
        <f t="shared" si="56"/>
        <v>4500000</v>
      </c>
      <c r="R128" s="66">
        <f t="shared" si="56"/>
        <v>4500000</v>
      </c>
      <c r="S128" s="66">
        <f t="shared" si="56"/>
        <v>16500000</v>
      </c>
      <c r="T128" s="66">
        <f t="shared" si="56"/>
        <v>16500000</v>
      </c>
      <c r="U128" s="66">
        <f t="shared" si="56"/>
        <v>16500000</v>
      </c>
      <c r="V128" s="66">
        <f t="shared" si="56"/>
        <v>16500000</v>
      </c>
      <c r="W128" s="66">
        <f t="shared" si="56"/>
        <v>16500000</v>
      </c>
      <c r="X128" s="66">
        <f t="shared" si="56"/>
        <v>16500000</v>
      </c>
      <c r="Y128" s="66">
        <f t="shared" si="56"/>
        <v>16500000</v>
      </c>
      <c r="Z128" s="66">
        <f t="shared" si="56"/>
        <v>16500000</v>
      </c>
      <c r="AA128" s="66">
        <f t="shared" si="56"/>
        <v>16500000</v>
      </c>
      <c r="AB128" s="66">
        <f t="shared" si="56"/>
        <v>16500000</v>
      </c>
      <c r="AC128" s="66">
        <f t="shared" si="56"/>
        <v>16500000</v>
      </c>
      <c r="AD128" s="66">
        <f t="shared" si="56"/>
        <v>16500000</v>
      </c>
      <c r="AE128" s="66">
        <f t="shared" si="56"/>
        <v>16500000</v>
      </c>
      <c r="AF128" s="66">
        <f t="shared" si="56"/>
        <v>16500000</v>
      </c>
      <c r="AG128" s="66">
        <f t="shared" si="56"/>
        <v>16500000</v>
      </c>
      <c r="AH128" s="66">
        <f t="shared" si="56"/>
        <v>16500000</v>
      </c>
      <c r="AI128" s="66">
        <f t="shared" si="56"/>
        <v>16500000</v>
      </c>
      <c r="AJ128" s="66">
        <f t="shared" si="56"/>
        <v>16500000</v>
      </c>
      <c r="AK128" s="66">
        <f t="shared" si="56"/>
        <v>16500000</v>
      </c>
      <c r="AL128" s="66">
        <f t="shared" si="56"/>
        <v>16500000</v>
      </c>
      <c r="AM128" s="66">
        <f t="shared" si="56"/>
        <v>16500000</v>
      </c>
      <c r="AN128" s="66">
        <f t="shared" si="56"/>
        <v>16500000</v>
      </c>
      <c r="AO128" s="66">
        <f t="shared" si="56"/>
        <v>16500000</v>
      </c>
      <c r="AP128" s="66">
        <f t="shared" si="56"/>
        <v>16500000</v>
      </c>
      <c r="AQ128" s="66">
        <f t="shared" si="56"/>
        <v>16500000</v>
      </c>
      <c r="AR128" s="66">
        <f t="shared" si="56"/>
        <v>16500000</v>
      </c>
      <c r="AS128" s="66">
        <f t="shared" si="56"/>
        <v>16500000</v>
      </c>
      <c r="AT128" s="66">
        <f t="shared" si="56"/>
        <v>16500000</v>
      </c>
      <c r="AU128" s="66">
        <f t="shared" si="56"/>
        <v>16500000</v>
      </c>
      <c r="AV128" s="66">
        <f t="shared" si="56"/>
        <v>16500000</v>
      </c>
      <c r="AW128" s="66">
        <f t="shared" si="56"/>
        <v>16500000</v>
      </c>
      <c r="AX128" s="66">
        <f t="shared" si="56"/>
        <v>16500000</v>
      </c>
      <c r="AY128" s="66">
        <f t="shared" si="56"/>
        <v>16500000</v>
      </c>
      <c r="AZ128" s="66">
        <f t="shared" si="56"/>
        <v>16500000</v>
      </c>
      <c r="BA128" s="66">
        <f t="shared" si="56"/>
        <v>16500000</v>
      </c>
      <c r="BB128" s="66">
        <f t="shared" si="56"/>
        <v>16500000</v>
      </c>
      <c r="BC128" s="66">
        <f t="shared" si="56"/>
        <v>16500000</v>
      </c>
      <c r="BD128" s="66">
        <f t="shared" si="56"/>
        <v>16500000</v>
      </c>
      <c r="BE128" s="66">
        <f t="shared" si="56"/>
        <v>16500000</v>
      </c>
      <c r="BF128" s="66">
        <f t="shared" si="56"/>
        <v>16500000</v>
      </c>
      <c r="BG128" s="66">
        <f t="shared" si="56"/>
        <v>16500000</v>
      </c>
      <c r="BH128" s="66">
        <f t="shared" si="56"/>
        <v>16500000</v>
      </c>
      <c r="BI128" s="66">
        <f t="shared" si="56"/>
        <v>16500000</v>
      </c>
      <c r="BJ128" s="66">
        <f t="shared" si="56"/>
        <v>16500000</v>
      </c>
      <c r="BK128" s="66">
        <f t="shared" si="56"/>
        <v>16500000</v>
      </c>
      <c r="BL128" s="66">
        <f t="shared" si="56"/>
        <v>16500000</v>
      </c>
      <c r="BM128" s="66">
        <f t="shared" si="56"/>
        <v>16500000</v>
      </c>
      <c r="BN128" s="66">
        <f t="shared" si="56"/>
        <v>16500000</v>
      </c>
      <c r="BO128" s="66">
        <f t="shared" si="56"/>
        <v>16500000</v>
      </c>
      <c r="BP128" s="66">
        <f t="shared" si="56"/>
        <v>16500000</v>
      </c>
      <c r="BQ128" s="66">
        <f t="shared" si="56"/>
        <v>16500000</v>
      </c>
      <c r="BR128" s="66">
        <f t="shared" si="56"/>
        <v>16500000</v>
      </c>
      <c r="BS128" s="66">
        <f t="shared" si="56"/>
        <v>16500000</v>
      </c>
      <c r="BT128" s="66">
        <f t="shared" si="56"/>
        <v>16500000</v>
      </c>
      <c r="BU128" s="66">
        <f t="shared" si="56"/>
        <v>16500000</v>
      </c>
      <c r="BV128" s="66">
        <f t="shared" si="56"/>
        <v>16500000</v>
      </c>
      <c r="BW128" s="66">
        <f t="shared" si="56"/>
        <v>16500000</v>
      </c>
      <c r="BX128" s="66">
        <f t="shared" si="56"/>
        <v>16500000</v>
      </c>
      <c r="BY128" s="66">
        <f t="shared" si="56"/>
        <v>16500000</v>
      </c>
      <c r="BZ128" s="66">
        <f t="shared" si="56"/>
        <v>16500000</v>
      </c>
      <c r="CA128" s="66">
        <f t="shared" si="56"/>
        <v>16500000</v>
      </c>
      <c r="CB128" s="66">
        <f t="shared" si="56"/>
        <v>16500000</v>
      </c>
      <c r="CC128" s="66">
        <f t="shared" si="56"/>
        <v>16500000</v>
      </c>
      <c r="CD128" s="66">
        <f t="shared" si="56"/>
        <v>16500000</v>
      </c>
      <c r="CE128" s="66">
        <f t="shared" si="56"/>
        <v>16500000</v>
      </c>
      <c r="CF128" s="66">
        <f t="shared" si="56"/>
        <v>16500000</v>
      </c>
      <c r="CG128" s="66">
        <f t="shared" si="56"/>
        <v>16500000</v>
      </c>
      <c r="CH128" s="66">
        <f t="shared" si="56"/>
        <v>16500000</v>
      </c>
      <c r="CI128" s="66">
        <f t="shared" si="56"/>
        <v>16500000</v>
      </c>
      <c r="CJ128" s="66">
        <f t="shared" si="56"/>
        <v>16500000</v>
      </c>
      <c r="CK128" s="66">
        <f t="shared" si="56"/>
        <v>16500000</v>
      </c>
      <c r="CL128" s="66">
        <f t="shared" si="56"/>
        <v>16500000</v>
      </c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  <c r="IY128" s="21"/>
      <c r="IZ128" s="21"/>
      <c r="JA128" s="21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  <c r="JO128" s="21"/>
      <c r="JP128" s="21"/>
      <c r="JQ128" s="21"/>
      <c r="JR128" s="21"/>
      <c r="JS128" s="21"/>
      <c r="JT128" s="21"/>
      <c r="JU128" s="21"/>
      <c r="JV128" s="21"/>
      <c r="JW128" s="21"/>
      <c r="JX128" s="21"/>
      <c r="JY128" s="21"/>
      <c r="JZ128" s="21"/>
      <c r="KA128" s="21"/>
      <c r="KB128" s="21"/>
      <c r="KC128" s="21"/>
      <c r="KD128" s="21"/>
      <c r="KE128" s="21"/>
      <c r="KF128" s="21"/>
      <c r="KG128" s="21"/>
      <c r="KH128" s="21"/>
      <c r="KI128" s="21"/>
      <c r="KJ128" s="21"/>
      <c r="KK128" s="21"/>
      <c r="KL128" s="21"/>
      <c r="KM128" s="21"/>
      <c r="KN128" s="21"/>
      <c r="KO128" s="21"/>
      <c r="KP128" s="21"/>
      <c r="KQ128" s="21"/>
      <c r="KR128" s="21"/>
      <c r="KS128" s="21"/>
      <c r="KT128" s="21"/>
      <c r="KU128" s="21"/>
      <c r="KV128" s="21"/>
      <c r="KW128" s="21"/>
      <c r="KX128" s="21"/>
      <c r="KY128" s="21"/>
      <c r="KZ128" s="21"/>
      <c r="LA128" s="21"/>
      <c r="LB128" s="21"/>
      <c r="LC128" s="21"/>
      <c r="LD128" s="21"/>
      <c r="LE128" s="21"/>
      <c r="LF128" s="21"/>
      <c r="LG128" s="21"/>
      <c r="LH128" s="21"/>
      <c r="LI128" s="21"/>
      <c r="LJ128" s="21"/>
      <c r="LK128" s="21"/>
      <c r="LL128" s="21"/>
      <c r="LM128" s="21"/>
      <c r="LN128" s="21"/>
      <c r="LO128" s="21"/>
      <c r="LP128" s="21"/>
      <c r="LQ128" s="21"/>
      <c r="LR128" s="21"/>
      <c r="LS128" s="21"/>
      <c r="LT128" s="21"/>
      <c r="LU128" s="21"/>
      <c r="LV128" s="21"/>
      <c r="LW128" s="21"/>
      <c r="LX128" s="21"/>
      <c r="LY128" s="21"/>
      <c r="LZ128" s="21"/>
      <c r="MA128" s="21"/>
      <c r="MB128" s="21"/>
      <c r="MC128" s="21"/>
      <c r="MD128" s="21"/>
      <c r="ME128" s="21"/>
      <c r="MF128" s="21"/>
      <c r="MG128" s="21"/>
      <c r="MH128" s="21"/>
      <c r="MI128" s="21"/>
      <c r="MJ128" s="21"/>
      <c r="MK128" s="21"/>
      <c r="ML128" s="21"/>
      <c r="MM128" s="21"/>
      <c r="MN128" s="21"/>
      <c r="MO128" s="21"/>
      <c r="MP128" s="21"/>
      <c r="MQ128" s="21"/>
      <c r="MR128" s="21"/>
      <c r="MS128" s="21"/>
      <c r="MT128" s="21"/>
      <c r="MU128" s="21"/>
      <c r="MV128" s="21"/>
      <c r="MW128" s="21"/>
      <c r="MX128" s="21"/>
      <c r="MY128" s="21"/>
      <c r="MZ128" s="21"/>
      <c r="NA128" s="21"/>
      <c r="NB128" s="21"/>
      <c r="NC128" s="21"/>
      <c r="ND128" s="21"/>
      <c r="NE128" s="21"/>
      <c r="NF128" s="21"/>
      <c r="NG128" s="21"/>
      <c r="NH128" s="21"/>
      <c r="NI128" s="21"/>
      <c r="NJ128" s="21"/>
      <c r="NK128" s="21"/>
      <c r="NL128" s="21"/>
      <c r="NM128" s="21"/>
      <c r="NN128" s="21"/>
      <c r="NO128" s="21"/>
      <c r="NP128" s="21"/>
      <c r="NQ128" s="21"/>
      <c r="NR128" s="21"/>
      <c r="NS128" s="21"/>
      <c r="NT128" s="21"/>
      <c r="NU128" s="21"/>
      <c r="NV128" s="21"/>
      <c r="NW128" s="21"/>
      <c r="NX128" s="21"/>
      <c r="NY128" s="21"/>
      <c r="NZ128" s="21"/>
      <c r="OA128" s="21"/>
      <c r="OB128" s="21"/>
      <c r="OC128" s="21"/>
      <c r="OD128" s="21"/>
      <c r="OE128" s="21"/>
      <c r="OF128" s="21"/>
      <c r="OG128" s="21"/>
      <c r="OH128" s="21"/>
      <c r="OI128" s="21"/>
      <c r="OJ128" s="21"/>
      <c r="OK128" s="21"/>
      <c r="OL128" s="21"/>
      <c r="OM128" s="21"/>
      <c r="ON128" s="21"/>
      <c r="OO128" s="21"/>
      <c r="OP128" s="21"/>
      <c r="OQ128" s="21"/>
      <c r="OR128" s="21"/>
      <c r="OS128" s="21"/>
      <c r="OT128" s="21"/>
      <c r="OU128" s="21"/>
      <c r="OV128" s="21"/>
      <c r="OW128" s="21"/>
      <c r="OX128" s="21"/>
      <c r="OY128" s="21"/>
      <c r="OZ128" s="21"/>
      <c r="PA128" s="21"/>
      <c r="PB128" s="21"/>
      <c r="PC128" s="21"/>
      <c r="PD128" s="21"/>
      <c r="PE128" s="21"/>
      <c r="PF128" s="21"/>
      <c r="PG128" s="21"/>
      <c r="PH128" s="21"/>
      <c r="PI128" s="21"/>
      <c r="PJ128" s="21"/>
      <c r="PK128" s="21"/>
      <c r="PL128" s="21"/>
      <c r="PM128" s="21"/>
      <c r="PN128" s="21"/>
      <c r="PO128" s="21"/>
      <c r="PP128" s="21"/>
      <c r="PQ128" s="21"/>
      <c r="PR128" s="21"/>
      <c r="PS128" s="21"/>
      <c r="PT128" s="21"/>
      <c r="PU128" s="21"/>
      <c r="PV128" s="21"/>
      <c r="PW128" s="21"/>
      <c r="PX128" s="21"/>
      <c r="PY128" s="21"/>
      <c r="PZ128" s="21"/>
      <c r="QA128" s="21"/>
      <c r="QB128" s="21"/>
      <c r="QC128" s="21"/>
      <c r="QD128" s="21"/>
      <c r="QE128" s="21"/>
      <c r="QF128" s="21"/>
      <c r="QG128" s="21"/>
      <c r="QH128" s="21"/>
      <c r="QI128" s="21"/>
      <c r="QJ128" s="21"/>
      <c r="QK128" s="21"/>
      <c r="QL128" s="21"/>
      <c r="QM128" s="21"/>
      <c r="QN128" s="21"/>
      <c r="QO128" s="21"/>
      <c r="QP128" s="21"/>
      <c r="QQ128" s="21"/>
      <c r="QR128" s="21"/>
      <c r="QS128" s="21"/>
      <c r="QT128" s="21"/>
      <c r="QU128" s="21"/>
      <c r="QV128" s="21"/>
      <c r="QW128" s="21"/>
      <c r="QX128" s="21"/>
      <c r="QY128" s="21"/>
      <c r="QZ128" s="21"/>
      <c r="RA128" s="21"/>
      <c r="RB128" s="21"/>
      <c r="RC128" s="21"/>
      <c r="RD128" s="21"/>
      <c r="RE128" s="21"/>
      <c r="RF128" s="21"/>
      <c r="RG128" s="21"/>
      <c r="RH128" s="21"/>
      <c r="RI128" s="21"/>
      <c r="RJ128" s="21"/>
      <c r="RK128" s="21"/>
      <c r="RL128" s="21"/>
      <c r="RM128" s="21"/>
      <c r="RN128" s="21"/>
      <c r="RO128" s="21"/>
      <c r="RP128" s="21"/>
      <c r="RQ128" s="21"/>
      <c r="RR128" s="21"/>
      <c r="RS128" s="21"/>
      <c r="RT128" s="21"/>
      <c r="RU128" s="21"/>
      <c r="RV128" s="21"/>
      <c r="RW128" s="21"/>
      <c r="RX128" s="21"/>
      <c r="RY128" s="21"/>
      <c r="RZ128" s="21"/>
      <c r="SA128" s="21"/>
      <c r="SB128" s="21"/>
      <c r="SC128" s="21"/>
      <c r="SD128" s="21"/>
      <c r="SE128" s="21"/>
      <c r="SF128" s="21"/>
      <c r="SG128" s="21"/>
      <c r="SH128" s="21"/>
      <c r="SI128" s="21"/>
      <c r="SJ128" s="21"/>
      <c r="SK128" s="21"/>
      <c r="SL128" s="21"/>
      <c r="SM128" s="21"/>
      <c r="SN128" s="21"/>
      <c r="SO128" s="21"/>
      <c r="SP128" s="21"/>
      <c r="SQ128" s="21"/>
      <c r="SR128" s="21"/>
      <c r="SS128" s="21"/>
      <c r="ST128" s="21"/>
      <c r="SU128" s="21"/>
      <c r="SV128" s="21"/>
      <c r="SW128" s="21"/>
      <c r="SX128" s="21"/>
      <c r="SY128" s="21"/>
      <c r="SZ128" s="21"/>
      <c r="TA128" s="21"/>
      <c r="TB128" s="21"/>
      <c r="TC128" s="21"/>
      <c r="TD128" s="21"/>
      <c r="TE128" s="21"/>
      <c r="TF128" s="21"/>
      <c r="TG128" s="21"/>
      <c r="TH128" s="21"/>
      <c r="TI128" s="21"/>
      <c r="TJ128" s="21"/>
      <c r="TK128" s="21"/>
      <c r="TL128" s="21"/>
      <c r="TM128" s="21"/>
      <c r="TN128" s="21"/>
      <c r="TO128" s="21"/>
      <c r="TP128" s="21"/>
      <c r="TQ128" s="21"/>
      <c r="TR128" s="21"/>
      <c r="TS128" s="21"/>
      <c r="TT128" s="21"/>
      <c r="TU128" s="21"/>
      <c r="TV128" s="21"/>
      <c r="TW128" s="21"/>
      <c r="TX128" s="21"/>
      <c r="TY128" s="21"/>
      <c r="TZ128" s="21"/>
      <c r="UA128" s="21"/>
      <c r="UB128" s="21"/>
      <c r="UC128" s="21"/>
      <c r="UD128" s="21"/>
      <c r="UE128" s="21"/>
      <c r="UF128" s="21"/>
      <c r="UG128" s="21"/>
      <c r="UH128" s="21"/>
      <c r="UI128" s="21"/>
      <c r="UJ128" s="21"/>
      <c r="UK128" s="21"/>
      <c r="UL128" s="21"/>
      <c r="UM128" s="21"/>
      <c r="UN128" s="21"/>
      <c r="UO128" s="21"/>
      <c r="UP128" s="21"/>
      <c r="UQ128" s="21"/>
      <c r="UR128" s="21"/>
      <c r="US128" s="21"/>
      <c r="UT128" s="21"/>
      <c r="UU128" s="21"/>
      <c r="UV128" s="21"/>
      <c r="UW128" s="21"/>
      <c r="UX128" s="21"/>
      <c r="UY128" s="21"/>
      <c r="UZ128" s="21"/>
      <c r="VA128" s="21"/>
      <c r="VB128" s="21"/>
      <c r="VC128" s="21"/>
      <c r="VD128" s="21"/>
      <c r="VE128" s="21"/>
      <c r="VF128" s="21"/>
      <c r="VG128" s="21"/>
      <c r="VH128" s="21"/>
      <c r="VI128" s="21"/>
      <c r="VJ128" s="21"/>
      <c r="VK128" s="21"/>
      <c r="VL128" s="21"/>
      <c r="VM128" s="21"/>
      <c r="VN128" s="21"/>
      <c r="VO128" s="21"/>
      <c r="VP128" s="21"/>
      <c r="VQ128" s="21"/>
      <c r="VR128" s="21"/>
      <c r="VS128" s="21"/>
      <c r="VT128" s="21"/>
      <c r="VU128" s="21"/>
      <c r="VV128" s="21"/>
      <c r="VW128" s="21"/>
      <c r="VX128" s="21"/>
      <c r="VY128" s="21"/>
      <c r="VZ128" s="21"/>
      <c r="WA128" s="21"/>
      <c r="WB128" s="21"/>
      <c r="WC128" s="21"/>
      <c r="WD128" s="21"/>
      <c r="WE128" s="21"/>
      <c r="WF128" s="21"/>
      <c r="WG128" s="21"/>
      <c r="WH128" s="21"/>
      <c r="WI128" s="21"/>
      <c r="WJ128" s="21"/>
      <c r="WK128" s="21"/>
      <c r="WL128" s="21"/>
      <c r="WM128" s="21"/>
      <c r="WN128" s="21"/>
      <c r="WO128" s="21"/>
      <c r="WP128" s="21"/>
      <c r="WQ128" s="21"/>
      <c r="WR128" s="21"/>
      <c r="WS128" s="21"/>
      <c r="WT128" s="21"/>
      <c r="WU128" s="21"/>
      <c r="WV128" s="21"/>
      <c r="WW128" s="21"/>
      <c r="WX128" s="21"/>
      <c r="WY128" s="21"/>
      <c r="WZ128" s="21"/>
      <c r="XA128" s="21"/>
      <c r="XB128" s="21"/>
      <c r="XC128" s="21"/>
      <c r="XD128" s="21"/>
      <c r="XE128" s="21"/>
      <c r="XF128" s="21"/>
      <c r="XG128" s="21"/>
      <c r="XH128" s="21"/>
      <c r="XI128" s="21"/>
      <c r="XJ128" s="21"/>
      <c r="XK128" s="21"/>
      <c r="XL128" s="21"/>
      <c r="XM128" s="21"/>
      <c r="XN128" s="21"/>
      <c r="XO128" s="21"/>
      <c r="XP128" s="21"/>
      <c r="XQ128" s="21"/>
      <c r="XR128" s="21"/>
      <c r="XS128" s="21"/>
      <c r="XT128" s="21"/>
      <c r="XU128" s="21"/>
      <c r="XV128" s="21"/>
      <c r="XW128" s="21"/>
      <c r="XX128" s="21"/>
      <c r="XY128" s="21"/>
      <c r="XZ128" s="21"/>
      <c r="YA128" s="21"/>
      <c r="YB128" s="21"/>
      <c r="YC128" s="21"/>
      <c r="YD128" s="21"/>
      <c r="YE128" s="21"/>
      <c r="YF128" s="21"/>
      <c r="YG128" s="21"/>
      <c r="YH128" s="21"/>
      <c r="YI128" s="21"/>
      <c r="YJ128" s="21"/>
      <c r="YK128" s="21"/>
      <c r="YL128" s="21"/>
      <c r="YM128" s="21"/>
      <c r="YN128" s="21"/>
      <c r="YO128" s="21"/>
      <c r="YP128" s="21"/>
      <c r="YQ128" s="21"/>
      <c r="YR128" s="21"/>
      <c r="YS128" s="21"/>
      <c r="YT128" s="21"/>
      <c r="YU128" s="21"/>
      <c r="YV128" s="21"/>
      <c r="YW128" s="21"/>
      <c r="YX128" s="21"/>
      <c r="YY128" s="21"/>
      <c r="YZ128" s="21"/>
      <c r="ZA128" s="21"/>
      <c r="ZB128" s="21"/>
      <c r="ZC128" s="21"/>
      <c r="ZD128" s="21"/>
      <c r="ZE128" s="21"/>
      <c r="ZF128" s="21"/>
      <c r="ZG128" s="21"/>
      <c r="ZH128" s="21"/>
      <c r="ZI128" s="21"/>
      <c r="ZJ128" s="21"/>
      <c r="ZK128" s="21"/>
      <c r="ZL128" s="21"/>
      <c r="ZM128" s="21"/>
      <c r="ZN128" s="21"/>
      <c r="ZO128" s="21"/>
      <c r="ZP128" s="21"/>
      <c r="ZQ128" s="21"/>
      <c r="ZR128" s="21"/>
      <c r="ZS128" s="21"/>
      <c r="ZT128" s="21"/>
      <c r="ZU128" s="21"/>
      <c r="ZV128" s="21"/>
      <c r="ZW128" s="21"/>
      <c r="ZX128" s="21"/>
      <c r="ZY128" s="21"/>
      <c r="ZZ128" s="21"/>
      <c r="AAA128" s="21"/>
      <c r="AAB128" s="21"/>
      <c r="AAC128" s="21"/>
      <c r="AAD128" s="21"/>
      <c r="AAE128" s="21"/>
      <c r="AAF128" s="21"/>
      <c r="AAG128" s="21"/>
      <c r="AAH128" s="21"/>
      <c r="AAI128" s="21"/>
      <c r="AAJ128" s="21"/>
      <c r="AAK128" s="21"/>
      <c r="AAL128" s="21"/>
      <c r="AAM128" s="21"/>
      <c r="AAN128" s="21"/>
      <c r="AAO128" s="21"/>
      <c r="AAP128" s="21"/>
      <c r="AAQ128" s="21"/>
      <c r="AAR128" s="21"/>
      <c r="AAS128" s="21"/>
      <c r="AAT128" s="21"/>
      <c r="AAU128" s="21"/>
      <c r="AAV128" s="21"/>
      <c r="AAW128" s="21"/>
      <c r="AAX128" s="21"/>
      <c r="AAY128" s="21"/>
      <c r="AAZ128" s="21"/>
      <c r="ABA128" s="21"/>
      <c r="ABB128" s="21"/>
      <c r="ABC128" s="21"/>
      <c r="ABD128" s="21"/>
      <c r="ABE128" s="21"/>
      <c r="ABF128" s="21"/>
      <c r="ABG128" s="21"/>
      <c r="ABH128" s="21"/>
      <c r="ABI128" s="21"/>
      <c r="ABJ128" s="21"/>
      <c r="ABK128" s="21"/>
      <c r="ABL128" s="21"/>
      <c r="ABM128" s="21"/>
      <c r="ABN128" s="21"/>
      <c r="ABO128" s="21"/>
      <c r="ABP128" s="21"/>
      <c r="ABQ128" s="21"/>
      <c r="ABR128" s="21"/>
      <c r="ABS128" s="21"/>
      <c r="ABT128" s="21"/>
      <c r="ABU128" s="21"/>
      <c r="ABV128" s="21"/>
      <c r="ABW128" s="21"/>
      <c r="ABX128" s="21"/>
      <c r="ABY128" s="21"/>
      <c r="ABZ128" s="21"/>
      <c r="ACA128" s="21"/>
      <c r="ACB128" s="21"/>
      <c r="ACC128" s="21"/>
      <c r="ACD128" s="21"/>
      <c r="ACE128" s="21"/>
      <c r="ACF128" s="21"/>
      <c r="ACG128" s="21"/>
      <c r="ACH128" s="21"/>
      <c r="ACI128" s="21"/>
      <c r="ACJ128" s="21"/>
      <c r="ACK128" s="21"/>
      <c r="ACL128" s="21"/>
      <c r="ACM128" s="21"/>
      <c r="ACN128" s="21"/>
      <c r="ACO128" s="21"/>
      <c r="ACP128" s="21"/>
      <c r="ACQ128" s="21"/>
      <c r="ACR128" s="21"/>
      <c r="ACS128" s="21"/>
      <c r="ACT128" s="21"/>
      <c r="ACU128" s="21"/>
      <c r="ACV128" s="21"/>
      <c r="ACW128" s="21"/>
      <c r="ACX128" s="21"/>
      <c r="ACY128" s="21"/>
      <c r="ACZ128" s="21"/>
      <c r="ADA128" s="21"/>
      <c r="ADB128" s="21"/>
      <c r="ADC128" s="21"/>
      <c r="ADD128" s="21"/>
      <c r="ADE128" s="21"/>
      <c r="ADF128" s="21"/>
      <c r="ADG128" s="21"/>
      <c r="ADH128" s="21"/>
      <c r="ADI128" s="21"/>
      <c r="ADJ128" s="21"/>
      <c r="ADK128" s="21"/>
      <c r="ADL128" s="21"/>
      <c r="ADM128" s="21"/>
      <c r="ADN128" s="21"/>
      <c r="ADO128" s="21"/>
      <c r="ADP128" s="21"/>
      <c r="ADQ128" s="21"/>
      <c r="ADR128" s="21"/>
      <c r="ADS128" s="21"/>
      <c r="ADT128" s="21"/>
      <c r="ADU128" s="21"/>
      <c r="ADV128" s="21"/>
      <c r="ADW128" s="21"/>
      <c r="ADX128" s="21"/>
      <c r="ADY128" s="21"/>
      <c r="ADZ128" s="21"/>
      <c r="AEA128" s="21"/>
      <c r="AEB128" s="21"/>
      <c r="AEC128" s="21"/>
      <c r="AED128" s="21"/>
      <c r="AEE128" s="21"/>
      <c r="AEF128" s="21"/>
      <c r="AEG128" s="21"/>
      <c r="AEH128" s="21"/>
      <c r="AEI128" s="21"/>
      <c r="AEJ128" s="21"/>
      <c r="AEK128" s="21"/>
      <c r="AEL128" s="21"/>
      <c r="AEM128" s="21"/>
      <c r="AEN128" s="21"/>
      <c r="AEO128" s="21"/>
      <c r="AEP128" s="21"/>
      <c r="AEQ128" s="21"/>
      <c r="AER128" s="21"/>
      <c r="AES128" s="21"/>
      <c r="AET128" s="21"/>
      <c r="AEU128" s="21"/>
      <c r="AEV128" s="21"/>
      <c r="AEW128" s="21"/>
      <c r="AEX128" s="21"/>
      <c r="AEY128" s="21"/>
      <c r="AEZ128" s="21"/>
      <c r="AFA128" s="21"/>
      <c r="AFB128" s="21"/>
      <c r="AFC128" s="21"/>
      <c r="AFD128" s="21"/>
      <c r="AFE128" s="21"/>
      <c r="AFF128" s="21"/>
      <c r="AFG128" s="21"/>
      <c r="AFH128" s="21"/>
      <c r="AFI128" s="21"/>
      <c r="AFJ128" s="21"/>
      <c r="AFK128" s="21"/>
      <c r="AFL128" s="21"/>
      <c r="AFM128" s="21"/>
      <c r="AFN128" s="21"/>
      <c r="AFO128" s="21"/>
      <c r="AFP128" s="21"/>
      <c r="AFQ128" s="21"/>
      <c r="AFR128" s="21"/>
      <c r="AFS128" s="21"/>
      <c r="AFT128" s="21"/>
      <c r="AFU128" s="21"/>
      <c r="AFV128" s="21"/>
      <c r="AFW128" s="21"/>
      <c r="AFX128" s="21"/>
      <c r="AFY128" s="21"/>
      <c r="AFZ128" s="21"/>
      <c r="AGA128" s="21"/>
      <c r="AGB128" s="21"/>
      <c r="AGC128" s="21"/>
      <c r="AGD128" s="21"/>
      <c r="AGE128" s="21"/>
      <c r="AGF128" s="21"/>
      <c r="AGG128" s="21"/>
      <c r="AGH128" s="21"/>
      <c r="AGI128" s="21"/>
      <c r="AGJ128" s="21"/>
      <c r="AGK128" s="21"/>
      <c r="AGL128" s="21"/>
      <c r="AGM128" s="21"/>
      <c r="AGN128" s="21"/>
      <c r="AGO128" s="21"/>
      <c r="AGP128" s="21"/>
      <c r="AGQ128" s="21"/>
      <c r="AGR128" s="21"/>
      <c r="AGS128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912"/>
  <sheetViews>
    <sheetView workbookViewId="0"/>
  </sheetViews>
  <sheetFormatPr baseColWidth="10" defaultColWidth="12.6640625" defaultRowHeight="15.75" customHeight="1"/>
  <cols>
    <col min="1" max="1" width="6" customWidth="1"/>
    <col min="2" max="2" width="16.1640625" customWidth="1"/>
    <col min="3" max="3" width="14.1640625" customWidth="1"/>
    <col min="4" max="4" width="13.5" customWidth="1"/>
    <col min="5" max="6" width="11.6640625" customWidth="1"/>
    <col min="7" max="7" width="9.6640625" customWidth="1"/>
    <col min="8" max="8" width="12.6640625" customWidth="1"/>
    <col min="9" max="9" width="12" customWidth="1"/>
    <col min="10" max="10" width="10.1640625" customWidth="1"/>
    <col min="11" max="11" width="9.6640625" customWidth="1"/>
    <col min="12" max="12" width="12.6640625" customWidth="1"/>
    <col min="13" max="13" width="13.1640625" customWidth="1"/>
    <col min="14" max="14" width="10.1640625" customWidth="1"/>
    <col min="15" max="15" width="9.6640625" customWidth="1"/>
    <col min="16" max="16" width="12.6640625" customWidth="1"/>
    <col min="17" max="17" width="14.6640625" customWidth="1"/>
    <col min="18" max="18" width="10.1640625" customWidth="1"/>
    <col min="19" max="19" width="9.6640625" customWidth="1"/>
    <col min="20" max="20" width="12.6640625" customWidth="1"/>
    <col min="21" max="21" width="18" customWidth="1"/>
    <col min="22" max="22" width="10.1640625" customWidth="1"/>
    <col min="23" max="23" width="9.6640625" customWidth="1"/>
    <col min="24" max="24" width="12.6640625" customWidth="1"/>
    <col min="25" max="25" width="17" customWidth="1"/>
    <col min="26" max="26" width="10.1640625" customWidth="1"/>
    <col min="27" max="27" width="9.6640625" customWidth="1"/>
    <col min="28" max="29" width="12.6640625" customWidth="1"/>
    <col min="30" max="30" width="11.6640625" customWidth="1"/>
    <col min="31" max="31" width="10.6640625" customWidth="1"/>
    <col min="32" max="32" width="13.1640625" customWidth="1"/>
  </cols>
  <sheetData>
    <row r="1" spans="1:32" ht="15.75" customHeight="1">
      <c r="A1" s="87"/>
      <c r="B1" s="276" t="s">
        <v>16</v>
      </c>
      <c r="C1" s="277"/>
      <c r="D1" s="278"/>
      <c r="E1" s="279" t="s">
        <v>20</v>
      </c>
      <c r="F1" s="277"/>
      <c r="G1" s="277"/>
      <c r="H1" s="278"/>
      <c r="I1" s="276" t="s">
        <v>28</v>
      </c>
      <c r="J1" s="277"/>
      <c r="K1" s="277"/>
      <c r="L1" s="278"/>
      <c r="M1" s="276" t="s">
        <v>29</v>
      </c>
      <c r="N1" s="277"/>
      <c r="O1" s="277"/>
      <c r="P1" s="278"/>
      <c r="Q1" s="276" t="s">
        <v>30</v>
      </c>
      <c r="R1" s="277"/>
      <c r="S1" s="277"/>
      <c r="T1" s="278"/>
      <c r="U1" s="276" t="s">
        <v>31</v>
      </c>
      <c r="V1" s="277"/>
      <c r="W1" s="277"/>
      <c r="X1" s="278"/>
      <c r="Y1" s="276" t="s">
        <v>32</v>
      </c>
      <c r="Z1" s="277"/>
      <c r="AA1" s="277"/>
      <c r="AB1" s="278"/>
      <c r="AC1" s="276" t="s">
        <v>33</v>
      </c>
      <c r="AD1" s="277"/>
      <c r="AE1" s="277"/>
      <c r="AF1" s="278"/>
    </row>
    <row r="2" spans="1:32" ht="15.75" customHeight="1">
      <c r="A2" s="87"/>
      <c r="B2" s="87"/>
      <c r="C2" s="87"/>
      <c r="D2" s="87"/>
      <c r="E2" s="88" t="s">
        <v>21</v>
      </c>
      <c r="F2" s="88">
        <f>'H2 Production Costs'!$D$9</f>
        <v>2.6198684210526317</v>
      </c>
      <c r="G2" s="89" t="s">
        <v>23</v>
      </c>
      <c r="H2" s="87">
        <v>25</v>
      </c>
      <c r="I2" s="88" t="s">
        <v>21</v>
      </c>
      <c r="J2" s="88">
        <f>'H2 Production Costs'!$D$9</f>
        <v>2.6198684210526317</v>
      </c>
      <c r="K2" s="89" t="s">
        <v>23</v>
      </c>
      <c r="L2" s="87">
        <v>25</v>
      </c>
      <c r="M2" s="88" t="s">
        <v>21</v>
      </c>
      <c r="N2" s="88">
        <f>'H2 Production Costs'!$D$9</f>
        <v>2.6198684210526317</v>
      </c>
      <c r="O2" s="89" t="s">
        <v>23</v>
      </c>
      <c r="P2" s="87">
        <v>25</v>
      </c>
      <c r="Q2" s="88" t="s">
        <v>21</v>
      </c>
      <c r="R2" s="88">
        <f>'H2 Production Costs'!$D$9</f>
        <v>2.6198684210526317</v>
      </c>
      <c r="S2" s="89" t="s">
        <v>23</v>
      </c>
      <c r="T2" s="87">
        <v>25</v>
      </c>
      <c r="U2" s="88" t="s">
        <v>21</v>
      </c>
      <c r="V2" s="88">
        <f>'H2 Production Costs'!$D$9</f>
        <v>2.6198684210526317</v>
      </c>
      <c r="W2" s="89" t="s">
        <v>23</v>
      </c>
      <c r="X2" s="87">
        <v>25</v>
      </c>
      <c r="Y2" s="88" t="s">
        <v>21</v>
      </c>
      <c r="Z2" s="88">
        <f>'H2 Production Costs'!$D$9</f>
        <v>2.6198684210526317</v>
      </c>
      <c r="AA2" s="89" t="s">
        <v>23</v>
      </c>
      <c r="AB2" s="87">
        <v>25</v>
      </c>
      <c r="AC2" s="88" t="s">
        <v>21</v>
      </c>
      <c r="AD2" s="88">
        <f>'H2 Production Costs'!$D$9</f>
        <v>2.6198684210526317</v>
      </c>
      <c r="AE2" s="89" t="s">
        <v>23</v>
      </c>
      <c r="AF2" s="87">
        <v>25</v>
      </c>
    </row>
    <row r="3" spans="1:32" ht="15.75" customHeight="1">
      <c r="A3" s="90" t="s">
        <v>73</v>
      </c>
      <c r="B3" s="90" t="s">
        <v>17</v>
      </c>
      <c r="C3" s="90" t="s">
        <v>18</v>
      </c>
      <c r="D3" s="90" t="s">
        <v>19</v>
      </c>
      <c r="E3" s="91" t="s">
        <v>22</v>
      </c>
      <c r="F3" s="91" t="s">
        <v>8</v>
      </c>
      <c r="G3" s="92" t="s">
        <v>24</v>
      </c>
      <c r="H3" s="90" t="s">
        <v>74</v>
      </c>
      <c r="I3" s="90" t="s">
        <v>22</v>
      </c>
      <c r="J3" s="90" t="s">
        <v>8</v>
      </c>
      <c r="K3" s="90" t="s">
        <v>24</v>
      </c>
      <c r="L3" s="90" t="s">
        <v>74</v>
      </c>
      <c r="M3" s="90" t="s">
        <v>22</v>
      </c>
      <c r="N3" s="90" t="s">
        <v>8</v>
      </c>
      <c r="O3" s="90" t="s">
        <v>24</v>
      </c>
      <c r="P3" s="90" t="s">
        <v>74</v>
      </c>
      <c r="Q3" s="90" t="s">
        <v>22</v>
      </c>
      <c r="R3" s="90" t="s">
        <v>8</v>
      </c>
      <c r="S3" s="90" t="s">
        <v>24</v>
      </c>
      <c r="T3" s="90" t="s">
        <v>74</v>
      </c>
      <c r="U3" s="90" t="s">
        <v>22</v>
      </c>
      <c r="V3" s="90" t="s">
        <v>8</v>
      </c>
      <c r="W3" s="90" t="s">
        <v>24</v>
      </c>
      <c r="X3" s="90" t="s">
        <v>74</v>
      </c>
      <c r="Y3" s="90" t="s">
        <v>22</v>
      </c>
      <c r="Z3" s="90" t="s">
        <v>8</v>
      </c>
      <c r="AA3" s="90" t="s">
        <v>24</v>
      </c>
      <c r="AB3" s="90" t="s">
        <v>74</v>
      </c>
      <c r="AC3" s="90" t="s">
        <v>22</v>
      </c>
      <c r="AD3" s="90" t="s">
        <v>8</v>
      </c>
      <c r="AE3" s="90" t="s">
        <v>24</v>
      </c>
      <c r="AF3" s="90" t="s">
        <v>74</v>
      </c>
    </row>
    <row r="4" spans="1:32" ht="15.75" customHeight="1">
      <c r="A4" s="87">
        <v>1</v>
      </c>
      <c r="B4" s="93">
        <f t="shared" ref="B4:B15" si="0">E4+F4+I4+J4+M4+N4+Q4+R4+U4+V4+Y4+Z4+AC4+AD4</f>
        <v>370833.33333333337</v>
      </c>
      <c r="C4" s="94">
        <f t="shared" ref="C4:C15" si="1">G4+K4+O4+S4+W4+AA4+AE4</f>
        <v>0</v>
      </c>
      <c r="D4" s="93">
        <f t="shared" ref="D4:D15" si="2">(H4+L4+P4+T4+X4+AB4+AF4)-B4</f>
        <v>-370833.33333333337</v>
      </c>
      <c r="E4" s="93">
        <f>('Project Overview'!$C$4/12)</f>
        <v>266666.66666666669</v>
      </c>
      <c r="F4" s="93">
        <f>'Project Overview'!$C$5/12</f>
        <v>104166.66666666667</v>
      </c>
      <c r="G4" s="94">
        <v>0</v>
      </c>
      <c r="H4" s="93">
        <f t="shared" ref="H4:H15" si="3">G4*($H$2-$F$2)</f>
        <v>0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</row>
    <row r="5" spans="1:32" ht="15.75" customHeight="1">
      <c r="A5" s="87">
        <v>2</v>
      </c>
      <c r="B5" s="93">
        <f t="shared" si="0"/>
        <v>370833.33333333337</v>
      </c>
      <c r="C5" s="94">
        <f t="shared" si="1"/>
        <v>0</v>
      </c>
      <c r="D5" s="93">
        <f t="shared" si="2"/>
        <v>-370833.33333333337</v>
      </c>
      <c r="E5" s="93">
        <f>('Project Overview'!$C$4/12)</f>
        <v>266666.66666666669</v>
      </c>
      <c r="F5" s="93">
        <f>'Project Overview'!$C$5/12</f>
        <v>104166.66666666667</v>
      </c>
      <c r="G5" s="94">
        <v>0</v>
      </c>
      <c r="H5" s="93">
        <f t="shared" si="3"/>
        <v>0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</row>
    <row r="6" spans="1:32" ht="15.75" customHeight="1">
      <c r="A6" s="87">
        <v>3</v>
      </c>
      <c r="B6" s="93">
        <f t="shared" si="0"/>
        <v>370833.33333333337</v>
      </c>
      <c r="C6" s="94">
        <f t="shared" si="1"/>
        <v>0</v>
      </c>
      <c r="D6" s="93">
        <f t="shared" si="2"/>
        <v>-370833.33333333337</v>
      </c>
      <c r="E6" s="93">
        <f>('Project Overview'!$C$4/12)</f>
        <v>266666.66666666669</v>
      </c>
      <c r="F6" s="93">
        <f>'Project Overview'!$C$5/12</f>
        <v>104166.66666666667</v>
      </c>
      <c r="G6" s="94">
        <v>0</v>
      </c>
      <c r="H6" s="93">
        <f t="shared" si="3"/>
        <v>0</v>
      </c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</row>
    <row r="7" spans="1:32" ht="15.75" customHeight="1">
      <c r="A7" s="87">
        <v>4</v>
      </c>
      <c r="B7" s="93">
        <f t="shared" si="0"/>
        <v>370833.33333333337</v>
      </c>
      <c r="C7" s="94">
        <f t="shared" si="1"/>
        <v>0</v>
      </c>
      <c r="D7" s="93">
        <f t="shared" si="2"/>
        <v>-370833.33333333337</v>
      </c>
      <c r="E7" s="93">
        <f>('Project Overview'!$C$4/12)</f>
        <v>266666.66666666669</v>
      </c>
      <c r="F7" s="93">
        <f>'Project Overview'!$C$5/12</f>
        <v>104166.66666666667</v>
      </c>
      <c r="G7" s="94">
        <v>0</v>
      </c>
      <c r="H7" s="93">
        <f t="shared" si="3"/>
        <v>0</v>
      </c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</row>
    <row r="8" spans="1:32" ht="15.75" customHeight="1">
      <c r="A8" s="87">
        <v>5</v>
      </c>
      <c r="B8" s="93">
        <f t="shared" si="0"/>
        <v>370833.33333333337</v>
      </c>
      <c r="C8" s="94">
        <f t="shared" si="1"/>
        <v>0</v>
      </c>
      <c r="D8" s="93">
        <f t="shared" si="2"/>
        <v>-370833.33333333337</v>
      </c>
      <c r="E8" s="93">
        <f>('Project Overview'!$C$4/12)</f>
        <v>266666.66666666669</v>
      </c>
      <c r="F8" s="93">
        <f>'Project Overview'!$C$5/12</f>
        <v>104166.66666666667</v>
      </c>
      <c r="G8" s="94">
        <v>0</v>
      </c>
      <c r="H8" s="93">
        <f t="shared" si="3"/>
        <v>0</v>
      </c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</row>
    <row r="9" spans="1:32" ht="15.75" customHeight="1">
      <c r="A9" s="87">
        <v>6</v>
      </c>
      <c r="B9" s="93">
        <f t="shared" si="0"/>
        <v>370833.33333333337</v>
      </c>
      <c r="C9" s="94">
        <f t="shared" si="1"/>
        <v>0</v>
      </c>
      <c r="D9" s="93">
        <f t="shared" si="2"/>
        <v>-370833.33333333337</v>
      </c>
      <c r="E9" s="93">
        <f>('Project Overview'!$C$4/12)</f>
        <v>266666.66666666669</v>
      </c>
      <c r="F9" s="93">
        <f>'Project Overview'!$C$5/12</f>
        <v>104166.66666666667</v>
      </c>
      <c r="G9" s="94">
        <v>0</v>
      </c>
      <c r="H9" s="93">
        <f t="shared" si="3"/>
        <v>0</v>
      </c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</row>
    <row r="10" spans="1:32" ht="15.75" customHeight="1">
      <c r="A10" s="87">
        <v>7</v>
      </c>
      <c r="B10" s="93">
        <f t="shared" si="0"/>
        <v>370833.33333333337</v>
      </c>
      <c r="C10" s="94">
        <f t="shared" si="1"/>
        <v>0</v>
      </c>
      <c r="D10" s="93">
        <f t="shared" si="2"/>
        <v>-370833.33333333337</v>
      </c>
      <c r="E10" s="93">
        <f>('Project Overview'!$C$4/12)</f>
        <v>266666.66666666669</v>
      </c>
      <c r="F10" s="93">
        <f>'Project Overview'!$C$5/12</f>
        <v>104166.66666666667</v>
      </c>
      <c r="G10" s="94">
        <v>0</v>
      </c>
      <c r="H10" s="93">
        <f t="shared" si="3"/>
        <v>0</v>
      </c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</row>
    <row r="11" spans="1:32" ht="15.75" customHeight="1">
      <c r="A11" s="87">
        <v>8</v>
      </c>
      <c r="B11" s="93">
        <f t="shared" si="0"/>
        <v>370833.33333333337</v>
      </c>
      <c r="C11" s="94">
        <f t="shared" si="1"/>
        <v>0</v>
      </c>
      <c r="D11" s="93">
        <f t="shared" si="2"/>
        <v>-370833.33333333337</v>
      </c>
      <c r="E11" s="93">
        <f>('Project Overview'!$C$4/12)</f>
        <v>266666.66666666669</v>
      </c>
      <c r="F11" s="93">
        <f>'Project Overview'!$C$5/12</f>
        <v>104166.66666666667</v>
      </c>
      <c r="G11" s="94">
        <v>0</v>
      </c>
      <c r="H11" s="93">
        <f t="shared" si="3"/>
        <v>0</v>
      </c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</row>
    <row r="12" spans="1:32" ht="15.75" customHeight="1">
      <c r="A12" s="87">
        <v>9</v>
      </c>
      <c r="B12" s="93">
        <f t="shared" si="0"/>
        <v>370833.33333333337</v>
      </c>
      <c r="C12" s="94">
        <f t="shared" si="1"/>
        <v>0</v>
      </c>
      <c r="D12" s="93">
        <f t="shared" si="2"/>
        <v>-370833.33333333337</v>
      </c>
      <c r="E12" s="93">
        <f>('Project Overview'!$C$4/12)</f>
        <v>266666.66666666669</v>
      </c>
      <c r="F12" s="93">
        <f>'Project Overview'!$C$5/12</f>
        <v>104166.66666666667</v>
      </c>
      <c r="G12" s="94">
        <v>0</v>
      </c>
      <c r="H12" s="93">
        <f t="shared" si="3"/>
        <v>0</v>
      </c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</row>
    <row r="13" spans="1:32" ht="15.75" customHeight="1">
      <c r="A13" s="87">
        <v>10</v>
      </c>
      <c r="B13" s="93">
        <f t="shared" si="0"/>
        <v>370833.33333333337</v>
      </c>
      <c r="C13" s="94">
        <f t="shared" si="1"/>
        <v>0</v>
      </c>
      <c r="D13" s="93">
        <f t="shared" si="2"/>
        <v>-370833.33333333337</v>
      </c>
      <c r="E13" s="93">
        <f>('Project Overview'!$C$4/12)</f>
        <v>266666.66666666669</v>
      </c>
      <c r="F13" s="93">
        <f>'Project Overview'!$C$5/12</f>
        <v>104166.66666666667</v>
      </c>
      <c r="G13" s="94">
        <v>0</v>
      </c>
      <c r="H13" s="93">
        <f t="shared" si="3"/>
        <v>0</v>
      </c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</row>
    <row r="14" spans="1:32" ht="15.75" customHeight="1">
      <c r="A14" s="87">
        <v>11</v>
      </c>
      <c r="B14" s="93">
        <f t="shared" si="0"/>
        <v>370833.33333333337</v>
      </c>
      <c r="C14" s="94">
        <f t="shared" si="1"/>
        <v>0</v>
      </c>
      <c r="D14" s="93">
        <f t="shared" si="2"/>
        <v>-370833.33333333337</v>
      </c>
      <c r="E14" s="93">
        <f>('Project Overview'!$C$4/12)</f>
        <v>266666.66666666669</v>
      </c>
      <c r="F14" s="93">
        <f>'Project Overview'!$C$5/12</f>
        <v>104166.66666666667</v>
      </c>
      <c r="G14" s="94">
        <v>0</v>
      </c>
      <c r="H14" s="93">
        <f t="shared" si="3"/>
        <v>0</v>
      </c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</row>
    <row r="15" spans="1:32" ht="15.75" customHeight="1">
      <c r="A15" s="87">
        <v>12</v>
      </c>
      <c r="B15" s="93">
        <f t="shared" si="0"/>
        <v>370833.33333333337</v>
      </c>
      <c r="C15" s="94">
        <f t="shared" si="1"/>
        <v>0</v>
      </c>
      <c r="D15" s="93">
        <f t="shared" si="2"/>
        <v>-370833.33333333337</v>
      </c>
      <c r="E15" s="93">
        <f>('Project Overview'!$C$4/12)</f>
        <v>266666.66666666669</v>
      </c>
      <c r="F15" s="93">
        <f>'Project Overview'!$C$5/12</f>
        <v>104166.66666666667</v>
      </c>
      <c r="G15" s="94">
        <v>0</v>
      </c>
      <c r="H15" s="93">
        <f t="shared" si="3"/>
        <v>0</v>
      </c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</row>
    <row r="16" spans="1:32" ht="15.75" customHeight="1">
      <c r="A16" s="96" t="s">
        <v>75</v>
      </c>
      <c r="B16" s="97">
        <f t="shared" ref="B16:H16" si="4">SUM(B4:B15)</f>
        <v>4450000.0000000009</v>
      </c>
      <c r="C16" s="98">
        <f t="shared" si="4"/>
        <v>0</v>
      </c>
      <c r="D16" s="97">
        <f t="shared" si="4"/>
        <v>-4450000.0000000009</v>
      </c>
      <c r="E16" s="97">
        <f t="shared" si="4"/>
        <v>3199999.9999999995</v>
      </c>
      <c r="F16" s="97">
        <f t="shared" si="4"/>
        <v>1250000</v>
      </c>
      <c r="G16" s="98">
        <f t="shared" si="4"/>
        <v>0</v>
      </c>
      <c r="H16" s="97">
        <f t="shared" si="4"/>
        <v>0</v>
      </c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</row>
    <row r="17" spans="1:32" ht="15.75" customHeight="1">
      <c r="A17" s="87">
        <v>13</v>
      </c>
      <c r="B17" s="93">
        <f t="shared" ref="B17:B28" si="5">E17+F17+I17+J17+M17+N17+Q17+R17+U17+V17+Y17+Z17+AC17+AD17</f>
        <v>569269.66666666663</v>
      </c>
      <c r="C17" s="94">
        <f t="shared" ref="C17:C28" si="6">G17+K17+O17+S17+W17+AA17+AE17</f>
        <v>7500</v>
      </c>
      <c r="D17" s="93">
        <f t="shared" ref="D17:D28" si="7">(H17+L17+P17+T17+X17+AB17+AF17)-B17</f>
        <v>-401418.67982456135</v>
      </c>
      <c r="E17" s="93">
        <f>'Project Overview'!$D$4/12</f>
        <v>83333.333333333328</v>
      </c>
      <c r="F17" s="93">
        <f>'Project Overview'!$D$5/12</f>
        <v>147828.66666666666</v>
      </c>
      <c r="G17" s="94">
        <v>7500</v>
      </c>
      <c r="H17" s="93">
        <f t="shared" ref="H17:H28" si="8">G17*($H$2-$F$2)</f>
        <v>167850.98684210525</v>
      </c>
      <c r="I17" s="93">
        <f>'Project Overview'!$C$12/12</f>
        <v>270000</v>
      </c>
      <c r="J17" s="93">
        <f>'Project Overview'!$C$13/12</f>
        <v>68107.666666666672</v>
      </c>
      <c r="K17" s="94">
        <v>0</v>
      </c>
      <c r="L17" s="93">
        <f t="shared" ref="L17:L28" si="9">K17*($L$2-$J$2)</f>
        <v>0</v>
      </c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</row>
    <row r="18" spans="1:32" ht="15.75" customHeight="1">
      <c r="A18" s="87">
        <v>14</v>
      </c>
      <c r="B18" s="93">
        <f t="shared" si="5"/>
        <v>569269.66666666663</v>
      </c>
      <c r="C18" s="94">
        <f t="shared" si="6"/>
        <v>7500</v>
      </c>
      <c r="D18" s="93">
        <f t="shared" si="7"/>
        <v>-401418.67982456135</v>
      </c>
      <c r="E18" s="93">
        <f>'Project Overview'!$D$4/12</f>
        <v>83333.333333333328</v>
      </c>
      <c r="F18" s="93">
        <f>'Project Overview'!$D$5/12</f>
        <v>147828.66666666666</v>
      </c>
      <c r="G18" s="94">
        <v>7500</v>
      </c>
      <c r="H18" s="93">
        <f t="shared" si="8"/>
        <v>167850.98684210525</v>
      </c>
      <c r="I18" s="93">
        <f>'Project Overview'!$C$12/12</f>
        <v>270000</v>
      </c>
      <c r="J18" s="93">
        <f>'Project Overview'!$C$13/12</f>
        <v>68107.666666666672</v>
      </c>
      <c r="K18" s="94">
        <v>0</v>
      </c>
      <c r="L18" s="93">
        <f t="shared" si="9"/>
        <v>0</v>
      </c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</row>
    <row r="19" spans="1:32" ht="15.75" customHeight="1">
      <c r="A19" s="87">
        <v>15</v>
      </c>
      <c r="B19" s="93">
        <f t="shared" si="5"/>
        <v>569269.66666666663</v>
      </c>
      <c r="C19" s="94">
        <f t="shared" si="6"/>
        <v>7500</v>
      </c>
      <c r="D19" s="93">
        <f t="shared" si="7"/>
        <v>-401418.67982456135</v>
      </c>
      <c r="E19" s="93">
        <f>'Project Overview'!$D$4/12</f>
        <v>83333.333333333328</v>
      </c>
      <c r="F19" s="93">
        <f>'Project Overview'!$D$5/12</f>
        <v>147828.66666666666</v>
      </c>
      <c r="G19" s="94">
        <v>7500</v>
      </c>
      <c r="H19" s="93">
        <f t="shared" si="8"/>
        <v>167850.98684210525</v>
      </c>
      <c r="I19" s="93">
        <f>'Project Overview'!$C$12/12</f>
        <v>270000</v>
      </c>
      <c r="J19" s="93">
        <f>'Project Overview'!$C$13/12</f>
        <v>68107.666666666672</v>
      </c>
      <c r="K19" s="94">
        <v>0</v>
      </c>
      <c r="L19" s="93">
        <f t="shared" si="9"/>
        <v>0</v>
      </c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</row>
    <row r="20" spans="1:32" ht="15.75" customHeight="1">
      <c r="A20" s="87">
        <v>16</v>
      </c>
      <c r="B20" s="93">
        <f t="shared" si="5"/>
        <v>569269.66666666663</v>
      </c>
      <c r="C20" s="94">
        <f t="shared" si="6"/>
        <v>7500</v>
      </c>
      <c r="D20" s="93">
        <f t="shared" si="7"/>
        <v>-401418.67982456135</v>
      </c>
      <c r="E20" s="93">
        <f>'Project Overview'!$D$4/12</f>
        <v>83333.333333333328</v>
      </c>
      <c r="F20" s="93">
        <f>'Project Overview'!$D$5/12</f>
        <v>147828.66666666666</v>
      </c>
      <c r="G20" s="94">
        <v>7500</v>
      </c>
      <c r="H20" s="93">
        <f t="shared" si="8"/>
        <v>167850.98684210525</v>
      </c>
      <c r="I20" s="93">
        <f>'Project Overview'!$C$12/12</f>
        <v>270000</v>
      </c>
      <c r="J20" s="93">
        <f>'Project Overview'!$C$13/12</f>
        <v>68107.666666666672</v>
      </c>
      <c r="K20" s="94">
        <v>0</v>
      </c>
      <c r="L20" s="93">
        <f t="shared" si="9"/>
        <v>0</v>
      </c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</row>
    <row r="21" spans="1:32" ht="15.75" customHeight="1">
      <c r="A21" s="87">
        <v>17</v>
      </c>
      <c r="B21" s="93">
        <f t="shared" si="5"/>
        <v>569269.66666666663</v>
      </c>
      <c r="C21" s="94">
        <f t="shared" si="6"/>
        <v>7500</v>
      </c>
      <c r="D21" s="93">
        <f t="shared" si="7"/>
        <v>-401418.67982456135</v>
      </c>
      <c r="E21" s="93">
        <f>'Project Overview'!$D$4/12</f>
        <v>83333.333333333328</v>
      </c>
      <c r="F21" s="93">
        <f>'Project Overview'!$D$5/12</f>
        <v>147828.66666666666</v>
      </c>
      <c r="G21" s="94">
        <v>7500</v>
      </c>
      <c r="H21" s="93">
        <f t="shared" si="8"/>
        <v>167850.98684210525</v>
      </c>
      <c r="I21" s="93">
        <f>'Project Overview'!$C$12/12</f>
        <v>270000</v>
      </c>
      <c r="J21" s="93">
        <f>'Project Overview'!$C$13/12</f>
        <v>68107.666666666672</v>
      </c>
      <c r="K21" s="94">
        <v>0</v>
      </c>
      <c r="L21" s="93">
        <f t="shared" si="9"/>
        <v>0</v>
      </c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</row>
    <row r="22" spans="1:32" ht="15.75" customHeight="1">
      <c r="A22" s="87">
        <v>18</v>
      </c>
      <c r="B22" s="93">
        <f t="shared" si="5"/>
        <v>569269.66666666663</v>
      </c>
      <c r="C22" s="94">
        <f t="shared" si="6"/>
        <v>7500</v>
      </c>
      <c r="D22" s="93">
        <f t="shared" si="7"/>
        <v>-401418.67982456135</v>
      </c>
      <c r="E22" s="93">
        <f>'Project Overview'!$D$4/12</f>
        <v>83333.333333333328</v>
      </c>
      <c r="F22" s="93">
        <f>'Project Overview'!$D$5/12</f>
        <v>147828.66666666666</v>
      </c>
      <c r="G22" s="94">
        <v>7500</v>
      </c>
      <c r="H22" s="93">
        <f t="shared" si="8"/>
        <v>167850.98684210525</v>
      </c>
      <c r="I22" s="93">
        <f>'Project Overview'!$C$12/12</f>
        <v>270000</v>
      </c>
      <c r="J22" s="93">
        <f>'Project Overview'!$C$13/12</f>
        <v>68107.666666666672</v>
      </c>
      <c r="K22" s="94">
        <v>0</v>
      </c>
      <c r="L22" s="93">
        <f t="shared" si="9"/>
        <v>0</v>
      </c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</row>
    <row r="23" spans="1:32" ht="15.75" customHeight="1">
      <c r="A23" s="87">
        <v>19</v>
      </c>
      <c r="B23" s="93">
        <f t="shared" si="5"/>
        <v>569269.66666666663</v>
      </c>
      <c r="C23" s="94">
        <f t="shared" si="6"/>
        <v>37500</v>
      </c>
      <c r="D23" s="93">
        <f t="shared" si="7"/>
        <v>269985.26754385966</v>
      </c>
      <c r="E23" s="93">
        <f>'Project Overview'!$D$4/12</f>
        <v>83333.333333333328</v>
      </c>
      <c r="F23" s="93">
        <f>'Project Overview'!$D$5/12</f>
        <v>147828.66666666666</v>
      </c>
      <c r="G23" s="94">
        <v>37500</v>
      </c>
      <c r="H23" s="93">
        <f t="shared" si="8"/>
        <v>839254.93421052629</v>
      </c>
      <c r="I23" s="93">
        <f>'Project Overview'!$C$12/12</f>
        <v>270000</v>
      </c>
      <c r="J23" s="93">
        <f>'Project Overview'!$C$13/12</f>
        <v>68107.666666666672</v>
      </c>
      <c r="K23" s="94">
        <v>0</v>
      </c>
      <c r="L23" s="93">
        <f t="shared" si="9"/>
        <v>0</v>
      </c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</row>
    <row r="24" spans="1:32" ht="15.75" customHeight="1">
      <c r="A24" s="87">
        <v>20</v>
      </c>
      <c r="B24" s="93">
        <f t="shared" si="5"/>
        <v>569269.66666666663</v>
      </c>
      <c r="C24" s="94">
        <f t="shared" si="6"/>
        <v>37500</v>
      </c>
      <c r="D24" s="93">
        <f t="shared" si="7"/>
        <v>269985.26754385966</v>
      </c>
      <c r="E24" s="93">
        <f>'Project Overview'!$D$4/12</f>
        <v>83333.333333333328</v>
      </c>
      <c r="F24" s="93">
        <f>'Project Overview'!$D$5/12</f>
        <v>147828.66666666666</v>
      </c>
      <c r="G24" s="94">
        <v>37500</v>
      </c>
      <c r="H24" s="93">
        <f t="shared" si="8"/>
        <v>839254.93421052629</v>
      </c>
      <c r="I24" s="93">
        <f>'Project Overview'!$C$12/12</f>
        <v>270000</v>
      </c>
      <c r="J24" s="93">
        <f>'Project Overview'!$C$13/12</f>
        <v>68107.666666666672</v>
      </c>
      <c r="K24" s="94">
        <v>0</v>
      </c>
      <c r="L24" s="93">
        <f t="shared" si="9"/>
        <v>0</v>
      </c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</row>
    <row r="25" spans="1:32" ht="15.75" customHeight="1">
      <c r="A25" s="87">
        <v>21</v>
      </c>
      <c r="B25" s="93">
        <f t="shared" si="5"/>
        <v>569269.66666666663</v>
      </c>
      <c r="C25" s="94">
        <f t="shared" si="6"/>
        <v>37500</v>
      </c>
      <c r="D25" s="93">
        <f t="shared" si="7"/>
        <v>269985.26754385966</v>
      </c>
      <c r="E25" s="93">
        <f>'Project Overview'!$D$4/12</f>
        <v>83333.333333333328</v>
      </c>
      <c r="F25" s="93">
        <f>'Project Overview'!$D$5/12</f>
        <v>147828.66666666666</v>
      </c>
      <c r="G25" s="94">
        <v>37500</v>
      </c>
      <c r="H25" s="93">
        <f t="shared" si="8"/>
        <v>839254.93421052629</v>
      </c>
      <c r="I25" s="93">
        <f>'Project Overview'!$C$12/12</f>
        <v>270000</v>
      </c>
      <c r="J25" s="93">
        <f>'Project Overview'!$C$13/12</f>
        <v>68107.666666666672</v>
      </c>
      <c r="K25" s="94">
        <v>0</v>
      </c>
      <c r="L25" s="93">
        <f t="shared" si="9"/>
        <v>0</v>
      </c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</row>
    <row r="26" spans="1:32" ht="15.75" customHeight="1">
      <c r="A26" s="87">
        <v>22</v>
      </c>
      <c r="B26" s="93">
        <f t="shared" si="5"/>
        <v>569269.66666666663</v>
      </c>
      <c r="C26" s="94">
        <f t="shared" si="6"/>
        <v>37500</v>
      </c>
      <c r="D26" s="93">
        <f t="shared" si="7"/>
        <v>269985.26754385966</v>
      </c>
      <c r="E26" s="93">
        <f>'Project Overview'!$D$4/12</f>
        <v>83333.333333333328</v>
      </c>
      <c r="F26" s="93">
        <f>'Project Overview'!$D$5/12</f>
        <v>147828.66666666666</v>
      </c>
      <c r="G26" s="94">
        <v>37500</v>
      </c>
      <c r="H26" s="93">
        <f t="shared" si="8"/>
        <v>839254.93421052629</v>
      </c>
      <c r="I26" s="93">
        <f>'Project Overview'!$C$12/12</f>
        <v>270000</v>
      </c>
      <c r="J26" s="93">
        <f>'Project Overview'!$C$13/12</f>
        <v>68107.666666666672</v>
      </c>
      <c r="K26" s="94">
        <v>0</v>
      </c>
      <c r="L26" s="93">
        <f t="shared" si="9"/>
        <v>0</v>
      </c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</row>
    <row r="27" spans="1:32" ht="15.75" customHeight="1">
      <c r="A27" s="87">
        <v>23</v>
      </c>
      <c r="B27" s="93">
        <f t="shared" si="5"/>
        <v>569269.66666666663</v>
      </c>
      <c r="C27" s="94">
        <f t="shared" si="6"/>
        <v>37500</v>
      </c>
      <c r="D27" s="93">
        <f t="shared" si="7"/>
        <v>269985.26754385966</v>
      </c>
      <c r="E27" s="93">
        <f>'Project Overview'!$D$4/12</f>
        <v>83333.333333333328</v>
      </c>
      <c r="F27" s="93">
        <f>'Project Overview'!$D$5/12</f>
        <v>147828.66666666666</v>
      </c>
      <c r="G27" s="94">
        <v>37500</v>
      </c>
      <c r="H27" s="93">
        <f t="shared" si="8"/>
        <v>839254.93421052629</v>
      </c>
      <c r="I27" s="93">
        <f>'Project Overview'!$C$12/12</f>
        <v>270000</v>
      </c>
      <c r="J27" s="93">
        <f>'Project Overview'!$C$13/12</f>
        <v>68107.666666666672</v>
      </c>
      <c r="K27" s="94">
        <v>0</v>
      </c>
      <c r="L27" s="93">
        <f t="shared" si="9"/>
        <v>0</v>
      </c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</row>
    <row r="28" spans="1:32" ht="15.75" customHeight="1">
      <c r="A28" s="87">
        <v>24</v>
      </c>
      <c r="B28" s="93">
        <f t="shared" si="5"/>
        <v>569269.66666666663</v>
      </c>
      <c r="C28" s="94">
        <f t="shared" si="6"/>
        <v>37500</v>
      </c>
      <c r="D28" s="93">
        <f t="shared" si="7"/>
        <v>269985.26754385966</v>
      </c>
      <c r="E28" s="93">
        <f>'Project Overview'!$D$4/12</f>
        <v>83333.333333333328</v>
      </c>
      <c r="F28" s="93">
        <f>'Project Overview'!$D$5/12</f>
        <v>147828.66666666666</v>
      </c>
      <c r="G28" s="94">
        <v>37500</v>
      </c>
      <c r="H28" s="93">
        <f t="shared" si="8"/>
        <v>839254.93421052629</v>
      </c>
      <c r="I28" s="93">
        <f>'Project Overview'!$C$12/12</f>
        <v>270000</v>
      </c>
      <c r="J28" s="93">
        <f>'Project Overview'!$C$13/12</f>
        <v>68107.666666666672</v>
      </c>
      <c r="K28" s="94">
        <v>0</v>
      </c>
      <c r="L28" s="93">
        <f t="shared" si="9"/>
        <v>0</v>
      </c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</row>
    <row r="29" spans="1:32" ht="15.75" customHeight="1">
      <c r="A29" s="96" t="s">
        <v>75</v>
      </c>
      <c r="B29" s="97">
        <f t="shared" ref="B29:L29" si="10">SUM(B17:B28)</f>
        <v>6831236.0000000009</v>
      </c>
      <c r="C29" s="98">
        <f t="shared" si="10"/>
        <v>270000</v>
      </c>
      <c r="D29" s="97">
        <f t="shared" si="10"/>
        <v>-788600.47368420952</v>
      </c>
      <c r="E29" s="97">
        <f t="shared" si="10"/>
        <v>1000000.0000000001</v>
      </c>
      <c r="F29" s="97">
        <f t="shared" si="10"/>
        <v>1773944.0000000002</v>
      </c>
      <c r="G29" s="98">
        <f t="shared" si="10"/>
        <v>270000</v>
      </c>
      <c r="H29" s="97">
        <f t="shared" si="10"/>
        <v>6042635.5263157878</v>
      </c>
      <c r="I29" s="97">
        <f t="shared" si="10"/>
        <v>3240000</v>
      </c>
      <c r="J29" s="97">
        <f t="shared" si="10"/>
        <v>817291.99999999988</v>
      </c>
      <c r="K29" s="98">
        <f t="shared" si="10"/>
        <v>0</v>
      </c>
      <c r="L29" s="97">
        <f t="shared" si="10"/>
        <v>0</v>
      </c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</row>
    <row r="30" spans="1:32" ht="15.75" customHeight="1">
      <c r="A30" s="87">
        <v>25</v>
      </c>
      <c r="B30" s="93">
        <f t="shared" ref="B30:B41" si="11">E30+F30+I30+J30+M30+N30+Q30+R30+U30+V30+Y30+Z30+AC30+AD30</f>
        <v>1206545.1038461539</v>
      </c>
      <c r="C30" s="94">
        <f t="shared" ref="C30:C41" si="12">G30+K30+O30+S30+W30+AA30+AE30</f>
        <v>75000</v>
      </c>
      <c r="D30" s="93">
        <f t="shared" ref="D30:D41" si="13">(H30+L30+P30+T30+X30+AB30+AF30)-B30</f>
        <v>471964.76457489864</v>
      </c>
      <c r="E30" s="93">
        <f>('Project Overview'!$E$4/12)</f>
        <v>125000</v>
      </c>
      <c r="F30" s="93">
        <f>'Project Overview'!$E$5/12</f>
        <v>190158.65384615384</v>
      </c>
      <c r="G30" s="94">
        <v>37500</v>
      </c>
      <c r="H30" s="93">
        <f t="shared" ref="H30:H41" si="14">G30*($H$2-$F$2)</f>
        <v>839254.93421052629</v>
      </c>
      <c r="I30" s="93">
        <f>'Project Overview'!$D$12/12</f>
        <v>125000</v>
      </c>
      <c r="J30" s="100">
        <f>'Project Overview'!$D$13/12</f>
        <v>90171.116666666654</v>
      </c>
      <c r="K30" s="95">
        <v>37500</v>
      </c>
      <c r="L30" s="93">
        <f t="shared" ref="L30:L41" si="15">K30*($L$2-$J$2)</f>
        <v>839254.93421052629</v>
      </c>
      <c r="M30" s="93">
        <f>'Project Overview'!$C$12/12</f>
        <v>270000</v>
      </c>
      <c r="N30" s="93">
        <f>'Project Overview'!$C$13/12</f>
        <v>68107.666666666672</v>
      </c>
      <c r="O30" s="94">
        <v>0</v>
      </c>
      <c r="P30" s="93">
        <f t="shared" ref="P30:P41" si="16">O30*($P$2-$N$2)</f>
        <v>0</v>
      </c>
      <c r="Q30" s="93">
        <f>'Project Overview'!$C$12/12</f>
        <v>270000</v>
      </c>
      <c r="R30" s="93">
        <f>'Project Overview'!$C$13/12</f>
        <v>68107.666666666672</v>
      </c>
      <c r="S30" s="94">
        <v>0</v>
      </c>
      <c r="T30" s="93">
        <f t="shared" ref="T30:T41" si="17">S30*($T$2-$R$2)</f>
        <v>0</v>
      </c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</row>
    <row r="31" spans="1:32" ht="15.75" customHeight="1">
      <c r="A31" s="87">
        <v>26</v>
      </c>
      <c r="B31" s="93">
        <f t="shared" si="11"/>
        <v>1206545.1038461539</v>
      </c>
      <c r="C31" s="94">
        <f t="shared" si="12"/>
        <v>75000</v>
      </c>
      <c r="D31" s="93">
        <f t="shared" si="13"/>
        <v>471964.76457489864</v>
      </c>
      <c r="E31" s="93">
        <f>('Project Overview'!$E$4/12)</f>
        <v>125000</v>
      </c>
      <c r="F31" s="93">
        <f>'Project Overview'!$E$5/12</f>
        <v>190158.65384615384</v>
      </c>
      <c r="G31" s="94">
        <v>37500</v>
      </c>
      <c r="H31" s="93">
        <f t="shared" si="14"/>
        <v>839254.93421052629</v>
      </c>
      <c r="I31" s="93">
        <f>'Project Overview'!$D$12/12</f>
        <v>125000</v>
      </c>
      <c r="J31" s="100">
        <f>'Project Overview'!$D$13/12</f>
        <v>90171.116666666654</v>
      </c>
      <c r="K31" s="95">
        <v>37500</v>
      </c>
      <c r="L31" s="93">
        <f t="shared" si="15"/>
        <v>839254.93421052629</v>
      </c>
      <c r="M31" s="93">
        <f>'Project Overview'!$C$12/12</f>
        <v>270000</v>
      </c>
      <c r="N31" s="93">
        <f>'Project Overview'!$C$13/12</f>
        <v>68107.666666666672</v>
      </c>
      <c r="O31" s="94">
        <v>0</v>
      </c>
      <c r="P31" s="93">
        <f t="shared" si="16"/>
        <v>0</v>
      </c>
      <c r="Q31" s="93">
        <f>'Project Overview'!$C$12/12</f>
        <v>270000</v>
      </c>
      <c r="R31" s="93">
        <f>'Project Overview'!$C$13/12</f>
        <v>68107.666666666672</v>
      </c>
      <c r="S31" s="94">
        <v>0</v>
      </c>
      <c r="T31" s="93">
        <f t="shared" si="17"/>
        <v>0</v>
      </c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</row>
    <row r="32" spans="1:32" ht="15.75" customHeight="1">
      <c r="A32" s="87">
        <v>27</v>
      </c>
      <c r="B32" s="93">
        <f t="shared" si="11"/>
        <v>1206545.1038461539</v>
      </c>
      <c r="C32" s="94">
        <f t="shared" si="12"/>
        <v>75000</v>
      </c>
      <c r="D32" s="93">
        <f t="shared" si="13"/>
        <v>471964.76457489864</v>
      </c>
      <c r="E32" s="93">
        <f>('Project Overview'!$E$4/12)</f>
        <v>125000</v>
      </c>
      <c r="F32" s="93">
        <f>'Project Overview'!$E$5/12</f>
        <v>190158.65384615384</v>
      </c>
      <c r="G32" s="94">
        <v>37500</v>
      </c>
      <c r="H32" s="93">
        <f t="shared" si="14"/>
        <v>839254.93421052629</v>
      </c>
      <c r="I32" s="93">
        <f>'Project Overview'!$D$12/12</f>
        <v>125000</v>
      </c>
      <c r="J32" s="100">
        <f>'Project Overview'!$D$13/12</f>
        <v>90171.116666666654</v>
      </c>
      <c r="K32" s="95">
        <v>37500</v>
      </c>
      <c r="L32" s="93">
        <f t="shared" si="15"/>
        <v>839254.93421052629</v>
      </c>
      <c r="M32" s="93">
        <f>'Project Overview'!$C$12/12</f>
        <v>270000</v>
      </c>
      <c r="N32" s="93">
        <f>'Project Overview'!$C$13/12</f>
        <v>68107.666666666672</v>
      </c>
      <c r="O32" s="94">
        <v>0</v>
      </c>
      <c r="P32" s="93">
        <f t="shared" si="16"/>
        <v>0</v>
      </c>
      <c r="Q32" s="93">
        <f>'Project Overview'!$C$12/12</f>
        <v>270000</v>
      </c>
      <c r="R32" s="93">
        <f>'Project Overview'!$C$13/12</f>
        <v>68107.666666666672</v>
      </c>
      <c r="S32" s="94">
        <v>0</v>
      </c>
      <c r="T32" s="93">
        <f t="shared" si="17"/>
        <v>0</v>
      </c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</row>
    <row r="33" spans="1:32" ht="15.75" customHeight="1">
      <c r="A33" s="87">
        <v>28</v>
      </c>
      <c r="B33" s="93">
        <f t="shared" si="11"/>
        <v>1206545.1038461539</v>
      </c>
      <c r="C33" s="94">
        <f t="shared" si="12"/>
        <v>75000</v>
      </c>
      <c r="D33" s="93">
        <f t="shared" si="13"/>
        <v>471964.76457489864</v>
      </c>
      <c r="E33" s="93">
        <f>('Project Overview'!$E$4/12)</f>
        <v>125000</v>
      </c>
      <c r="F33" s="93">
        <f>'Project Overview'!$E$5/12</f>
        <v>190158.65384615384</v>
      </c>
      <c r="G33" s="94">
        <v>37500</v>
      </c>
      <c r="H33" s="93">
        <f t="shared" si="14"/>
        <v>839254.93421052629</v>
      </c>
      <c r="I33" s="93">
        <f>'Project Overview'!$D$12/12</f>
        <v>125000</v>
      </c>
      <c r="J33" s="100">
        <f>'Project Overview'!$D$13/12</f>
        <v>90171.116666666654</v>
      </c>
      <c r="K33" s="95">
        <v>37500</v>
      </c>
      <c r="L33" s="93">
        <f t="shared" si="15"/>
        <v>839254.93421052629</v>
      </c>
      <c r="M33" s="93">
        <f>'Project Overview'!$C$12/12</f>
        <v>270000</v>
      </c>
      <c r="N33" s="93">
        <f>'Project Overview'!$C$13/12</f>
        <v>68107.666666666672</v>
      </c>
      <c r="O33" s="94">
        <v>0</v>
      </c>
      <c r="P33" s="93">
        <f t="shared" si="16"/>
        <v>0</v>
      </c>
      <c r="Q33" s="93">
        <f>'Project Overview'!$C$12/12</f>
        <v>270000</v>
      </c>
      <c r="R33" s="93">
        <f>'Project Overview'!$C$13/12</f>
        <v>68107.666666666672</v>
      </c>
      <c r="S33" s="94">
        <v>0</v>
      </c>
      <c r="T33" s="93">
        <f t="shared" si="17"/>
        <v>0</v>
      </c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</row>
    <row r="34" spans="1:32" ht="15.75" customHeight="1">
      <c r="A34" s="87">
        <v>29</v>
      </c>
      <c r="B34" s="93">
        <f t="shared" si="11"/>
        <v>1206545.1038461539</v>
      </c>
      <c r="C34" s="94">
        <f t="shared" si="12"/>
        <v>75000</v>
      </c>
      <c r="D34" s="93">
        <f t="shared" si="13"/>
        <v>471964.76457489864</v>
      </c>
      <c r="E34" s="93">
        <f>('Project Overview'!$E$4/12)</f>
        <v>125000</v>
      </c>
      <c r="F34" s="93">
        <f>'Project Overview'!$E$5/12</f>
        <v>190158.65384615384</v>
      </c>
      <c r="G34" s="94">
        <v>37500</v>
      </c>
      <c r="H34" s="93">
        <f t="shared" si="14"/>
        <v>839254.93421052629</v>
      </c>
      <c r="I34" s="93">
        <f>'Project Overview'!$D$12/12</f>
        <v>125000</v>
      </c>
      <c r="J34" s="100">
        <f>'Project Overview'!$D$13/12</f>
        <v>90171.116666666654</v>
      </c>
      <c r="K34" s="95">
        <v>37500</v>
      </c>
      <c r="L34" s="93">
        <f t="shared" si="15"/>
        <v>839254.93421052629</v>
      </c>
      <c r="M34" s="93">
        <f>'Project Overview'!$C$12/12</f>
        <v>270000</v>
      </c>
      <c r="N34" s="93">
        <f>'Project Overview'!$C$13/12</f>
        <v>68107.666666666672</v>
      </c>
      <c r="O34" s="94">
        <v>0</v>
      </c>
      <c r="P34" s="93">
        <f t="shared" si="16"/>
        <v>0</v>
      </c>
      <c r="Q34" s="93">
        <f>'Project Overview'!$C$12/12</f>
        <v>270000</v>
      </c>
      <c r="R34" s="93">
        <f>'Project Overview'!$C$13/12</f>
        <v>68107.666666666672</v>
      </c>
      <c r="S34" s="94">
        <v>0</v>
      </c>
      <c r="T34" s="93">
        <f t="shared" si="17"/>
        <v>0</v>
      </c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</row>
    <row r="35" spans="1:32" ht="15.75" customHeight="1">
      <c r="A35" s="87">
        <v>30</v>
      </c>
      <c r="B35" s="93">
        <f t="shared" si="11"/>
        <v>1206545.1038461539</v>
      </c>
      <c r="C35" s="94">
        <f t="shared" si="12"/>
        <v>75000</v>
      </c>
      <c r="D35" s="93">
        <f t="shared" si="13"/>
        <v>471964.76457489864</v>
      </c>
      <c r="E35" s="93">
        <f>('Project Overview'!$E$4/12)</f>
        <v>125000</v>
      </c>
      <c r="F35" s="93">
        <f>'Project Overview'!$E$5/12</f>
        <v>190158.65384615384</v>
      </c>
      <c r="G35" s="94">
        <v>37500</v>
      </c>
      <c r="H35" s="93">
        <f t="shared" si="14"/>
        <v>839254.93421052629</v>
      </c>
      <c r="I35" s="93">
        <f>'Project Overview'!$D$12/12</f>
        <v>125000</v>
      </c>
      <c r="J35" s="100">
        <f>'Project Overview'!$D$13/12</f>
        <v>90171.116666666654</v>
      </c>
      <c r="K35" s="95">
        <v>37500</v>
      </c>
      <c r="L35" s="93">
        <f t="shared" si="15"/>
        <v>839254.93421052629</v>
      </c>
      <c r="M35" s="93">
        <f>'Project Overview'!$C$12/12</f>
        <v>270000</v>
      </c>
      <c r="N35" s="93">
        <f>'Project Overview'!$C$13/12</f>
        <v>68107.666666666672</v>
      </c>
      <c r="O35" s="94">
        <v>0</v>
      </c>
      <c r="P35" s="93">
        <f t="shared" si="16"/>
        <v>0</v>
      </c>
      <c r="Q35" s="93">
        <f>'Project Overview'!$C$12/12</f>
        <v>270000</v>
      </c>
      <c r="R35" s="93">
        <f>'Project Overview'!$C$13/12</f>
        <v>68107.666666666672</v>
      </c>
      <c r="S35" s="94">
        <v>0</v>
      </c>
      <c r="T35" s="93">
        <f t="shared" si="17"/>
        <v>0</v>
      </c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</row>
    <row r="36" spans="1:32" ht="15.75" customHeight="1">
      <c r="A36" s="87">
        <v>31</v>
      </c>
      <c r="B36" s="93">
        <f t="shared" si="11"/>
        <v>1206545.1038461539</v>
      </c>
      <c r="C36" s="94">
        <f t="shared" si="12"/>
        <v>112500</v>
      </c>
      <c r="D36" s="93">
        <f t="shared" si="13"/>
        <v>1311219.6987854249</v>
      </c>
      <c r="E36" s="93">
        <f>('Project Overview'!$E$4/12)</f>
        <v>125000</v>
      </c>
      <c r="F36" s="93">
        <f>'Project Overview'!$E$5/12</f>
        <v>190158.65384615384</v>
      </c>
      <c r="G36" s="94">
        <v>75000</v>
      </c>
      <c r="H36" s="93">
        <f t="shared" si="14"/>
        <v>1678509.8684210526</v>
      </c>
      <c r="I36" s="93">
        <f>'Project Overview'!$D$12/12</f>
        <v>125000</v>
      </c>
      <c r="J36" s="100">
        <f>'Project Overview'!$D$13/12</f>
        <v>90171.116666666654</v>
      </c>
      <c r="K36" s="95">
        <v>37500</v>
      </c>
      <c r="L36" s="93">
        <f t="shared" si="15"/>
        <v>839254.93421052629</v>
      </c>
      <c r="M36" s="93">
        <f>'Project Overview'!$C$12/12</f>
        <v>270000</v>
      </c>
      <c r="N36" s="93">
        <f>'Project Overview'!$C$13/12</f>
        <v>68107.666666666672</v>
      </c>
      <c r="O36" s="94">
        <v>0</v>
      </c>
      <c r="P36" s="93">
        <f t="shared" si="16"/>
        <v>0</v>
      </c>
      <c r="Q36" s="93">
        <f>'Project Overview'!$C$12/12</f>
        <v>270000</v>
      </c>
      <c r="R36" s="93">
        <f>'Project Overview'!$C$13/12</f>
        <v>68107.666666666672</v>
      </c>
      <c r="S36" s="94">
        <v>0</v>
      </c>
      <c r="T36" s="93">
        <f t="shared" si="17"/>
        <v>0</v>
      </c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</row>
    <row r="37" spans="1:32" ht="15.75" customHeight="1">
      <c r="A37" s="87">
        <v>32</v>
      </c>
      <c r="B37" s="93">
        <f t="shared" si="11"/>
        <v>1206545.1038461539</v>
      </c>
      <c r="C37" s="94">
        <f t="shared" si="12"/>
        <v>112500</v>
      </c>
      <c r="D37" s="93">
        <f t="shared" si="13"/>
        <v>1311219.6987854249</v>
      </c>
      <c r="E37" s="93">
        <f>('Project Overview'!$E$4/12)</f>
        <v>125000</v>
      </c>
      <c r="F37" s="93">
        <f>'Project Overview'!$E$5/12</f>
        <v>190158.65384615384</v>
      </c>
      <c r="G37" s="94">
        <v>75000</v>
      </c>
      <c r="H37" s="93">
        <f t="shared" si="14"/>
        <v>1678509.8684210526</v>
      </c>
      <c r="I37" s="93">
        <f>'Project Overview'!$D$12/12</f>
        <v>125000</v>
      </c>
      <c r="J37" s="100">
        <f>'Project Overview'!$D$13/12</f>
        <v>90171.116666666654</v>
      </c>
      <c r="K37" s="95">
        <v>37500</v>
      </c>
      <c r="L37" s="93">
        <f t="shared" si="15"/>
        <v>839254.93421052629</v>
      </c>
      <c r="M37" s="93">
        <f>'Project Overview'!$C$12/12</f>
        <v>270000</v>
      </c>
      <c r="N37" s="93">
        <f>'Project Overview'!$C$13/12</f>
        <v>68107.666666666672</v>
      </c>
      <c r="O37" s="94">
        <v>0</v>
      </c>
      <c r="P37" s="93">
        <f t="shared" si="16"/>
        <v>0</v>
      </c>
      <c r="Q37" s="93">
        <f>'Project Overview'!$C$12/12</f>
        <v>270000</v>
      </c>
      <c r="R37" s="93">
        <f>'Project Overview'!$C$13/12</f>
        <v>68107.666666666672</v>
      </c>
      <c r="S37" s="94">
        <v>0</v>
      </c>
      <c r="T37" s="93">
        <f t="shared" si="17"/>
        <v>0</v>
      </c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</row>
    <row r="38" spans="1:32" ht="15.75" customHeight="1">
      <c r="A38" s="87">
        <v>33</v>
      </c>
      <c r="B38" s="93">
        <f t="shared" si="11"/>
        <v>1206545.1038461539</v>
      </c>
      <c r="C38" s="94">
        <f t="shared" si="12"/>
        <v>112500</v>
      </c>
      <c r="D38" s="93">
        <f t="shared" si="13"/>
        <v>1311219.6987854249</v>
      </c>
      <c r="E38" s="93">
        <f>('Project Overview'!$E$4/12)</f>
        <v>125000</v>
      </c>
      <c r="F38" s="93">
        <f>'Project Overview'!$E$5/12</f>
        <v>190158.65384615384</v>
      </c>
      <c r="G38" s="94">
        <v>75000</v>
      </c>
      <c r="H38" s="93">
        <f t="shared" si="14"/>
        <v>1678509.8684210526</v>
      </c>
      <c r="I38" s="93">
        <f>'Project Overview'!$D$12/12</f>
        <v>125000</v>
      </c>
      <c r="J38" s="100">
        <f>'Project Overview'!$D$13/12</f>
        <v>90171.116666666654</v>
      </c>
      <c r="K38" s="95">
        <v>37500</v>
      </c>
      <c r="L38" s="93">
        <f t="shared" si="15"/>
        <v>839254.93421052629</v>
      </c>
      <c r="M38" s="93">
        <f>'Project Overview'!$C$12/12</f>
        <v>270000</v>
      </c>
      <c r="N38" s="93">
        <f>'Project Overview'!$C$13/12</f>
        <v>68107.666666666672</v>
      </c>
      <c r="O38" s="94">
        <v>0</v>
      </c>
      <c r="P38" s="93">
        <f t="shared" si="16"/>
        <v>0</v>
      </c>
      <c r="Q38" s="93">
        <f>'Project Overview'!$C$12/12</f>
        <v>270000</v>
      </c>
      <c r="R38" s="93">
        <f>'Project Overview'!$C$13/12</f>
        <v>68107.666666666672</v>
      </c>
      <c r="S38" s="94">
        <v>0</v>
      </c>
      <c r="T38" s="93">
        <f t="shared" si="17"/>
        <v>0</v>
      </c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</row>
    <row r="39" spans="1:32" ht="15.75" customHeight="1">
      <c r="A39" s="87">
        <v>34</v>
      </c>
      <c r="B39" s="93">
        <f t="shared" si="11"/>
        <v>1206545.1038461539</v>
      </c>
      <c r="C39" s="94">
        <f t="shared" si="12"/>
        <v>112500</v>
      </c>
      <c r="D39" s="93">
        <f t="shared" si="13"/>
        <v>1311219.6987854249</v>
      </c>
      <c r="E39" s="93">
        <f>('Project Overview'!$E$4/12)</f>
        <v>125000</v>
      </c>
      <c r="F39" s="93">
        <f>'Project Overview'!$E$5/12</f>
        <v>190158.65384615384</v>
      </c>
      <c r="G39" s="94">
        <v>75000</v>
      </c>
      <c r="H39" s="93">
        <f t="shared" si="14"/>
        <v>1678509.8684210526</v>
      </c>
      <c r="I39" s="93">
        <f>'Project Overview'!$D$12/12</f>
        <v>125000</v>
      </c>
      <c r="J39" s="100">
        <f>'Project Overview'!$D$13/12</f>
        <v>90171.116666666654</v>
      </c>
      <c r="K39" s="95">
        <v>37500</v>
      </c>
      <c r="L39" s="93">
        <f t="shared" si="15"/>
        <v>839254.93421052629</v>
      </c>
      <c r="M39" s="93">
        <f>'Project Overview'!$C$12/12</f>
        <v>270000</v>
      </c>
      <c r="N39" s="93">
        <f>'Project Overview'!$C$13/12</f>
        <v>68107.666666666672</v>
      </c>
      <c r="O39" s="94">
        <v>0</v>
      </c>
      <c r="P39" s="93">
        <f t="shared" si="16"/>
        <v>0</v>
      </c>
      <c r="Q39" s="93">
        <f>'Project Overview'!$C$12/12</f>
        <v>270000</v>
      </c>
      <c r="R39" s="93">
        <f>'Project Overview'!$C$13/12</f>
        <v>68107.666666666672</v>
      </c>
      <c r="S39" s="94">
        <v>0</v>
      </c>
      <c r="T39" s="93">
        <f t="shared" si="17"/>
        <v>0</v>
      </c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</row>
    <row r="40" spans="1:32" ht="15.75" customHeight="1">
      <c r="A40" s="87">
        <v>35</v>
      </c>
      <c r="B40" s="93">
        <f t="shared" si="11"/>
        <v>1206545.1038461539</v>
      </c>
      <c r="C40" s="94">
        <f t="shared" si="12"/>
        <v>112500</v>
      </c>
      <c r="D40" s="93">
        <f t="shared" si="13"/>
        <v>1311219.6987854249</v>
      </c>
      <c r="E40" s="93">
        <f>('Project Overview'!$E$4/12)</f>
        <v>125000</v>
      </c>
      <c r="F40" s="93">
        <f>'Project Overview'!$E$5/12</f>
        <v>190158.65384615384</v>
      </c>
      <c r="G40" s="94">
        <v>75000</v>
      </c>
      <c r="H40" s="93">
        <f t="shared" si="14"/>
        <v>1678509.8684210526</v>
      </c>
      <c r="I40" s="93">
        <f>'Project Overview'!$D$12/12</f>
        <v>125000</v>
      </c>
      <c r="J40" s="100">
        <f>'Project Overview'!$D$13/12</f>
        <v>90171.116666666654</v>
      </c>
      <c r="K40" s="95">
        <v>37500</v>
      </c>
      <c r="L40" s="93">
        <f t="shared" si="15"/>
        <v>839254.93421052629</v>
      </c>
      <c r="M40" s="93">
        <f>'Project Overview'!$C$12/12</f>
        <v>270000</v>
      </c>
      <c r="N40" s="93">
        <f>'Project Overview'!$C$13/12</f>
        <v>68107.666666666672</v>
      </c>
      <c r="O40" s="94">
        <v>0</v>
      </c>
      <c r="P40" s="93">
        <f t="shared" si="16"/>
        <v>0</v>
      </c>
      <c r="Q40" s="93">
        <f>'Project Overview'!$C$12/12</f>
        <v>270000</v>
      </c>
      <c r="R40" s="93">
        <f>'Project Overview'!$C$13/12</f>
        <v>68107.666666666672</v>
      </c>
      <c r="S40" s="94">
        <v>0</v>
      </c>
      <c r="T40" s="93">
        <f t="shared" si="17"/>
        <v>0</v>
      </c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</row>
    <row r="41" spans="1:32" ht="15.75" customHeight="1">
      <c r="A41" s="87">
        <v>36</v>
      </c>
      <c r="B41" s="93">
        <f t="shared" si="11"/>
        <v>1206545.1038461539</v>
      </c>
      <c r="C41" s="94">
        <f t="shared" si="12"/>
        <v>112500</v>
      </c>
      <c r="D41" s="93">
        <f t="shared" si="13"/>
        <v>1311219.6987854249</v>
      </c>
      <c r="E41" s="93">
        <f>('Project Overview'!$E$4/12)</f>
        <v>125000</v>
      </c>
      <c r="F41" s="93">
        <f>'Project Overview'!$E$5/12</f>
        <v>190158.65384615384</v>
      </c>
      <c r="G41" s="94">
        <v>75000</v>
      </c>
      <c r="H41" s="93">
        <f t="shared" si="14"/>
        <v>1678509.8684210526</v>
      </c>
      <c r="I41" s="93">
        <f>'Project Overview'!$D$12/12</f>
        <v>125000</v>
      </c>
      <c r="J41" s="100">
        <f>'Project Overview'!$D$13/12</f>
        <v>90171.116666666654</v>
      </c>
      <c r="K41" s="95">
        <v>37500</v>
      </c>
      <c r="L41" s="93">
        <f t="shared" si="15"/>
        <v>839254.93421052629</v>
      </c>
      <c r="M41" s="93">
        <f>'Project Overview'!$C$12/12</f>
        <v>270000</v>
      </c>
      <c r="N41" s="93">
        <f>'Project Overview'!$C$13/12</f>
        <v>68107.666666666672</v>
      </c>
      <c r="O41" s="94">
        <v>0</v>
      </c>
      <c r="P41" s="93">
        <f t="shared" si="16"/>
        <v>0</v>
      </c>
      <c r="Q41" s="93">
        <f>'Project Overview'!$C$12/12</f>
        <v>270000</v>
      </c>
      <c r="R41" s="93">
        <f>'Project Overview'!$C$13/12</f>
        <v>68107.666666666672</v>
      </c>
      <c r="S41" s="94">
        <v>0</v>
      </c>
      <c r="T41" s="93">
        <f t="shared" si="17"/>
        <v>0</v>
      </c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</row>
    <row r="42" spans="1:32" ht="15.75" customHeight="1">
      <c r="A42" s="96" t="s">
        <v>75</v>
      </c>
      <c r="B42" s="97">
        <f t="shared" ref="B42:T42" si="18">SUM(B30:B41)</f>
        <v>14478541.246153845</v>
      </c>
      <c r="C42" s="98">
        <f t="shared" si="18"/>
        <v>1125000</v>
      </c>
      <c r="D42" s="97">
        <f t="shared" si="18"/>
        <v>10699106.780161941</v>
      </c>
      <c r="E42" s="97">
        <f t="shared" si="18"/>
        <v>1500000</v>
      </c>
      <c r="F42" s="97">
        <f t="shared" si="18"/>
        <v>2281903.8461538455</v>
      </c>
      <c r="G42" s="98">
        <f t="shared" si="18"/>
        <v>675000</v>
      </c>
      <c r="H42" s="97">
        <f t="shared" si="18"/>
        <v>15106588.815789469</v>
      </c>
      <c r="I42" s="97">
        <f t="shared" si="18"/>
        <v>1500000</v>
      </c>
      <c r="J42" s="101">
        <f t="shared" si="18"/>
        <v>1082053.4000000001</v>
      </c>
      <c r="K42" s="99">
        <f t="shared" si="18"/>
        <v>450000</v>
      </c>
      <c r="L42" s="97">
        <f t="shared" si="18"/>
        <v>10071059.210526312</v>
      </c>
      <c r="M42" s="97">
        <f t="shared" si="18"/>
        <v>3240000</v>
      </c>
      <c r="N42" s="97">
        <f t="shared" si="18"/>
        <v>817291.99999999988</v>
      </c>
      <c r="O42" s="98">
        <f t="shared" si="18"/>
        <v>0</v>
      </c>
      <c r="P42" s="97">
        <f t="shared" si="18"/>
        <v>0</v>
      </c>
      <c r="Q42" s="97">
        <f t="shared" si="18"/>
        <v>3240000</v>
      </c>
      <c r="R42" s="97">
        <f t="shared" si="18"/>
        <v>817291.99999999988</v>
      </c>
      <c r="S42" s="98">
        <f t="shared" si="18"/>
        <v>0</v>
      </c>
      <c r="T42" s="97">
        <f t="shared" si="18"/>
        <v>0</v>
      </c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</row>
    <row r="43" spans="1:32" ht="15.75" customHeight="1">
      <c r="A43" s="87">
        <v>37</v>
      </c>
      <c r="B43" s="93">
        <f t="shared" ref="B43:B54" si="19">E43+F43+I43+J43+M43+N43+Q43+R43+U43+V43+Y43+Z43+AC43+AD43</f>
        <v>1448968.9799542127</v>
      </c>
      <c r="C43" s="94">
        <f t="shared" ref="C43:C54" si="20">G43+K43+O43+S43+W43+AA43+AE43</f>
        <v>225000</v>
      </c>
      <c r="D43" s="93">
        <f t="shared" ref="D43:D54" si="21">(H43+L43+P43+T43+X43+AB43+AF43)-B43</f>
        <v>3586560.6253089439</v>
      </c>
      <c r="E43" s="93">
        <f>'Project Overview'!$F$4/12</f>
        <v>0</v>
      </c>
      <c r="F43" s="93">
        <f>'Project Overview'!$F$5/12</f>
        <v>238714.62912087911</v>
      </c>
      <c r="G43" s="94">
        <v>75000</v>
      </c>
      <c r="H43" s="93">
        <f t="shared" ref="H43:H54" si="22">G43*($H$2-$F$2)</f>
        <v>1678509.8684210526</v>
      </c>
      <c r="I43" s="95">
        <f>'Project Overview'!$E$12/12</f>
        <v>0</v>
      </c>
      <c r="J43" s="100">
        <f>'Project Overview'!$E$13/12</f>
        <v>103696.78416666666</v>
      </c>
      <c r="K43" s="94">
        <v>75000</v>
      </c>
      <c r="L43" s="93">
        <f t="shared" ref="L43:L54" si="23">K43*($L$2-$J$2)</f>
        <v>1678509.8684210526</v>
      </c>
      <c r="M43" s="93">
        <f>'Project Overview'!$D$12/12</f>
        <v>125000</v>
      </c>
      <c r="N43" s="100">
        <f>'Project Overview'!$D$13/12</f>
        <v>90171.116666666654</v>
      </c>
      <c r="O43" s="95">
        <v>37500</v>
      </c>
      <c r="P43" s="93">
        <f t="shared" ref="P43:P54" si="24">O43*($P$2-$N$2)</f>
        <v>839254.93421052629</v>
      </c>
      <c r="Q43" s="93">
        <f>'Project Overview'!$D$12/12</f>
        <v>125000</v>
      </c>
      <c r="R43" s="100">
        <f>'Project Overview'!$D$13/12</f>
        <v>90171.116666666654</v>
      </c>
      <c r="S43" s="95">
        <v>37500</v>
      </c>
      <c r="T43" s="93">
        <f t="shared" ref="T43:T54" si="25">S43*($T$2-$R$2)</f>
        <v>839254.93421052629</v>
      </c>
      <c r="U43" s="93">
        <f>'Project Overview'!$C$12/12</f>
        <v>270000</v>
      </c>
      <c r="V43" s="93">
        <f>'Project Overview'!$C$13/12</f>
        <v>68107.666666666672</v>
      </c>
      <c r="W43" s="94">
        <v>0</v>
      </c>
      <c r="X43" s="93">
        <f t="shared" ref="X43:X54" si="26">W43*($X$2-$V$2)</f>
        <v>0</v>
      </c>
      <c r="Y43" s="93">
        <f>'Project Overview'!$C$12/12</f>
        <v>270000</v>
      </c>
      <c r="Z43" s="93">
        <f>'Project Overview'!$C$13/12</f>
        <v>68107.666666666672</v>
      </c>
      <c r="AA43" s="94">
        <v>0</v>
      </c>
      <c r="AB43" s="93">
        <f t="shared" ref="AB43:AB54" si="27">AA43*($AB$2-$Z$2)</f>
        <v>0</v>
      </c>
      <c r="AC43" s="95"/>
      <c r="AD43" s="95"/>
      <c r="AE43" s="95"/>
      <c r="AF43" s="95"/>
    </row>
    <row r="44" spans="1:32" ht="15.75" customHeight="1">
      <c r="A44" s="87">
        <v>38</v>
      </c>
      <c r="B44" s="93">
        <f t="shared" si="19"/>
        <v>1448968.9799542127</v>
      </c>
      <c r="C44" s="94">
        <f t="shared" si="20"/>
        <v>225000</v>
      </c>
      <c r="D44" s="93">
        <f t="shared" si="21"/>
        <v>3586560.6253089439</v>
      </c>
      <c r="E44" s="93">
        <f>'Project Overview'!$F$4/12</f>
        <v>0</v>
      </c>
      <c r="F44" s="93">
        <f>'Project Overview'!$F$5/12</f>
        <v>238714.62912087911</v>
      </c>
      <c r="G44" s="94">
        <v>75000</v>
      </c>
      <c r="H44" s="93">
        <f t="shared" si="22"/>
        <v>1678509.8684210526</v>
      </c>
      <c r="I44" s="95">
        <f>'Project Overview'!$E$12/12</f>
        <v>0</v>
      </c>
      <c r="J44" s="100">
        <f>'Project Overview'!$E$13/12</f>
        <v>103696.78416666666</v>
      </c>
      <c r="K44" s="94">
        <v>75000</v>
      </c>
      <c r="L44" s="93">
        <f t="shared" si="23"/>
        <v>1678509.8684210526</v>
      </c>
      <c r="M44" s="93">
        <f>'Project Overview'!$D$12/12</f>
        <v>125000</v>
      </c>
      <c r="N44" s="100">
        <f>'Project Overview'!$D$13/12</f>
        <v>90171.116666666654</v>
      </c>
      <c r="O44" s="95">
        <v>37500</v>
      </c>
      <c r="P44" s="93">
        <f t="shared" si="24"/>
        <v>839254.93421052629</v>
      </c>
      <c r="Q44" s="93">
        <f>'Project Overview'!$D$12/12</f>
        <v>125000</v>
      </c>
      <c r="R44" s="100">
        <f>'Project Overview'!$D$13/12</f>
        <v>90171.116666666654</v>
      </c>
      <c r="S44" s="95">
        <v>37500</v>
      </c>
      <c r="T44" s="93">
        <f t="shared" si="25"/>
        <v>839254.93421052629</v>
      </c>
      <c r="U44" s="93">
        <f>'Project Overview'!$C$12/12</f>
        <v>270000</v>
      </c>
      <c r="V44" s="93">
        <f>'Project Overview'!$C$13/12</f>
        <v>68107.666666666672</v>
      </c>
      <c r="W44" s="94">
        <v>0</v>
      </c>
      <c r="X44" s="93">
        <f t="shared" si="26"/>
        <v>0</v>
      </c>
      <c r="Y44" s="93">
        <f>'Project Overview'!$C$12/12</f>
        <v>270000</v>
      </c>
      <c r="Z44" s="93">
        <f>'Project Overview'!$C$13/12</f>
        <v>68107.666666666672</v>
      </c>
      <c r="AA44" s="94">
        <v>0</v>
      </c>
      <c r="AB44" s="93">
        <f t="shared" si="27"/>
        <v>0</v>
      </c>
      <c r="AC44" s="95"/>
      <c r="AD44" s="95"/>
      <c r="AE44" s="95"/>
      <c r="AF44" s="95"/>
    </row>
    <row r="45" spans="1:32" ht="15.75" customHeight="1">
      <c r="A45" s="87">
        <v>39</v>
      </c>
      <c r="B45" s="93">
        <f t="shared" si="19"/>
        <v>1448968.9799542127</v>
      </c>
      <c r="C45" s="94">
        <f t="shared" si="20"/>
        <v>225000</v>
      </c>
      <c r="D45" s="93">
        <f t="shared" si="21"/>
        <v>3586560.6253089439</v>
      </c>
      <c r="E45" s="93">
        <f>'Project Overview'!$F$4/12</f>
        <v>0</v>
      </c>
      <c r="F45" s="93">
        <f>'Project Overview'!$F$5/12</f>
        <v>238714.62912087911</v>
      </c>
      <c r="G45" s="94">
        <v>75000</v>
      </c>
      <c r="H45" s="93">
        <f t="shared" si="22"/>
        <v>1678509.8684210526</v>
      </c>
      <c r="I45" s="95">
        <f>'Project Overview'!$E$12/12</f>
        <v>0</v>
      </c>
      <c r="J45" s="100">
        <f>'Project Overview'!$E$13/12</f>
        <v>103696.78416666666</v>
      </c>
      <c r="K45" s="94">
        <v>75000</v>
      </c>
      <c r="L45" s="93">
        <f t="shared" si="23"/>
        <v>1678509.8684210526</v>
      </c>
      <c r="M45" s="93">
        <f>'Project Overview'!$D$12/12</f>
        <v>125000</v>
      </c>
      <c r="N45" s="100">
        <f>'Project Overview'!$D$13/12</f>
        <v>90171.116666666654</v>
      </c>
      <c r="O45" s="95">
        <v>37500</v>
      </c>
      <c r="P45" s="93">
        <f t="shared" si="24"/>
        <v>839254.93421052629</v>
      </c>
      <c r="Q45" s="93">
        <f>'Project Overview'!$D$12/12</f>
        <v>125000</v>
      </c>
      <c r="R45" s="100">
        <f>'Project Overview'!$D$13/12</f>
        <v>90171.116666666654</v>
      </c>
      <c r="S45" s="95">
        <v>37500</v>
      </c>
      <c r="T45" s="93">
        <f t="shared" si="25"/>
        <v>839254.93421052629</v>
      </c>
      <c r="U45" s="93">
        <f>'Project Overview'!$C$12/12</f>
        <v>270000</v>
      </c>
      <c r="V45" s="93">
        <f>'Project Overview'!$C$13/12</f>
        <v>68107.666666666672</v>
      </c>
      <c r="W45" s="94">
        <v>0</v>
      </c>
      <c r="X45" s="93">
        <f t="shared" si="26"/>
        <v>0</v>
      </c>
      <c r="Y45" s="93">
        <f>'Project Overview'!$C$12/12</f>
        <v>270000</v>
      </c>
      <c r="Z45" s="93">
        <f>'Project Overview'!$C$13/12</f>
        <v>68107.666666666672</v>
      </c>
      <c r="AA45" s="94">
        <v>0</v>
      </c>
      <c r="AB45" s="93">
        <f t="shared" si="27"/>
        <v>0</v>
      </c>
      <c r="AC45" s="95"/>
      <c r="AD45" s="95"/>
      <c r="AE45" s="95"/>
      <c r="AF45" s="95"/>
    </row>
    <row r="46" spans="1:32" ht="15.75" customHeight="1">
      <c r="A46" s="87">
        <v>40</v>
      </c>
      <c r="B46" s="93">
        <f t="shared" si="19"/>
        <v>1448968.9799542127</v>
      </c>
      <c r="C46" s="94">
        <f t="shared" si="20"/>
        <v>225000</v>
      </c>
      <c r="D46" s="93">
        <f t="shared" si="21"/>
        <v>3586560.6253089439</v>
      </c>
      <c r="E46" s="93">
        <f>'Project Overview'!$F$4/12</f>
        <v>0</v>
      </c>
      <c r="F46" s="93">
        <f>'Project Overview'!$F$5/12</f>
        <v>238714.62912087911</v>
      </c>
      <c r="G46" s="94">
        <v>75000</v>
      </c>
      <c r="H46" s="93">
        <f t="shared" si="22"/>
        <v>1678509.8684210526</v>
      </c>
      <c r="I46" s="95">
        <f>'Project Overview'!$E$12/12</f>
        <v>0</v>
      </c>
      <c r="J46" s="100">
        <f>'Project Overview'!$E$13/12</f>
        <v>103696.78416666666</v>
      </c>
      <c r="K46" s="94">
        <v>75000</v>
      </c>
      <c r="L46" s="93">
        <f t="shared" si="23"/>
        <v>1678509.8684210526</v>
      </c>
      <c r="M46" s="93">
        <f>'Project Overview'!$D$12/12</f>
        <v>125000</v>
      </c>
      <c r="N46" s="100">
        <f>'Project Overview'!$D$13/12</f>
        <v>90171.116666666654</v>
      </c>
      <c r="O46" s="95">
        <v>37500</v>
      </c>
      <c r="P46" s="93">
        <f t="shared" si="24"/>
        <v>839254.93421052629</v>
      </c>
      <c r="Q46" s="93">
        <f>'Project Overview'!$D$12/12</f>
        <v>125000</v>
      </c>
      <c r="R46" s="100">
        <f>'Project Overview'!$D$13/12</f>
        <v>90171.116666666654</v>
      </c>
      <c r="S46" s="95">
        <v>37500</v>
      </c>
      <c r="T46" s="93">
        <f t="shared" si="25"/>
        <v>839254.93421052629</v>
      </c>
      <c r="U46" s="93">
        <f>'Project Overview'!$C$12/12</f>
        <v>270000</v>
      </c>
      <c r="V46" s="93">
        <f>'Project Overview'!$C$13/12</f>
        <v>68107.666666666672</v>
      </c>
      <c r="W46" s="94">
        <v>0</v>
      </c>
      <c r="X46" s="93">
        <f t="shared" si="26"/>
        <v>0</v>
      </c>
      <c r="Y46" s="93">
        <f>'Project Overview'!$C$12/12</f>
        <v>270000</v>
      </c>
      <c r="Z46" s="93">
        <f>'Project Overview'!$C$13/12</f>
        <v>68107.666666666672</v>
      </c>
      <c r="AA46" s="94">
        <v>0</v>
      </c>
      <c r="AB46" s="93">
        <f t="shared" si="27"/>
        <v>0</v>
      </c>
      <c r="AC46" s="95"/>
      <c r="AD46" s="95"/>
      <c r="AE46" s="95"/>
      <c r="AF46" s="95"/>
    </row>
    <row r="47" spans="1:32" ht="15.75" customHeight="1">
      <c r="A47" s="87">
        <v>41</v>
      </c>
      <c r="B47" s="93">
        <f t="shared" si="19"/>
        <v>1448968.9799542127</v>
      </c>
      <c r="C47" s="94">
        <f t="shared" si="20"/>
        <v>225000</v>
      </c>
      <c r="D47" s="93">
        <f t="shared" si="21"/>
        <v>3586560.6253089439</v>
      </c>
      <c r="E47" s="93">
        <f>'Project Overview'!$F$4/12</f>
        <v>0</v>
      </c>
      <c r="F47" s="93">
        <f>'Project Overview'!$F$5/12</f>
        <v>238714.62912087911</v>
      </c>
      <c r="G47" s="94">
        <v>75000</v>
      </c>
      <c r="H47" s="93">
        <f t="shared" si="22"/>
        <v>1678509.8684210526</v>
      </c>
      <c r="I47" s="95">
        <f>'Project Overview'!$E$12/12</f>
        <v>0</v>
      </c>
      <c r="J47" s="100">
        <f>'Project Overview'!$E$13/12</f>
        <v>103696.78416666666</v>
      </c>
      <c r="K47" s="94">
        <v>75000</v>
      </c>
      <c r="L47" s="93">
        <f t="shared" si="23"/>
        <v>1678509.8684210526</v>
      </c>
      <c r="M47" s="93">
        <f>'Project Overview'!$D$12/12</f>
        <v>125000</v>
      </c>
      <c r="N47" s="100">
        <f>'Project Overview'!$D$13/12</f>
        <v>90171.116666666654</v>
      </c>
      <c r="O47" s="95">
        <v>37500</v>
      </c>
      <c r="P47" s="93">
        <f t="shared" si="24"/>
        <v>839254.93421052629</v>
      </c>
      <c r="Q47" s="93">
        <f>'Project Overview'!$D$12/12</f>
        <v>125000</v>
      </c>
      <c r="R47" s="100">
        <f>'Project Overview'!$D$13/12</f>
        <v>90171.116666666654</v>
      </c>
      <c r="S47" s="95">
        <v>37500</v>
      </c>
      <c r="T47" s="93">
        <f t="shared" si="25"/>
        <v>839254.93421052629</v>
      </c>
      <c r="U47" s="93">
        <f>'Project Overview'!$C$12/12</f>
        <v>270000</v>
      </c>
      <c r="V47" s="93">
        <f>'Project Overview'!$C$13/12</f>
        <v>68107.666666666672</v>
      </c>
      <c r="W47" s="94">
        <v>0</v>
      </c>
      <c r="X47" s="93">
        <f t="shared" si="26"/>
        <v>0</v>
      </c>
      <c r="Y47" s="93">
        <f>'Project Overview'!$C$12/12</f>
        <v>270000</v>
      </c>
      <c r="Z47" s="93">
        <f>'Project Overview'!$C$13/12</f>
        <v>68107.666666666672</v>
      </c>
      <c r="AA47" s="94">
        <v>0</v>
      </c>
      <c r="AB47" s="93">
        <f t="shared" si="27"/>
        <v>0</v>
      </c>
      <c r="AC47" s="95"/>
      <c r="AD47" s="95"/>
      <c r="AE47" s="95"/>
      <c r="AF47" s="95"/>
    </row>
    <row r="48" spans="1:32" ht="15.75" customHeight="1">
      <c r="A48" s="87">
        <v>42</v>
      </c>
      <c r="B48" s="93">
        <f t="shared" si="19"/>
        <v>1448968.9799542127</v>
      </c>
      <c r="C48" s="94">
        <f t="shared" si="20"/>
        <v>225000</v>
      </c>
      <c r="D48" s="93">
        <f t="shared" si="21"/>
        <v>3586560.6253089439</v>
      </c>
      <c r="E48" s="93">
        <f>'Project Overview'!$F$4/12</f>
        <v>0</v>
      </c>
      <c r="F48" s="93">
        <f>'Project Overview'!$F$5/12</f>
        <v>238714.62912087911</v>
      </c>
      <c r="G48" s="94">
        <v>75000</v>
      </c>
      <c r="H48" s="93">
        <f t="shared" si="22"/>
        <v>1678509.8684210526</v>
      </c>
      <c r="I48" s="95">
        <f>'Project Overview'!$E$12/12</f>
        <v>0</v>
      </c>
      <c r="J48" s="100">
        <f>'Project Overview'!$E$13/12</f>
        <v>103696.78416666666</v>
      </c>
      <c r="K48" s="94">
        <v>75000</v>
      </c>
      <c r="L48" s="93">
        <f t="shared" si="23"/>
        <v>1678509.8684210526</v>
      </c>
      <c r="M48" s="93">
        <f>'Project Overview'!$D$12/12</f>
        <v>125000</v>
      </c>
      <c r="N48" s="100">
        <f>'Project Overview'!$D$13/12</f>
        <v>90171.116666666654</v>
      </c>
      <c r="O48" s="95">
        <v>37500</v>
      </c>
      <c r="P48" s="93">
        <f t="shared" si="24"/>
        <v>839254.93421052629</v>
      </c>
      <c r="Q48" s="93">
        <f>'Project Overview'!$D$12/12</f>
        <v>125000</v>
      </c>
      <c r="R48" s="100">
        <f>'Project Overview'!$D$13/12</f>
        <v>90171.116666666654</v>
      </c>
      <c r="S48" s="95">
        <v>37500</v>
      </c>
      <c r="T48" s="93">
        <f t="shared" si="25"/>
        <v>839254.93421052629</v>
      </c>
      <c r="U48" s="93">
        <f>'Project Overview'!$C$12/12</f>
        <v>270000</v>
      </c>
      <c r="V48" s="93">
        <f>'Project Overview'!$C$13/12</f>
        <v>68107.666666666672</v>
      </c>
      <c r="W48" s="94">
        <v>0</v>
      </c>
      <c r="X48" s="93">
        <f t="shared" si="26"/>
        <v>0</v>
      </c>
      <c r="Y48" s="93">
        <f>'Project Overview'!$C$12/12</f>
        <v>270000</v>
      </c>
      <c r="Z48" s="93">
        <f>'Project Overview'!$C$13/12</f>
        <v>68107.666666666672</v>
      </c>
      <c r="AA48" s="94">
        <v>0</v>
      </c>
      <c r="AB48" s="93">
        <f t="shared" si="27"/>
        <v>0</v>
      </c>
      <c r="AC48" s="95"/>
      <c r="AD48" s="95"/>
      <c r="AE48" s="95"/>
      <c r="AF48" s="95"/>
    </row>
    <row r="49" spans="1:32" ht="15.75" customHeight="1">
      <c r="A49" s="87">
        <v>43</v>
      </c>
      <c r="B49" s="93">
        <f t="shared" si="19"/>
        <v>1448968.9799542127</v>
      </c>
      <c r="C49" s="94">
        <f t="shared" si="20"/>
        <v>225000</v>
      </c>
      <c r="D49" s="93">
        <f t="shared" si="21"/>
        <v>3586560.6253089439</v>
      </c>
      <c r="E49" s="93">
        <f>'Project Overview'!$F$4/12</f>
        <v>0</v>
      </c>
      <c r="F49" s="93">
        <f>'Project Overview'!$F$5/12</f>
        <v>238714.62912087911</v>
      </c>
      <c r="G49" s="94">
        <v>75000</v>
      </c>
      <c r="H49" s="93">
        <f t="shared" si="22"/>
        <v>1678509.8684210526</v>
      </c>
      <c r="I49" s="95">
        <f>'Project Overview'!$E$12/12</f>
        <v>0</v>
      </c>
      <c r="J49" s="100">
        <f>'Project Overview'!$E$13/12</f>
        <v>103696.78416666666</v>
      </c>
      <c r="K49" s="94">
        <v>75000</v>
      </c>
      <c r="L49" s="93">
        <f t="shared" si="23"/>
        <v>1678509.8684210526</v>
      </c>
      <c r="M49" s="93">
        <f>'Project Overview'!$D$12/12</f>
        <v>125000</v>
      </c>
      <c r="N49" s="100">
        <f>'Project Overview'!$D$13/12</f>
        <v>90171.116666666654</v>
      </c>
      <c r="O49" s="95">
        <v>37500</v>
      </c>
      <c r="P49" s="93">
        <f t="shared" si="24"/>
        <v>839254.93421052629</v>
      </c>
      <c r="Q49" s="93">
        <f>'Project Overview'!$D$12/12</f>
        <v>125000</v>
      </c>
      <c r="R49" s="100">
        <f>'Project Overview'!$D$13/12</f>
        <v>90171.116666666654</v>
      </c>
      <c r="S49" s="95">
        <v>37500</v>
      </c>
      <c r="T49" s="93">
        <f t="shared" si="25"/>
        <v>839254.93421052629</v>
      </c>
      <c r="U49" s="93">
        <f>'Project Overview'!$C$12/12</f>
        <v>270000</v>
      </c>
      <c r="V49" s="93">
        <f>'Project Overview'!$C$13/12</f>
        <v>68107.666666666672</v>
      </c>
      <c r="W49" s="94">
        <v>0</v>
      </c>
      <c r="X49" s="93">
        <f t="shared" si="26"/>
        <v>0</v>
      </c>
      <c r="Y49" s="93">
        <f>'Project Overview'!$C$12/12</f>
        <v>270000</v>
      </c>
      <c r="Z49" s="93">
        <f>'Project Overview'!$C$13/12</f>
        <v>68107.666666666672</v>
      </c>
      <c r="AA49" s="94">
        <v>0</v>
      </c>
      <c r="AB49" s="93">
        <f t="shared" si="27"/>
        <v>0</v>
      </c>
      <c r="AC49" s="95"/>
      <c r="AD49" s="95"/>
      <c r="AE49" s="95"/>
      <c r="AF49" s="95"/>
    </row>
    <row r="50" spans="1:32" ht="15.75" customHeight="1">
      <c r="A50" s="87">
        <v>44</v>
      </c>
      <c r="B50" s="93">
        <f t="shared" si="19"/>
        <v>1448968.9799542127</v>
      </c>
      <c r="C50" s="94">
        <f t="shared" si="20"/>
        <v>225000</v>
      </c>
      <c r="D50" s="93">
        <f t="shared" si="21"/>
        <v>3586560.6253089439</v>
      </c>
      <c r="E50" s="93">
        <f>'Project Overview'!$F$4/12</f>
        <v>0</v>
      </c>
      <c r="F50" s="93">
        <f>'Project Overview'!$F$5/12</f>
        <v>238714.62912087911</v>
      </c>
      <c r="G50" s="94">
        <v>75000</v>
      </c>
      <c r="H50" s="93">
        <f t="shared" si="22"/>
        <v>1678509.8684210526</v>
      </c>
      <c r="I50" s="95">
        <f>'Project Overview'!$E$12/12</f>
        <v>0</v>
      </c>
      <c r="J50" s="100">
        <f>'Project Overview'!$E$13/12</f>
        <v>103696.78416666666</v>
      </c>
      <c r="K50" s="94">
        <v>75000</v>
      </c>
      <c r="L50" s="93">
        <f t="shared" si="23"/>
        <v>1678509.8684210526</v>
      </c>
      <c r="M50" s="93">
        <f>'Project Overview'!$D$12/12</f>
        <v>125000</v>
      </c>
      <c r="N50" s="100">
        <f>'Project Overview'!$D$13/12</f>
        <v>90171.116666666654</v>
      </c>
      <c r="O50" s="95">
        <v>37500</v>
      </c>
      <c r="P50" s="93">
        <f t="shared" si="24"/>
        <v>839254.93421052629</v>
      </c>
      <c r="Q50" s="93">
        <f>'Project Overview'!$D$12/12</f>
        <v>125000</v>
      </c>
      <c r="R50" s="100">
        <f>'Project Overview'!$D$13/12</f>
        <v>90171.116666666654</v>
      </c>
      <c r="S50" s="95">
        <v>37500</v>
      </c>
      <c r="T50" s="93">
        <f t="shared" si="25"/>
        <v>839254.93421052629</v>
      </c>
      <c r="U50" s="93">
        <f>'Project Overview'!$C$12/12</f>
        <v>270000</v>
      </c>
      <c r="V50" s="93">
        <f>'Project Overview'!$C$13/12</f>
        <v>68107.666666666672</v>
      </c>
      <c r="W50" s="94">
        <v>0</v>
      </c>
      <c r="X50" s="93">
        <f t="shared" si="26"/>
        <v>0</v>
      </c>
      <c r="Y50" s="93">
        <f>'Project Overview'!$C$12/12</f>
        <v>270000</v>
      </c>
      <c r="Z50" s="93">
        <f>'Project Overview'!$C$13/12</f>
        <v>68107.666666666672</v>
      </c>
      <c r="AA50" s="94">
        <v>0</v>
      </c>
      <c r="AB50" s="93">
        <f t="shared" si="27"/>
        <v>0</v>
      </c>
      <c r="AC50" s="95"/>
      <c r="AD50" s="95"/>
      <c r="AE50" s="95"/>
      <c r="AF50" s="95"/>
    </row>
    <row r="51" spans="1:32" ht="15.75" customHeight="1">
      <c r="A51" s="87">
        <v>45</v>
      </c>
      <c r="B51" s="93">
        <f t="shared" si="19"/>
        <v>1448968.9799542127</v>
      </c>
      <c r="C51" s="94">
        <f t="shared" si="20"/>
        <v>225000</v>
      </c>
      <c r="D51" s="93">
        <f t="shared" si="21"/>
        <v>3586560.6253089439</v>
      </c>
      <c r="E51" s="93">
        <f>'Project Overview'!$F$4/12</f>
        <v>0</v>
      </c>
      <c r="F51" s="93">
        <f>'Project Overview'!$F$5/12</f>
        <v>238714.62912087911</v>
      </c>
      <c r="G51" s="94">
        <v>75000</v>
      </c>
      <c r="H51" s="93">
        <f t="shared" si="22"/>
        <v>1678509.8684210526</v>
      </c>
      <c r="I51" s="95">
        <f>'Project Overview'!$E$12/12</f>
        <v>0</v>
      </c>
      <c r="J51" s="100">
        <f>'Project Overview'!$E$13/12</f>
        <v>103696.78416666666</v>
      </c>
      <c r="K51" s="94">
        <v>75000</v>
      </c>
      <c r="L51" s="93">
        <f t="shared" si="23"/>
        <v>1678509.8684210526</v>
      </c>
      <c r="M51" s="93">
        <f>'Project Overview'!$D$12/12</f>
        <v>125000</v>
      </c>
      <c r="N51" s="100">
        <f>'Project Overview'!$D$13/12</f>
        <v>90171.116666666654</v>
      </c>
      <c r="O51" s="95">
        <v>37500</v>
      </c>
      <c r="P51" s="93">
        <f t="shared" si="24"/>
        <v>839254.93421052629</v>
      </c>
      <c r="Q51" s="93">
        <f>'Project Overview'!$D$12/12</f>
        <v>125000</v>
      </c>
      <c r="R51" s="100">
        <f>'Project Overview'!$D$13/12</f>
        <v>90171.116666666654</v>
      </c>
      <c r="S51" s="95">
        <v>37500</v>
      </c>
      <c r="T51" s="93">
        <f t="shared" si="25"/>
        <v>839254.93421052629</v>
      </c>
      <c r="U51" s="93">
        <f>'Project Overview'!$C$12/12</f>
        <v>270000</v>
      </c>
      <c r="V51" s="93">
        <f>'Project Overview'!$C$13/12</f>
        <v>68107.666666666672</v>
      </c>
      <c r="W51" s="94">
        <v>0</v>
      </c>
      <c r="X51" s="93">
        <f t="shared" si="26"/>
        <v>0</v>
      </c>
      <c r="Y51" s="93">
        <f>'Project Overview'!$C$12/12</f>
        <v>270000</v>
      </c>
      <c r="Z51" s="93">
        <f>'Project Overview'!$C$13/12</f>
        <v>68107.666666666672</v>
      </c>
      <c r="AA51" s="94">
        <v>0</v>
      </c>
      <c r="AB51" s="93">
        <f t="shared" si="27"/>
        <v>0</v>
      </c>
      <c r="AC51" s="95"/>
      <c r="AD51" s="95"/>
      <c r="AE51" s="95"/>
      <c r="AF51" s="95"/>
    </row>
    <row r="52" spans="1:32" ht="15.75" customHeight="1">
      <c r="A52" s="87">
        <v>46</v>
      </c>
      <c r="B52" s="93">
        <f t="shared" si="19"/>
        <v>1448968.9799542127</v>
      </c>
      <c r="C52" s="94">
        <f t="shared" si="20"/>
        <v>225000</v>
      </c>
      <c r="D52" s="93">
        <f t="shared" si="21"/>
        <v>3586560.6253089439</v>
      </c>
      <c r="E52" s="93">
        <f>'Project Overview'!$F$4/12</f>
        <v>0</v>
      </c>
      <c r="F52" s="93">
        <f>'Project Overview'!$F$5/12</f>
        <v>238714.62912087911</v>
      </c>
      <c r="G52" s="94">
        <v>75000</v>
      </c>
      <c r="H52" s="93">
        <f t="shared" si="22"/>
        <v>1678509.8684210526</v>
      </c>
      <c r="I52" s="95">
        <f>'Project Overview'!$E$12/12</f>
        <v>0</v>
      </c>
      <c r="J52" s="100">
        <f>'Project Overview'!$E$13/12</f>
        <v>103696.78416666666</v>
      </c>
      <c r="K52" s="94">
        <v>75000</v>
      </c>
      <c r="L52" s="93">
        <f t="shared" si="23"/>
        <v>1678509.8684210526</v>
      </c>
      <c r="M52" s="93">
        <f>'Project Overview'!$D$12/12</f>
        <v>125000</v>
      </c>
      <c r="N52" s="100">
        <f>'Project Overview'!$D$13/12</f>
        <v>90171.116666666654</v>
      </c>
      <c r="O52" s="95">
        <v>37500</v>
      </c>
      <c r="P52" s="93">
        <f t="shared" si="24"/>
        <v>839254.93421052629</v>
      </c>
      <c r="Q52" s="93">
        <f>'Project Overview'!$D$12/12</f>
        <v>125000</v>
      </c>
      <c r="R52" s="100">
        <f>'Project Overview'!$D$13/12</f>
        <v>90171.116666666654</v>
      </c>
      <c r="S52" s="95">
        <v>37500</v>
      </c>
      <c r="T52" s="93">
        <f t="shared" si="25"/>
        <v>839254.93421052629</v>
      </c>
      <c r="U52" s="93">
        <f>'Project Overview'!$C$12/12</f>
        <v>270000</v>
      </c>
      <c r="V52" s="93">
        <f>'Project Overview'!$C$13/12</f>
        <v>68107.666666666672</v>
      </c>
      <c r="W52" s="94">
        <v>0</v>
      </c>
      <c r="X52" s="93">
        <f t="shared" si="26"/>
        <v>0</v>
      </c>
      <c r="Y52" s="93">
        <f>'Project Overview'!$C$12/12</f>
        <v>270000</v>
      </c>
      <c r="Z52" s="93">
        <f>'Project Overview'!$C$13/12</f>
        <v>68107.666666666672</v>
      </c>
      <c r="AA52" s="94">
        <v>0</v>
      </c>
      <c r="AB52" s="93">
        <f t="shared" si="27"/>
        <v>0</v>
      </c>
      <c r="AC52" s="95"/>
      <c r="AD52" s="95"/>
      <c r="AE52" s="95"/>
      <c r="AF52" s="95"/>
    </row>
    <row r="53" spans="1:32" ht="15.75" customHeight="1">
      <c r="A53" s="87">
        <v>47</v>
      </c>
      <c r="B53" s="93">
        <f t="shared" si="19"/>
        <v>1448968.9799542127</v>
      </c>
      <c r="C53" s="94">
        <f t="shared" si="20"/>
        <v>225000</v>
      </c>
      <c r="D53" s="93">
        <f t="shared" si="21"/>
        <v>3586560.6253089439</v>
      </c>
      <c r="E53" s="93">
        <f>'Project Overview'!$F$4/12</f>
        <v>0</v>
      </c>
      <c r="F53" s="93">
        <f>'Project Overview'!$F$5/12</f>
        <v>238714.62912087911</v>
      </c>
      <c r="G53" s="94">
        <v>75000</v>
      </c>
      <c r="H53" s="93">
        <f t="shared" si="22"/>
        <v>1678509.8684210526</v>
      </c>
      <c r="I53" s="95">
        <f>'Project Overview'!$E$12/12</f>
        <v>0</v>
      </c>
      <c r="J53" s="100">
        <f>'Project Overview'!$E$13/12</f>
        <v>103696.78416666666</v>
      </c>
      <c r="K53" s="94">
        <v>75000</v>
      </c>
      <c r="L53" s="93">
        <f t="shared" si="23"/>
        <v>1678509.8684210526</v>
      </c>
      <c r="M53" s="93">
        <f>'Project Overview'!$D$12/12</f>
        <v>125000</v>
      </c>
      <c r="N53" s="100">
        <f>'Project Overview'!$D$13/12</f>
        <v>90171.116666666654</v>
      </c>
      <c r="O53" s="95">
        <v>37500</v>
      </c>
      <c r="P53" s="93">
        <f t="shared" si="24"/>
        <v>839254.93421052629</v>
      </c>
      <c r="Q53" s="93">
        <f>'Project Overview'!$D$12/12</f>
        <v>125000</v>
      </c>
      <c r="R53" s="100">
        <f>'Project Overview'!$D$13/12</f>
        <v>90171.116666666654</v>
      </c>
      <c r="S53" s="95">
        <v>37500</v>
      </c>
      <c r="T53" s="93">
        <f t="shared" si="25"/>
        <v>839254.93421052629</v>
      </c>
      <c r="U53" s="93">
        <f>'Project Overview'!$C$12/12</f>
        <v>270000</v>
      </c>
      <c r="V53" s="93">
        <f>'Project Overview'!$C$13/12</f>
        <v>68107.666666666672</v>
      </c>
      <c r="W53" s="94">
        <v>0</v>
      </c>
      <c r="X53" s="93">
        <f t="shared" si="26"/>
        <v>0</v>
      </c>
      <c r="Y53" s="93">
        <f>'Project Overview'!$C$12/12</f>
        <v>270000</v>
      </c>
      <c r="Z53" s="93">
        <f>'Project Overview'!$C$13/12</f>
        <v>68107.666666666672</v>
      </c>
      <c r="AA53" s="94">
        <v>0</v>
      </c>
      <c r="AB53" s="93">
        <f t="shared" si="27"/>
        <v>0</v>
      </c>
      <c r="AC53" s="95"/>
      <c r="AD53" s="95"/>
      <c r="AE53" s="95"/>
      <c r="AF53" s="95"/>
    </row>
    <row r="54" spans="1:32" ht="13">
      <c r="A54" s="87">
        <v>48</v>
      </c>
      <c r="B54" s="93">
        <f t="shared" si="19"/>
        <v>1448968.9799542127</v>
      </c>
      <c r="C54" s="94">
        <f t="shared" si="20"/>
        <v>225000</v>
      </c>
      <c r="D54" s="93">
        <f t="shared" si="21"/>
        <v>3586560.6253089439</v>
      </c>
      <c r="E54" s="93">
        <f>'Project Overview'!$F$4/12</f>
        <v>0</v>
      </c>
      <c r="F54" s="93">
        <f>'Project Overview'!$F$5/12</f>
        <v>238714.62912087911</v>
      </c>
      <c r="G54" s="94">
        <v>75000</v>
      </c>
      <c r="H54" s="93">
        <f t="shared" si="22"/>
        <v>1678509.8684210526</v>
      </c>
      <c r="I54" s="95">
        <f>'Project Overview'!$E$12/12</f>
        <v>0</v>
      </c>
      <c r="J54" s="100">
        <f>'Project Overview'!$E$13/12</f>
        <v>103696.78416666666</v>
      </c>
      <c r="K54" s="94">
        <v>75000</v>
      </c>
      <c r="L54" s="93">
        <f t="shared" si="23"/>
        <v>1678509.8684210526</v>
      </c>
      <c r="M54" s="93">
        <f>'Project Overview'!$D$12/12</f>
        <v>125000</v>
      </c>
      <c r="N54" s="100">
        <f>'Project Overview'!$D$13/12</f>
        <v>90171.116666666654</v>
      </c>
      <c r="O54" s="95">
        <v>37500</v>
      </c>
      <c r="P54" s="93">
        <f t="shared" si="24"/>
        <v>839254.93421052629</v>
      </c>
      <c r="Q54" s="93">
        <f>'Project Overview'!$D$12/12</f>
        <v>125000</v>
      </c>
      <c r="R54" s="100">
        <f>'Project Overview'!$D$13/12</f>
        <v>90171.116666666654</v>
      </c>
      <c r="S54" s="95">
        <v>37500</v>
      </c>
      <c r="T54" s="93">
        <f t="shared" si="25"/>
        <v>839254.93421052629</v>
      </c>
      <c r="U54" s="93">
        <f>'Project Overview'!$C$12/12</f>
        <v>270000</v>
      </c>
      <c r="V54" s="93">
        <f>'Project Overview'!$C$13/12</f>
        <v>68107.666666666672</v>
      </c>
      <c r="W54" s="94">
        <v>0</v>
      </c>
      <c r="X54" s="93">
        <f t="shared" si="26"/>
        <v>0</v>
      </c>
      <c r="Y54" s="93">
        <f>'Project Overview'!$C$12/12</f>
        <v>270000</v>
      </c>
      <c r="Z54" s="93">
        <f>'Project Overview'!$C$13/12</f>
        <v>68107.666666666672</v>
      </c>
      <c r="AA54" s="94">
        <v>0</v>
      </c>
      <c r="AB54" s="93">
        <f t="shared" si="27"/>
        <v>0</v>
      </c>
      <c r="AC54" s="95"/>
      <c r="AD54" s="95"/>
      <c r="AE54" s="95"/>
      <c r="AF54" s="95"/>
    </row>
    <row r="55" spans="1:32" ht="13">
      <c r="A55" s="96" t="s">
        <v>75</v>
      </c>
      <c r="B55" s="97">
        <f t="shared" ref="B55:AB55" si="28">SUM(B43:B54)</f>
        <v>17387627.759450551</v>
      </c>
      <c r="C55" s="98">
        <f t="shared" si="28"/>
        <v>2700000</v>
      </c>
      <c r="D55" s="97">
        <f t="shared" si="28"/>
        <v>43038727.503707342</v>
      </c>
      <c r="E55" s="97">
        <f t="shared" si="28"/>
        <v>0</v>
      </c>
      <c r="F55" s="97">
        <f t="shared" si="28"/>
        <v>2864575.5494505484</v>
      </c>
      <c r="G55" s="98">
        <f t="shared" si="28"/>
        <v>900000</v>
      </c>
      <c r="H55" s="97">
        <f t="shared" si="28"/>
        <v>20142118.421052624</v>
      </c>
      <c r="I55" s="99">
        <f t="shared" si="28"/>
        <v>0</v>
      </c>
      <c r="J55" s="101">
        <f t="shared" si="28"/>
        <v>1244361.4099999999</v>
      </c>
      <c r="K55" s="98">
        <f t="shared" si="28"/>
        <v>900000</v>
      </c>
      <c r="L55" s="97">
        <f t="shared" si="28"/>
        <v>20142118.421052624</v>
      </c>
      <c r="M55" s="97">
        <f t="shared" si="28"/>
        <v>1500000</v>
      </c>
      <c r="N55" s="101">
        <f t="shared" si="28"/>
        <v>1082053.4000000001</v>
      </c>
      <c r="O55" s="99">
        <f t="shared" si="28"/>
        <v>450000</v>
      </c>
      <c r="P55" s="97">
        <f t="shared" si="28"/>
        <v>10071059.210526312</v>
      </c>
      <c r="Q55" s="97">
        <f t="shared" si="28"/>
        <v>1500000</v>
      </c>
      <c r="R55" s="101">
        <f t="shared" si="28"/>
        <v>1082053.4000000001</v>
      </c>
      <c r="S55" s="99">
        <f t="shared" si="28"/>
        <v>450000</v>
      </c>
      <c r="T55" s="97">
        <f t="shared" si="28"/>
        <v>10071059.210526312</v>
      </c>
      <c r="U55" s="97">
        <f t="shared" si="28"/>
        <v>3240000</v>
      </c>
      <c r="V55" s="97">
        <f t="shared" si="28"/>
        <v>817291.99999999988</v>
      </c>
      <c r="W55" s="98">
        <f t="shared" si="28"/>
        <v>0</v>
      </c>
      <c r="X55" s="97">
        <f t="shared" si="28"/>
        <v>0</v>
      </c>
      <c r="Y55" s="97">
        <f t="shared" si="28"/>
        <v>3240000</v>
      </c>
      <c r="Z55" s="97">
        <f t="shared" si="28"/>
        <v>817291.99999999988</v>
      </c>
      <c r="AA55" s="98">
        <f t="shared" si="28"/>
        <v>0</v>
      </c>
      <c r="AB55" s="97">
        <f t="shared" si="28"/>
        <v>0</v>
      </c>
      <c r="AC55" s="99"/>
      <c r="AD55" s="99"/>
      <c r="AE55" s="99"/>
      <c r="AF55" s="99"/>
    </row>
    <row r="56" spans="1:32" ht="13">
      <c r="A56" s="87">
        <v>49</v>
      </c>
      <c r="B56" s="93">
        <f t="shared" ref="B56:B67" si="29">E56+F56+I56+J56+M56+N56+Q56+R56+U56+V56+Y56+Z56+AC56+AD56</f>
        <v>3024347.7325792126</v>
      </c>
      <c r="C56" s="94">
        <f t="shared" ref="C56:C67" si="30">G56+K56+O56+S56+W56+AA56+AE56</f>
        <v>375000</v>
      </c>
      <c r="D56" s="93">
        <f t="shared" ref="D56:D67" si="31">(H56+L56+P56+T56+X56+AB56+AF56)-B56</f>
        <v>5368201.6095260493</v>
      </c>
      <c r="E56" s="93">
        <f>'Project Overview'!$G$4/12</f>
        <v>0</v>
      </c>
      <c r="F56" s="93">
        <f>'Project Overview'!$G$5/12</f>
        <v>238714.62912087911</v>
      </c>
      <c r="G56" s="94">
        <v>75000</v>
      </c>
      <c r="H56" s="93">
        <f t="shared" ref="H56:H67" si="32">G56*($H$2-$F$2)</f>
        <v>1678509.8684210526</v>
      </c>
      <c r="I56" s="95">
        <f>'Project Overview'!$F$12/12</f>
        <v>0</v>
      </c>
      <c r="J56" s="100">
        <f>'Project Overview'!$F$13/12</f>
        <v>119251.30179166666</v>
      </c>
      <c r="K56" s="94">
        <v>75000</v>
      </c>
      <c r="L56" s="93">
        <f t="shared" ref="L56:L67" si="33">K56*($L$2-$J$2)</f>
        <v>1678509.8684210526</v>
      </c>
      <c r="M56" s="95">
        <f>'Project Overview'!$E$12/12</f>
        <v>0</v>
      </c>
      <c r="N56" s="100">
        <f>'Project Overview'!$E$13/12</f>
        <v>103696.78416666666</v>
      </c>
      <c r="O56" s="94">
        <v>75000</v>
      </c>
      <c r="P56" s="93">
        <f t="shared" ref="P56:P67" si="34">O56*($P$2-$N$2)</f>
        <v>1678509.8684210526</v>
      </c>
      <c r="Q56" s="95">
        <f>'Project Overview'!$E$12/12</f>
        <v>0</v>
      </c>
      <c r="R56" s="100">
        <f>'Project Overview'!$E$13/12</f>
        <v>103696.78416666666</v>
      </c>
      <c r="S56" s="94">
        <v>75000</v>
      </c>
      <c r="T56" s="93">
        <f t="shared" ref="T56:T67" si="35">S56*($T$2-$R$2)</f>
        <v>1678509.8684210526</v>
      </c>
      <c r="U56" s="93">
        <f>'Project Overview'!$D$12/12</f>
        <v>125000</v>
      </c>
      <c r="V56" s="100">
        <f>'Project Overview'!$D$13/12</f>
        <v>90171.116666666654</v>
      </c>
      <c r="W56" s="95">
        <v>37500</v>
      </c>
      <c r="X56" s="93">
        <f t="shared" ref="X56:X67" si="36">W56*($X$2-$V$2)</f>
        <v>839254.93421052629</v>
      </c>
      <c r="Y56" s="93">
        <f>'Project Overview'!$D$12/12</f>
        <v>125000</v>
      </c>
      <c r="Z56" s="100">
        <f>'Project Overview'!$D$13/12</f>
        <v>90171.116666666654</v>
      </c>
      <c r="AA56" s="95">
        <v>37500</v>
      </c>
      <c r="AB56" s="93">
        <f t="shared" ref="AB56:AB67" si="37">AA56*($AB$2-$Z$2)</f>
        <v>839254.93421052629</v>
      </c>
      <c r="AC56" s="93">
        <f>('Project Overview'!$C$12/12)*6</f>
        <v>1620000</v>
      </c>
      <c r="AD56" s="93">
        <f>('Project Overview'!$C$13/12)*6</f>
        <v>408646</v>
      </c>
      <c r="AE56" s="94">
        <f t="shared" ref="AE56:AE67" si="38">0*6</f>
        <v>0</v>
      </c>
      <c r="AF56" s="93">
        <f t="shared" ref="AF56:AF67" si="39">AE56*($AF$2-$AD$2)</f>
        <v>0</v>
      </c>
    </row>
    <row r="57" spans="1:32" ht="13">
      <c r="A57" s="87">
        <v>50</v>
      </c>
      <c r="B57" s="93">
        <f t="shared" si="29"/>
        <v>3024347.7325792126</v>
      </c>
      <c r="C57" s="94">
        <f t="shared" si="30"/>
        <v>375000</v>
      </c>
      <c r="D57" s="93">
        <f t="shared" si="31"/>
        <v>5368201.6095260493</v>
      </c>
      <c r="E57" s="93">
        <f>'Project Overview'!$G$4/12</f>
        <v>0</v>
      </c>
      <c r="F57" s="93">
        <f>'Project Overview'!$G$5/12</f>
        <v>238714.62912087911</v>
      </c>
      <c r="G57" s="94">
        <v>75000</v>
      </c>
      <c r="H57" s="93">
        <f t="shared" si="32"/>
        <v>1678509.8684210526</v>
      </c>
      <c r="I57" s="95">
        <f>'Project Overview'!$F$12/12</f>
        <v>0</v>
      </c>
      <c r="J57" s="100">
        <f>'Project Overview'!$F$13/12</f>
        <v>119251.30179166666</v>
      </c>
      <c r="K57" s="94">
        <v>75000</v>
      </c>
      <c r="L57" s="93">
        <f t="shared" si="33"/>
        <v>1678509.8684210526</v>
      </c>
      <c r="M57" s="95">
        <f>'Project Overview'!$E$12/12</f>
        <v>0</v>
      </c>
      <c r="N57" s="100">
        <f>'Project Overview'!$E$13/12</f>
        <v>103696.78416666666</v>
      </c>
      <c r="O57" s="94">
        <v>75000</v>
      </c>
      <c r="P57" s="93">
        <f t="shared" si="34"/>
        <v>1678509.8684210526</v>
      </c>
      <c r="Q57" s="95">
        <f>'Project Overview'!$E$12/12</f>
        <v>0</v>
      </c>
      <c r="R57" s="100">
        <f>'Project Overview'!$E$13/12</f>
        <v>103696.78416666666</v>
      </c>
      <c r="S57" s="94">
        <v>75000</v>
      </c>
      <c r="T57" s="93">
        <f t="shared" si="35"/>
        <v>1678509.8684210526</v>
      </c>
      <c r="U57" s="93">
        <f>'Project Overview'!$D$12/12</f>
        <v>125000</v>
      </c>
      <c r="V57" s="100">
        <f>'Project Overview'!$D$13/12</f>
        <v>90171.116666666654</v>
      </c>
      <c r="W57" s="95">
        <v>37500</v>
      </c>
      <c r="X57" s="93">
        <f t="shared" si="36"/>
        <v>839254.93421052629</v>
      </c>
      <c r="Y57" s="93">
        <f>'Project Overview'!$D$12/12</f>
        <v>125000</v>
      </c>
      <c r="Z57" s="100">
        <f>'Project Overview'!$D$13/12</f>
        <v>90171.116666666654</v>
      </c>
      <c r="AA57" s="95">
        <v>37500</v>
      </c>
      <c r="AB57" s="93">
        <f t="shared" si="37"/>
        <v>839254.93421052629</v>
      </c>
      <c r="AC57" s="93">
        <f>('Project Overview'!$C$12/12)*6</f>
        <v>1620000</v>
      </c>
      <c r="AD57" s="93">
        <f>('Project Overview'!$C$13/12)*6</f>
        <v>408646</v>
      </c>
      <c r="AE57" s="94">
        <f t="shared" si="38"/>
        <v>0</v>
      </c>
      <c r="AF57" s="93">
        <f t="shared" si="39"/>
        <v>0</v>
      </c>
    </row>
    <row r="58" spans="1:32" ht="13">
      <c r="A58" s="87">
        <v>51</v>
      </c>
      <c r="B58" s="93">
        <f t="shared" si="29"/>
        <v>3024347.7325792126</v>
      </c>
      <c r="C58" s="94">
        <f t="shared" si="30"/>
        <v>375000</v>
      </c>
      <c r="D58" s="93">
        <f t="shared" si="31"/>
        <v>5368201.6095260493</v>
      </c>
      <c r="E58" s="93">
        <f>'Project Overview'!$G$4/12</f>
        <v>0</v>
      </c>
      <c r="F58" s="93">
        <f>'Project Overview'!$G$5/12</f>
        <v>238714.62912087911</v>
      </c>
      <c r="G58" s="94">
        <v>75000</v>
      </c>
      <c r="H58" s="93">
        <f t="shared" si="32"/>
        <v>1678509.8684210526</v>
      </c>
      <c r="I58" s="95">
        <f>'Project Overview'!$F$12/12</f>
        <v>0</v>
      </c>
      <c r="J58" s="100">
        <f>'Project Overview'!$F$13/12</f>
        <v>119251.30179166666</v>
      </c>
      <c r="K58" s="94">
        <v>75000</v>
      </c>
      <c r="L58" s="93">
        <f t="shared" si="33"/>
        <v>1678509.8684210526</v>
      </c>
      <c r="M58" s="95">
        <f>'Project Overview'!$E$12/12</f>
        <v>0</v>
      </c>
      <c r="N58" s="100">
        <f>'Project Overview'!$E$13/12</f>
        <v>103696.78416666666</v>
      </c>
      <c r="O58" s="94">
        <v>75000</v>
      </c>
      <c r="P58" s="93">
        <f t="shared" si="34"/>
        <v>1678509.8684210526</v>
      </c>
      <c r="Q58" s="95">
        <f>'Project Overview'!$E$12/12</f>
        <v>0</v>
      </c>
      <c r="R58" s="100">
        <f>'Project Overview'!$E$13/12</f>
        <v>103696.78416666666</v>
      </c>
      <c r="S58" s="94">
        <v>75000</v>
      </c>
      <c r="T58" s="93">
        <f t="shared" si="35"/>
        <v>1678509.8684210526</v>
      </c>
      <c r="U58" s="93">
        <f>'Project Overview'!$D$12/12</f>
        <v>125000</v>
      </c>
      <c r="V58" s="100">
        <f>'Project Overview'!$D$13/12</f>
        <v>90171.116666666654</v>
      </c>
      <c r="W58" s="95">
        <v>37500</v>
      </c>
      <c r="X58" s="93">
        <f t="shared" si="36"/>
        <v>839254.93421052629</v>
      </c>
      <c r="Y58" s="93">
        <f>'Project Overview'!$D$12/12</f>
        <v>125000</v>
      </c>
      <c r="Z58" s="100">
        <f>'Project Overview'!$D$13/12</f>
        <v>90171.116666666654</v>
      </c>
      <c r="AA58" s="95">
        <v>37500</v>
      </c>
      <c r="AB58" s="93">
        <f t="shared" si="37"/>
        <v>839254.93421052629</v>
      </c>
      <c r="AC58" s="93">
        <f>('Project Overview'!$C$12/12)*6</f>
        <v>1620000</v>
      </c>
      <c r="AD58" s="93">
        <f>('Project Overview'!$C$13/12)*6</f>
        <v>408646</v>
      </c>
      <c r="AE58" s="94">
        <f t="shared" si="38"/>
        <v>0</v>
      </c>
      <c r="AF58" s="93">
        <f t="shared" si="39"/>
        <v>0</v>
      </c>
    </row>
    <row r="59" spans="1:32" ht="13">
      <c r="A59" s="87">
        <v>52</v>
      </c>
      <c r="B59" s="93">
        <f t="shared" si="29"/>
        <v>3024347.7325792126</v>
      </c>
      <c r="C59" s="94">
        <f t="shared" si="30"/>
        <v>375000</v>
      </c>
      <c r="D59" s="93">
        <f t="shared" si="31"/>
        <v>5368201.6095260493</v>
      </c>
      <c r="E59" s="93">
        <f>'Project Overview'!$G$4/12</f>
        <v>0</v>
      </c>
      <c r="F59" s="93">
        <f>'Project Overview'!$G$5/12</f>
        <v>238714.62912087911</v>
      </c>
      <c r="G59" s="94">
        <v>75000</v>
      </c>
      <c r="H59" s="93">
        <f t="shared" si="32"/>
        <v>1678509.8684210526</v>
      </c>
      <c r="I59" s="95">
        <f>'Project Overview'!$F$12/12</f>
        <v>0</v>
      </c>
      <c r="J59" s="100">
        <f>'Project Overview'!$F$13/12</f>
        <v>119251.30179166666</v>
      </c>
      <c r="K59" s="94">
        <v>75000</v>
      </c>
      <c r="L59" s="93">
        <f t="shared" si="33"/>
        <v>1678509.8684210526</v>
      </c>
      <c r="M59" s="95">
        <f>'Project Overview'!$E$12/12</f>
        <v>0</v>
      </c>
      <c r="N59" s="100">
        <f>'Project Overview'!$E$13/12</f>
        <v>103696.78416666666</v>
      </c>
      <c r="O59" s="94">
        <v>75000</v>
      </c>
      <c r="P59" s="93">
        <f t="shared" si="34"/>
        <v>1678509.8684210526</v>
      </c>
      <c r="Q59" s="95">
        <f>'Project Overview'!$E$12/12</f>
        <v>0</v>
      </c>
      <c r="R59" s="100">
        <f>'Project Overview'!$E$13/12</f>
        <v>103696.78416666666</v>
      </c>
      <c r="S59" s="94">
        <v>75000</v>
      </c>
      <c r="T59" s="93">
        <f t="shared" si="35"/>
        <v>1678509.8684210526</v>
      </c>
      <c r="U59" s="93">
        <f>'Project Overview'!$D$12/12</f>
        <v>125000</v>
      </c>
      <c r="V59" s="100">
        <f>'Project Overview'!$D$13/12</f>
        <v>90171.116666666654</v>
      </c>
      <c r="W59" s="95">
        <v>37500</v>
      </c>
      <c r="X59" s="93">
        <f t="shared" si="36"/>
        <v>839254.93421052629</v>
      </c>
      <c r="Y59" s="93">
        <f>'Project Overview'!$D$12/12</f>
        <v>125000</v>
      </c>
      <c r="Z59" s="100">
        <f>'Project Overview'!$D$13/12</f>
        <v>90171.116666666654</v>
      </c>
      <c r="AA59" s="95">
        <v>37500</v>
      </c>
      <c r="AB59" s="93">
        <f t="shared" si="37"/>
        <v>839254.93421052629</v>
      </c>
      <c r="AC59" s="93">
        <f>('Project Overview'!$C$12/12)*6</f>
        <v>1620000</v>
      </c>
      <c r="AD59" s="93">
        <f>('Project Overview'!$C$13/12)*6</f>
        <v>408646</v>
      </c>
      <c r="AE59" s="94">
        <f t="shared" si="38"/>
        <v>0</v>
      </c>
      <c r="AF59" s="93">
        <f t="shared" si="39"/>
        <v>0</v>
      </c>
    </row>
    <row r="60" spans="1:32" ht="13">
      <c r="A60" s="87">
        <v>53</v>
      </c>
      <c r="B60" s="93">
        <f t="shared" si="29"/>
        <v>3024347.7325792126</v>
      </c>
      <c r="C60" s="94">
        <f t="shared" si="30"/>
        <v>375000</v>
      </c>
      <c r="D60" s="93">
        <f t="shared" si="31"/>
        <v>5368201.6095260493</v>
      </c>
      <c r="E60" s="93">
        <f>'Project Overview'!$G$4/12</f>
        <v>0</v>
      </c>
      <c r="F60" s="93">
        <f>'Project Overview'!$G$5/12</f>
        <v>238714.62912087911</v>
      </c>
      <c r="G60" s="94">
        <v>75000</v>
      </c>
      <c r="H60" s="93">
        <f t="shared" si="32"/>
        <v>1678509.8684210526</v>
      </c>
      <c r="I60" s="95">
        <f>'Project Overview'!$F$12/12</f>
        <v>0</v>
      </c>
      <c r="J60" s="100">
        <f>'Project Overview'!$F$13/12</f>
        <v>119251.30179166666</v>
      </c>
      <c r="K60" s="94">
        <v>75000</v>
      </c>
      <c r="L60" s="93">
        <f t="shared" si="33"/>
        <v>1678509.8684210526</v>
      </c>
      <c r="M60" s="95">
        <f>'Project Overview'!$E$12/12</f>
        <v>0</v>
      </c>
      <c r="N60" s="100">
        <f>'Project Overview'!$E$13/12</f>
        <v>103696.78416666666</v>
      </c>
      <c r="O60" s="94">
        <v>75000</v>
      </c>
      <c r="P60" s="93">
        <f t="shared" si="34"/>
        <v>1678509.8684210526</v>
      </c>
      <c r="Q60" s="95">
        <f>'Project Overview'!$E$12/12</f>
        <v>0</v>
      </c>
      <c r="R60" s="100">
        <f>'Project Overview'!$E$13/12</f>
        <v>103696.78416666666</v>
      </c>
      <c r="S60" s="94">
        <v>75000</v>
      </c>
      <c r="T60" s="93">
        <f t="shared" si="35"/>
        <v>1678509.8684210526</v>
      </c>
      <c r="U60" s="93">
        <f>'Project Overview'!$D$12/12</f>
        <v>125000</v>
      </c>
      <c r="V60" s="100">
        <f>'Project Overview'!$D$13/12</f>
        <v>90171.116666666654</v>
      </c>
      <c r="W60" s="95">
        <v>37500</v>
      </c>
      <c r="X60" s="93">
        <f t="shared" si="36"/>
        <v>839254.93421052629</v>
      </c>
      <c r="Y60" s="93">
        <f>'Project Overview'!$D$12/12</f>
        <v>125000</v>
      </c>
      <c r="Z60" s="100">
        <f>'Project Overview'!$D$13/12</f>
        <v>90171.116666666654</v>
      </c>
      <c r="AA60" s="95">
        <v>37500</v>
      </c>
      <c r="AB60" s="93">
        <f t="shared" si="37"/>
        <v>839254.93421052629</v>
      </c>
      <c r="AC60" s="93">
        <f>('Project Overview'!$C$12/12)*6</f>
        <v>1620000</v>
      </c>
      <c r="AD60" s="93">
        <f>('Project Overview'!$C$13/12)*6</f>
        <v>408646</v>
      </c>
      <c r="AE60" s="94">
        <f t="shared" si="38"/>
        <v>0</v>
      </c>
      <c r="AF60" s="93">
        <f t="shared" si="39"/>
        <v>0</v>
      </c>
    </row>
    <row r="61" spans="1:32" ht="13">
      <c r="A61" s="87">
        <v>54</v>
      </c>
      <c r="B61" s="93">
        <f t="shared" si="29"/>
        <v>3024347.7325792126</v>
      </c>
      <c r="C61" s="94">
        <f t="shared" si="30"/>
        <v>375000</v>
      </c>
      <c r="D61" s="93">
        <f t="shared" si="31"/>
        <v>5368201.6095260493</v>
      </c>
      <c r="E61" s="93">
        <f>'Project Overview'!$G$4/12</f>
        <v>0</v>
      </c>
      <c r="F61" s="93">
        <f>'Project Overview'!$G$5/12</f>
        <v>238714.62912087911</v>
      </c>
      <c r="G61" s="94">
        <v>75000</v>
      </c>
      <c r="H61" s="93">
        <f t="shared" si="32"/>
        <v>1678509.8684210526</v>
      </c>
      <c r="I61" s="95">
        <f>'Project Overview'!$F$12/12</f>
        <v>0</v>
      </c>
      <c r="J61" s="100">
        <f>'Project Overview'!$F$13/12</f>
        <v>119251.30179166666</v>
      </c>
      <c r="K61" s="94">
        <v>75000</v>
      </c>
      <c r="L61" s="93">
        <f t="shared" si="33"/>
        <v>1678509.8684210526</v>
      </c>
      <c r="M61" s="95">
        <f>'Project Overview'!$E$12/12</f>
        <v>0</v>
      </c>
      <c r="N61" s="100">
        <f>'Project Overview'!$E$13/12</f>
        <v>103696.78416666666</v>
      </c>
      <c r="O61" s="94">
        <v>75000</v>
      </c>
      <c r="P61" s="93">
        <f t="shared" si="34"/>
        <v>1678509.8684210526</v>
      </c>
      <c r="Q61" s="95">
        <f>'Project Overview'!$E$12/12</f>
        <v>0</v>
      </c>
      <c r="R61" s="100">
        <f>'Project Overview'!$E$13/12</f>
        <v>103696.78416666666</v>
      </c>
      <c r="S61" s="94">
        <v>75000</v>
      </c>
      <c r="T61" s="93">
        <f t="shared" si="35"/>
        <v>1678509.8684210526</v>
      </c>
      <c r="U61" s="93">
        <f>'Project Overview'!$D$12/12</f>
        <v>125000</v>
      </c>
      <c r="V61" s="100">
        <f>'Project Overview'!$D$13/12</f>
        <v>90171.116666666654</v>
      </c>
      <c r="W61" s="95">
        <v>37500</v>
      </c>
      <c r="X61" s="93">
        <f t="shared" si="36"/>
        <v>839254.93421052629</v>
      </c>
      <c r="Y61" s="93">
        <f>'Project Overview'!$D$12/12</f>
        <v>125000</v>
      </c>
      <c r="Z61" s="100">
        <f>'Project Overview'!$D$13/12</f>
        <v>90171.116666666654</v>
      </c>
      <c r="AA61" s="95">
        <v>37500</v>
      </c>
      <c r="AB61" s="93">
        <f t="shared" si="37"/>
        <v>839254.93421052629</v>
      </c>
      <c r="AC61" s="93">
        <f>('Project Overview'!$C$12/12)*6</f>
        <v>1620000</v>
      </c>
      <c r="AD61" s="93">
        <f>('Project Overview'!$C$13/12)*6</f>
        <v>408646</v>
      </c>
      <c r="AE61" s="94">
        <f t="shared" si="38"/>
        <v>0</v>
      </c>
      <c r="AF61" s="93">
        <f t="shared" si="39"/>
        <v>0</v>
      </c>
    </row>
    <row r="62" spans="1:32" ht="13">
      <c r="A62" s="87">
        <v>55</v>
      </c>
      <c r="B62" s="93">
        <f t="shared" si="29"/>
        <v>3024347.7325792126</v>
      </c>
      <c r="C62" s="94">
        <f t="shared" si="30"/>
        <v>375000</v>
      </c>
      <c r="D62" s="93">
        <f t="shared" si="31"/>
        <v>5368201.6095260493</v>
      </c>
      <c r="E62" s="93">
        <f>'Project Overview'!$G$4/12</f>
        <v>0</v>
      </c>
      <c r="F62" s="93">
        <f>'Project Overview'!$G$5/12</f>
        <v>238714.62912087911</v>
      </c>
      <c r="G62" s="94">
        <v>75000</v>
      </c>
      <c r="H62" s="93">
        <f t="shared" si="32"/>
        <v>1678509.8684210526</v>
      </c>
      <c r="I62" s="95">
        <f>'Project Overview'!$F$12/12</f>
        <v>0</v>
      </c>
      <c r="J62" s="100">
        <f>'Project Overview'!$F$13/12</f>
        <v>119251.30179166666</v>
      </c>
      <c r="K62" s="94">
        <v>75000</v>
      </c>
      <c r="L62" s="93">
        <f t="shared" si="33"/>
        <v>1678509.8684210526</v>
      </c>
      <c r="M62" s="95">
        <f>'Project Overview'!$E$12/12</f>
        <v>0</v>
      </c>
      <c r="N62" s="100">
        <f>'Project Overview'!$E$13/12</f>
        <v>103696.78416666666</v>
      </c>
      <c r="O62" s="94">
        <v>75000</v>
      </c>
      <c r="P62" s="93">
        <f t="shared" si="34"/>
        <v>1678509.8684210526</v>
      </c>
      <c r="Q62" s="95">
        <f>'Project Overview'!$E$12/12</f>
        <v>0</v>
      </c>
      <c r="R62" s="100">
        <f>'Project Overview'!$E$13/12</f>
        <v>103696.78416666666</v>
      </c>
      <c r="S62" s="94">
        <v>75000</v>
      </c>
      <c r="T62" s="93">
        <f t="shared" si="35"/>
        <v>1678509.8684210526</v>
      </c>
      <c r="U62" s="93">
        <f>'Project Overview'!$D$12/12</f>
        <v>125000</v>
      </c>
      <c r="V62" s="100">
        <f>'Project Overview'!$D$13/12</f>
        <v>90171.116666666654</v>
      </c>
      <c r="W62" s="95">
        <v>37500</v>
      </c>
      <c r="X62" s="93">
        <f t="shared" si="36"/>
        <v>839254.93421052629</v>
      </c>
      <c r="Y62" s="93">
        <f>'Project Overview'!$D$12/12</f>
        <v>125000</v>
      </c>
      <c r="Z62" s="100">
        <f>'Project Overview'!$D$13/12</f>
        <v>90171.116666666654</v>
      </c>
      <c r="AA62" s="95">
        <v>37500</v>
      </c>
      <c r="AB62" s="93">
        <f t="shared" si="37"/>
        <v>839254.93421052629</v>
      </c>
      <c r="AC62" s="93">
        <f>('Project Overview'!$C$12/12)*6</f>
        <v>1620000</v>
      </c>
      <c r="AD62" s="93">
        <f>('Project Overview'!$C$13/12)*6</f>
        <v>408646</v>
      </c>
      <c r="AE62" s="94">
        <f t="shared" si="38"/>
        <v>0</v>
      </c>
      <c r="AF62" s="93">
        <f t="shared" si="39"/>
        <v>0</v>
      </c>
    </row>
    <row r="63" spans="1:32" ht="13">
      <c r="A63" s="87">
        <v>56</v>
      </c>
      <c r="B63" s="93">
        <f t="shared" si="29"/>
        <v>3024347.7325792126</v>
      </c>
      <c r="C63" s="94">
        <f t="shared" si="30"/>
        <v>375000</v>
      </c>
      <c r="D63" s="93">
        <f t="shared" si="31"/>
        <v>5368201.6095260493</v>
      </c>
      <c r="E63" s="93">
        <f>'Project Overview'!$G$4/12</f>
        <v>0</v>
      </c>
      <c r="F63" s="93">
        <f>'Project Overview'!$G$5/12</f>
        <v>238714.62912087911</v>
      </c>
      <c r="G63" s="94">
        <v>75000</v>
      </c>
      <c r="H63" s="93">
        <f t="shared" si="32"/>
        <v>1678509.8684210526</v>
      </c>
      <c r="I63" s="95">
        <f>'Project Overview'!$F$12/12</f>
        <v>0</v>
      </c>
      <c r="J63" s="100">
        <f>'Project Overview'!$F$13/12</f>
        <v>119251.30179166666</v>
      </c>
      <c r="K63" s="94">
        <v>75000</v>
      </c>
      <c r="L63" s="93">
        <f t="shared" si="33"/>
        <v>1678509.8684210526</v>
      </c>
      <c r="M63" s="95">
        <f>'Project Overview'!$E$12/12</f>
        <v>0</v>
      </c>
      <c r="N63" s="100">
        <f>'Project Overview'!$E$13/12</f>
        <v>103696.78416666666</v>
      </c>
      <c r="O63" s="94">
        <v>75000</v>
      </c>
      <c r="P63" s="93">
        <f t="shared" si="34"/>
        <v>1678509.8684210526</v>
      </c>
      <c r="Q63" s="95">
        <f>'Project Overview'!$E$12/12</f>
        <v>0</v>
      </c>
      <c r="R63" s="100">
        <f>'Project Overview'!$E$13/12</f>
        <v>103696.78416666666</v>
      </c>
      <c r="S63" s="94">
        <v>75000</v>
      </c>
      <c r="T63" s="93">
        <f t="shared" si="35"/>
        <v>1678509.8684210526</v>
      </c>
      <c r="U63" s="93">
        <f>'Project Overview'!$D$12/12</f>
        <v>125000</v>
      </c>
      <c r="V63" s="100">
        <f>'Project Overview'!$D$13/12</f>
        <v>90171.116666666654</v>
      </c>
      <c r="W63" s="95">
        <v>37500</v>
      </c>
      <c r="X63" s="93">
        <f t="shared" si="36"/>
        <v>839254.93421052629</v>
      </c>
      <c r="Y63" s="93">
        <f>'Project Overview'!$D$12/12</f>
        <v>125000</v>
      </c>
      <c r="Z63" s="100">
        <f>'Project Overview'!$D$13/12</f>
        <v>90171.116666666654</v>
      </c>
      <c r="AA63" s="95">
        <v>37500</v>
      </c>
      <c r="AB63" s="93">
        <f t="shared" si="37"/>
        <v>839254.93421052629</v>
      </c>
      <c r="AC63" s="93">
        <f>('Project Overview'!$C$12/12)*6</f>
        <v>1620000</v>
      </c>
      <c r="AD63" s="93">
        <f>('Project Overview'!$C$13/12)*6</f>
        <v>408646</v>
      </c>
      <c r="AE63" s="94">
        <f t="shared" si="38"/>
        <v>0</v>
      </c>
      <c r="AF63" s="93">
        <f t="shared" si="39"/>
        <v>0</v>
      </c>
    </row>
    <row r="64" spans="1:32" ht="13">
      <c r="A64" s="87">
        <v>57</v>
      </c>
      <c r="B64" s="93">
        <f t="shared" si="29"/>
        <v>3024347.7325792126</v>
      </c>
      <c r="C64" s="94">
        <f t="shared" si="30"/>
        <v>375000</v>
      </c>
      <c r="D64" s="93">
        <f t="shared" si="31"/>
        <v>5368201.6095260493</v>
      </c>
      <c r="E64" s="93">
        <f>'Project Overview'!$G$4/12</f>
        <v>0</v>
      </c>
      <c r="F64" s="93">
        <f>'Project Overview'!$G$5/12</f>
        <v>238714.62912087911</v>
      </c>
      <c r="G64" s="94">
        <v>75000</v>
      </c>
      <c r="H64" s="93">
        <f t="shared" si="32"/>
        <v>1678509.8684210526</v>
      </c>
      <c r="I64" s="95">
        <f>'Project Overview'!$F$12/12</f>
        <v>0</v>
      </c>
      <c r="J64" s="100">
        <f>'Project Overview'!$F$13/12</f>
        <v>119251.30179166666</v>
      </c>
      <c r="K64" s="94">
        <v>75000</v>
      </c>
      <c r="L64" s="93">
        <f t="shared" si="33"/>
        <v>1678509.8684210526</v>
      </c>
      <c r="M64" s="95">
        <f>'Project Overview'!$E$12/12</f>
        <v>0</v>
      </c>
      <c r="N64" s="100">
        <f>'Project Overview'!$E$13/12</f>
        <v>103696.78416666666</v>
      </c>
      <c r="O64" s="94">
        <v>75000</v>
      </c>
      <c r="P64" s="93">
        <f t="shared" si="34"/>
        <v>1678509.8684210526</v>
      </c>
      <c r="Q64" s="95">
        <f>'Project Overview'!$E$12/12</f>
        <v>0</v>
      </c>
      <c r="R64" s="100">
        <f>'Project Overview'!$E$13/12</f>
        <v>103696.78416666666</v>
      </c>
      <c r="S64" s="94">
        <v>75000</v>
      </c>
      <c r="T64" s="93">
        <f t="shared" si="35"/>
        <v>1678509.8684210526</v>
      </c>
      <c r="U64" s="93">
        <f>'Project Overview'!$D$12/12</f>
        <v>125000</v>
      </c>
      <c r="V64" s="100">
        <f>'Project Overview'!$D$13/12</f>
        <v>90171.116666666654</v>
      </c>
      <c r="W64" s="95">
        <v>37500</v>
      </c>
      <c r="X64" s="93">
        <f t="shared" si="36"/>
        <v>839254.93421052629</v>
      </c>
      <c r="Y64" s="93">
        <f>'Project Overview'!$D$12/12</f>
        <v>125000</v>
      </c>
      <c r="Z64" s="100">
        <f>'Project Overview'!$D$13/12</f>
        <v>90171.116666666654</v>
      </c>
      <c r="AA64" s="95">
        <v>37500</v>
      </c>
      <c r="AB64" s="93">
        <f t="shared" si="37"/>
        <v>839254.93421052629</v>
      </c>
      <c r="AC64" s="93">
        <f>('Project Overview'!$C$12/12)*6</f>
        <v>1620000</v>
      </c>
      <c r="AD64" s="93">
        <f>('Project Overview'!$C$13/12)*6</f>
        <v>408646</v>
      </c>
      <c r="AE64" s="94">
        <f t="shared" si="38"/>
        <v>0</v>
      </c>
      <c r="AF64" s="93">
        <f t="shared" si="39"/>
        <v>0</v>
      </c>
    </row>
    <row r="65" spans="1:32" ht="13">
      <c r="A65" s="87">
        <v>58</v>
      </c>
      <c r="B65" s="93">
        <f t="shared" si="29"/>
        <v>3024347.7325792126</v>
      </c>
      <c r="C65" s="94">
        <f t="shared" si="30"/>
        <v>375000</v>
      </c>
      <c r="D65" s="93">
        <f t="shared" si="31"/>
        <v>5368201.6095260493</v>
      </c>
      <c r="E65" s="93">
        <f>'Project Overview'!$G$4/12</f>
        <v>0</v>
      </c>
      <c r="F65" s="93">
        <f>'Project Overview'!$G$5/12</f>
        <v>238714.62912087911</v>
      </c>
      <c r="G65" s="94">
        <v>75000</v>
      </c>
      <c r="H65" s="93">
        <f t="shared" si="32"/>
        <v>1678509.8684210526</v>
      </c>
      <c r="I65" s="95">
        <f>'Project Overview'!$F$12/12</f>
        <v>0</v>
      </c>
      <c r="J65" s="100">
        <f>'Project Overview'!$F$13/12</f>
        <v>119251.30179166666</v>
      </c>
      <c r="K65" s="94">
        <v>75000</v>
      </c>
      <c r="L65" s="93">
        <f t="shared" si="33"/>
        <v>1678509.8684210526</v>
      </c>
      <c r="M65" s="95">
        <f>'Project Overview'!$E$12/12</f>
        <v>0</v>
      </c>
      <c r="N65" s="100">
        <f>'Project Overview'!$E$13/12</f>
        <v>103696.78416666666</v>
      </c>
      <c r="O65" s="94">
        <v>75000</v>
      </c>
      <c r="P65" s="93">
        <f t="shared" si="34"/>
        <v>1678509.8684210526</v>
      </c>
      <c r="Q65" s="95">
        <f>'Project Overview'!$E$12/12</f>
        <v>0</v>
      </c>
      <c r="R65" s="100">
        <f>'Project Overview'!$E$13/12</f>
        <v>103696.78416666666</v>
      </c>
      <c r="S65" s="94">
        <v>75000</v>
      </c>
      <c r="T65" s="93">
        <f t="shared" si="35"/>
        <v>1678509.8684210526</v>
      </c>
      <c r="U65" s="93">
        <f>'Project Overview'!$D$12/12</f>
        <v>125000</v>
      </c>
      <c r="V65" s="100">
        <f>'Project Overview'!$D$13/12</f>
        <v>90171.116666666654</v>
      </c>
      <c r="W65" s="95">
        <v>37500</v>
      </c>
      <c r="X65" s="93">
        <f t="shared" si="36"/>
        <v>839254.93421052629</v>
      </c>
      <c r="Y65" s="93">
        <f>'Project Overview'!$D$12/12</f>
        <v>125000</v>
      </c>
      <c r="Z65" s="100">
        <f>'Project Overview'!$D$13/12</f>
        <v>90171.116666666654</v>
      </c>
      <c r="AA65" s="95">
        <v>37500</v>
      </c>
      <c r="AB65" s="93">
        <f t="shared" si="37"/>
        <v>839254.93421052629</v>
      </c>
      <c r="AC65" s="93">
        <f>('Project Overview'!$C$12/12)*6</f>
        <v>1620000</v>
      </c>
      <c r="AD65" s="93">
        <f>('Project Overview'!$C$13/12)*6</f>
        <v>408646</v>
      </c>
      <c r="AE65" s="94">
        <f t="shared" si="38"/>
        <v>0</v>
      </c>
      <c r="AF65" s="93">
        <f t="shared" si="39"/>
        <v>0</v>
      </c>
    </row>
    <row r="66" spans="1:32" ht="13">
      <c r="A66" s="87">
        <v>59</v>
      </c>
      <c r="B66" s="93">
        <f t="shared" si="29"/>
        <v>3024347.7325792126</v>
      </c>
      <c r="C66" s="94">
        <f t="shared" si="30"/>
        <v>375000</v>
      </c>
      <c r="D66" s="93">
        <f t="shared" si="31"/>
        <v>5368201.6095260493</v>
      </c>
      <c r="E66" s="93">
        <f>'Project Overview'!$G$4/12</f>
        <v>0</v>
      </c>
      <c r="F66" s="93">
        <f>'Project Overview'!$G$5/12</f>
        <v>238714.62912087911</v>
      </c>
      <c r="G66" s="94">
        <v>75000</v>
      </c>
      <c r="H66" s="93">
        <f t="shared" si="32"/>
        <v>1678509.8684210526</v>
      </c>
      <c r="I66" s="95">
        <f>'Project Overview'!$F$12/12</f>
        <v>0</v>
      </c>
      <c r="J66" s="100">
        <f>'Project Overview'!$F$13/12</f>
        <v>119251.30179166666</v>
      </c>
      <c r="K66" s="94">
        <v>75000</v>
      </c>
      <c r="L66" s="93">
        <f t="shared" si="33"/>
        <v>1678509.8684210526</v>
      </c>
      <c r="M66" s="95">
        <f>'Project Overview'!$E$12/12</f>
        <v>0</v>
      </c>
      <c r="N66" s="100">
        <f>'Project Overview'!$E$13/12</f>
        <v>103696.78416666666</v>
      </c>
      <c r="O66" s="94">
        <v>75000</v>
      </c>
      <c r="P66" s="93">
        <f t="shared" si="34"/>
        <v>1678509.8684210526</v>
      </c>
      <c r="Q66" s="95">
        <f>'Project Overview'!$E$12/12</f>
        <v>0</v>
      </c>
      <c r="R66" s="100">
        <f>'Project Overview'!$E$13/12</f>
        <v>103696.78416666666</v>
      </c>
      <c r="S66" s="94">
        <v>75000</v>
      </c>
      <c r="T66" s="93">
        <f t="shared" si="35"/>
        <v>1678509.8684210526</v>
      </c>
      <c r="U66" s="93">
        <f>'Project Overview'!$D$12/12</f>
        <v>125000</v>
      </c>
      <c r="V66" s="100">
        <f>'Project Overview'!$D$13/12</f>
        <v>90171.116666666654</v>
      </c>
      <c r="W66" s="95">
        <v>37500</v>
      </c>
      <c r="X66" s="93">
        <f t="shared" si="36"/>
        <v>839254.93421052629</v>
      </c>
      <c r="Y66" s="93">
        <f>'Project Overview'!$D$12/12</f>
        <v>125000</v>
      </c>
      <c r="Z66" s="100">
        <f>'Project Overview'!$D$13/12</f>
        <v>90171.116666666654</v>
      </c>
      <c r="AA66" s="95">
        <v>37500</v>
      </c>
      <c r="AB66" s="93">
        <f t="shared" si="37"/>
        <v>839254.93421052629</v>
      </c>
      <c r="AC66" s="93">
        <f>('Project Overview'!$C$12/12)*6</f>
        <v>1620000</v>
      </c>
      <c r="AD66" s="93">
        <f>('Project Overview'!$C$13/12)*6</f>
        <v>408646</v>
      </c>
      <c r="AE66" s="94">
        <f t="shared" si="38"/>
        <v>0</v>
      </c>
      <c r="AF66" s="93">
        <f t="shared" si="39"/>
        <v>0</v>
      </c>
    </row>
    <row r="67" spans="1:32" ht="13">
      <c r="A67" s="87">
        <v>60</v>
      </c>
      <c r="B67" s="93">
        <f t="shared" si="29"/>
        <v>3024347.7325792126</v>
      </c>
      <c r="C67" s="94">
        <f t="shared" si="30"/>
        <v>375000</v>
      </c>
      <c r="D67" s="93">
        <f t="shared" si="31"/>
        <v>5368201.6095260493</v>
      </c>
      <c r="E67" s="93">
        <f>'Project Overview'!$G$4/12</f>
        <v>0</v>
      </c>
      <c r="F67" s="93">
        <f>'Project Overview'!$G$5/12</f>
        <v>238714.62912087911</v>
      </c>
      <c r="G67" s="94">
        <v>75000</v>
      </c>
      <c r="H67" s="93">
        <f t="shared" si="32"/>
        <v>1678509.8684210526</v>
      </c>
      <c r="I67" s="95">
        <f>'Project Overview'!$F$12/12</f>
        <v>0</v>
      </c>
      <c r="J67" s="100">
        <f>'Project Overview'!$F$13/12</f>
        <v>119251.30179166666</v>
      </c>
      <c r="K67" s="94">
        <v>75000</v>
      </c>
      <c r="L67" s="93">
        <f t="shared" si="33"/>
        <v>1678509.8684210526</v>
      </c>
      <c r="M67" s="95">
        <f>'Project Overview'!$E$12/12</f>
        <v>0</v>
      </c>
      <c r="N67" s="100">
        <f>'Project Overview'!$E$13/12</f>
        <v>103696.78416666666</v>
      </c>
      <c r="O67" s="94">
        <v>75000</v>
      </c>
      <c r="P67" s="93">
        <f t="shared" si="34"/>
        <v>1678509.8684210526</v>
      </c>
      <c r="Q67" s="95">
        <f>'Project Overview'!$E$12/12</f>
        <v>0</v>
      </c>
      <c r="R67" s="100">
        <f>'Project Overview'!$E$13/12</f>
        <v>103696.78416666666</v>
      </c>
      <c r="S67" s="94">
        <v>75000</v>
      </c>
      <c r="T67" s="93">
        <f t="shared" si="35"/>
        <v>1678509.8684210526</v>
      </c>
      <c r="U67" s="93">
        <f>'Project Overview'!$D$12/12</f>
        <v>125000</v>
      </c>
      <c r="V67" s="100">
        <f>'Project Overview'!$D$13/12</f>
        <v>90171.116666666654</v>
      </c>
      <c r="W67" s="95">
        <v>37500</v>
      </c>
      <c r="X67" s="93">
        <f t="shared" si="36"/>
        <v>839254.93421052629</v>
      </c>
      <c r="Y67" s="93">
        <f>'Project Overview'!$D$12/12</f>
        <v>125000</v>
      </c>
      <c r="Z67" s="100">
        <f>'Project Overview'!$D$13/12</f>
        <v>90171.116666666654</v>
      </c>
      <c r="AA67" s="95">
        <v>37500</v>
      </c>
      <c r="AB67" s="93">
        <f t="shared" si="37"/>
        <v>839254.93421052629</v>
      </c>
      <c r="AC67" s="93">
        <f>('Project Overview'!$C$12/12)*6</f>
        <v>1620000</v>
      </c>
      <c r="AD67" s="93">
        <f>('Project Overview'!$C$13/12)*6</f>
        <v>408646</v>
      </c>
      <c r="AE67" s="94">
        <f t="shared" si="38"/>
        <v>0</v>
      </c>
      <c r="AF67" s="93">
        <f t="shared" si="39"/>
        <v>0</v>
      </c>
    </row>
    <row r="68" spans="1:32" ht="13">
      <c r="A68" s="96" t="s">
        <v>75</v>
      </c>
      <c r="B68" s="97">
        <f t="shared" ref="B68:AF68" si="40">SUM(B56:B67)</f>
        <v>36292172.790950552</v>
      </c>
      <c r="C68" s="98">
        <f t="shared" si="40"/>
        <v>4500000</v>
      </c>
      <c r="D68" s="97">
        <f t="shared" si="40"/>
        <v>64418419.314312607</v>
      </c>
      <c r="E68" s="97">
        <f t="shared" si="40"/>
        <v>0</v>
      </c>
      <c r="F68" s="97">
        <f t="shared" si="40"/>
        <v>2864575.5494505484</v>
      </c>
      <c r="G68" s="98">
        <f t="shared" si="40"/>
        <v>900000</v>
      </c>
      <c r="H68" s="97">
        <f t="shared" si="40"/>
        <v>20142118.421052624</v>
      </c>
      <c r="I68" s="99">
        <f t="shared" si="40"/>
        <v>0</v>
      </c>
      <c r="J68" s="101">
        <f t="shared" si="40"/>
        <v>1431015.6214999994</v>
      </c>
      <c r="K68" s="98">
        <f t="shared" si="40"/>
        <v>900000</v>
      </c>
      <c r="L68" s="97">
        <f t="shared" si="40"/>
        <v>20142118.421052624</v>
      </c>
      <c r="M68" s="99">
        <f t="shared" si="40"/>
        <v>0</v>
      </c>
      <c r="N68" s="101">
        <f t="shared" si="40"/>
        <v>1244361.4099999999</v>
      </c>
      <c r="O68" s="98">
        <f t="shared" si="40"/>
        <v>900000</v>
      </c>
      <c r="P68" s="97">
        <f t="shared" si="40"/>
        <v>20142118.421052624</v>
      </c>
      <c r="Q68" s="99">
        <f t="shared" si="40"/>
        <v>0</v>
      </c>
      <c r="R68" s="101">
        <f t="shared" si="40"/>
        <v>1244361.4099999999</v>
      </c>
      <c r="S68" s="98">
        <f t="shared" si="40"/>
        <v>900000</v>
      </c>
      <c r="T68" s="97">
        <f t="shared" si="40"/>
        <v>20142118.421052624</v>
      </c>
      <c r="U68" s="97">
        <f t="shared" si="40"/>
        <v>1500000</v>
      </c>
      <c r="V68" s="101">
        <f t="shared" si="40"/>
        <v>1082053.4000000001</v>
      </c>
      <c r="W68" s="99">
        <f t="shared" si="40"/>
        <v>450000</v>
      </c>
      <c r="X68" s="97">
        <f t="shared" si="40"/>
        <v>10071059.210526312</v>
      </c>
      <c r="Y68" s="97">
        <f t="shared" si="40"/>
        <v>1500000</v>
      </c>
      <c r="Z68" s="101">
        <f t="shared" si="40"/>
        <v>1082053.4000000001</v>
      </c>
      <c r="AA68" s="99">
        <f t="shared" si="40"/>
        <v>450000</v>
      </c>
      <c r="AB68" s="97">
        <f t="shared" si="40"/>
        <v>10071059.210526312</v>
      </c>
      <c r="AC68" s="97">
        <f t="shared" si="40"/>
        <v>19440000</v>
      </c>
      <c r="AD68" s="97">
        <f t="shared" si="40"/>
        <v>4903752</v>
      </c>
      <c r="AE68" s="98">
        <f t="shared" si="40"/>
        <v>0</v>
      </c>
      <c r="AF68" s="97">
        <f t="shared" si="40"/>
        <v>0</v>
      </c>
    </row>
    <row r="69" spans="1:32" ht="13">
      <c r="A69" s="87">
        <v>61</v>
      </c>
      <c r="B69" s="93">
        <f t="shared" ref="B69:B80" si="41">E69+F69+I69+J69+M69+N69+Q69+R69+U69+V69+Y69+Z69+AC69+AD69</f>
        <v>2094888.8028292123</v>
      </c>
      <c r="C69" s="94">
        <f t="shared" ref="C69:C80" si="42">G69+K69+O69+S69+W69+AA69+AE69</f>
        <v>675000</v>
      </c>
      <c r="D69" s="93">
        <f t="shared" ref="D69:D80" si="43">(H69+L69+P69+T69+X69+AB69+AF69)-B69</f>
        <v>13011700.012960261</v>
      </c>
      <c r="E69" s="93">
        <f>'Project Overview'!$G$4/12</f>
        <v>0</v>
      </c>
      <c r="F69" s="93">
        <f>'Project Overview'!$G$5/12</f>
        <v>238714.62912087911</v>
      </c>
      <c r="G69" s="94">
        <v>75000</v>
      </c>
      <c r="H69" s="93">
        <f t="shared" ref="H69:H80" si="44">G69*($H$2-$F$2)</f>
        <v>1678509.8684210526</v>
      </c>
      <c r="I69" s="95">
        <f>'Project Overview'!$G$12/12</f>
        <v>0</v>
      </c>
      <c r="J69" s="100">
        <f>'Project Overview'!$G$13/12</f>
        <v>119251.30179166666</v>
      </c>
      <c r="K69" s="94">
        <v>75000</v>
      </c>
      <c r="L69" s="93">
        <f t="shared" ref="L69:L80" si="45">K69*($L$2-$J$2)</f>
        <v>1678509.8684210526</v>
      </c>
      <c r="M69" s="95">
        <f>'Project Overview'!$F$12/12</f>
        <v>0</v>
      </c>
      <c r="N69" s="100">
        <f>'Project Overview'!$F$13/12</f>
        <v>119251.30179166666</v>
      </c>
      <c r="O69" s="94">
        <v>75000</v>
      </c>
      <c r="P69" s="93">
        <f t="shared" ref="P69:P80" si="46">O69*($P$2-$N$2)</f>
        <v>1678509.8684210526</v>
      </c>
      <c r="Q69" s="95">
        <f>'Project Overview'!$F$12/12</f>
        <v>0</v>
      </c>
      <c r="R69" s="100">
        <f>'Project Overview'!$F$13/12</f>
        <v>119251.30179166666</v>
      </c>
      <c r="S69" s="94">
        <v>75000</v>
      </c>
      <c r="T69" s="93">
        <f t="shared" ref="T69:T80" si="47">S69*($T$2-$R$2)</f>
        <v>1678509.8684210526</v>
      </c>
      <c r="U69" s="95">
        <f>'Project Overview'!$E$12/12</f>
        <v>0</v>
      </c>
      <c r="V69" s="100">
        <f>'Project Overview'!$E$13/12</f>
        <v>103696.78416666666</v>
      </c>
      <c r="W69" s="94">
        <v>75000</v>
      </c>
      <c r="X69" s="93">
        <f t="shared" ref="X69:X80" si="48">W69*($X$2-$V$2)</f>
        <v>1678509.8684210526</v>
      </c>
      <c r="Y69" s="95">
        <f>'Project Overview'!$E$12/12</f>
        <v>0</v>
      </c>
      <c r="Z69" s="100">
        <f>'Project Overview'!$E$13/12</f>
        <v>103696.78416666666</v>
      </c>
      <c r="AA69" s="94">
        <v>75000</v>
      </c>
      <c r="AB69" s="93">
        <f t="shared" ref="AB69:AB80" si="49">AA69*($AB$2-$Z$2)</f>
        <v>1678509.8684210526</v>
      </c>
      <c r="AC69" s="93">
        <f>('Project Overview'!$D$12/12)*6</f>
        <v>750000</v>
      </c>
      <c r="AD69" s="100">
        <f>('Project Overview'!$D$13/12)*6</f>
        <v>541026.69999999995</v>
      </c>
      <c r="AE69" s="95">
        <f t="shared" ref="AE69:AE80" si="50">37500*6</f>
        <v>225000</v>
      </c>
      <c r="AF69" s="93">
        <f t="shared" ref="AF69:AF80" si="51">AE69*($AF$2-$AD$2)</f>
        <v>5035529.6052631577</v>
      </c>
    </row>
    <row r="70" spans="1:32" ht="13">
      <c r="A70" s="87">
        <v>62</v>
      </c>
      <c r="B70" s="93">
        <f t="shared" si="41"/>
        <v>2094888.8028292123</v>
      </c>
      <c r="C70" s="94">
        <f t="shared" si="42"/>
        <v>675000</v>
      </c>
      <c r="D70" s="93">
        <f t="shared" si="43"/>
        <v>13011700.012960261</v>
      </c>
      <c r="E70" s="93">
        <f>'Project Overview'!$G$4/12</f>
        <v>0</v>
      </c>
      <c r="F70" s="93">
        <f>'Project Overview'!$G$5/12</f>
        <v>238714.62912087911</v>
      </c>
      <c r="G70" s="94">
        <v>75000</v>
      </c>
      <c r="H70" s="93">
        <f t="shared" si="44"/>
        <v>1678509.8684210526</v>
      </c>
      <c r="I70" s="95">
        <f>'Project Overview'!$G$12/12</f>
        <v>0</v>
      </c>
      <c r="J70" s="100">
        <f>'Project Overview'!$G$13/12</f>
        <v>119251.30179166666</v>
      </c>
      <c r="K70" s="94">
        <v>75000</v>
      </c>
      <c r="L70" s="93">
        <f t="shared" si="45"/>
        <v>1678509.8684210526</v>
      </c>
      <c r="M70" s="95">
        <f>'Project Overview'!$F$12/12</f>
        <v>0</v>
      </c>
      <c r="N70" s="100">
        <f>'Project Overview'!$F$13/12</f>
        <v>119251.30179166666</v>
      </c>
      <c r="O70" s="94">
        <v>75000</v>
      </c>
      <c r="P70" s="93">
        <f t="shared" si="46"/>
        <v>1678509.8684210526</v>
      </c>
      <c r="Q70" s="95">
        <f>'Project Overview'!$F$12/12</f>
        <v>0</v>
      </c>
      <c r="R70" s="100">
        <f>'Project Overview'!$F$13/12</f>
        <v>119251.30179166666</v>
      </c>
      <c r="S70" s="94">
        <v>75000</v>
      </c>
      <c r="T70" s="93">
        <f t="shared" si="47"/>
        <v>1678509.8684210526</v>
      </c>
      <c r="U70" s="95">
        <f>'Project Overview'!$E$12/12</f>
        <v>0</v>
      </c>
      <c r="V70" s="100">
        <f>'Project Overview'!$E$13/12</f>
        <v>103696.78416666666</v>
      </c>
      <c r="W70" s="94">
        <v>75000</v>
      </c>
      <c r="X70" s="93">
        <f t="shared" si="48"/>
        <v>1678509.8684210526</v>
      </c>
      <c r="Y70" s="95">
        <f>'Project Overview'!$E$12/12</f>
        <v>0</v>
      </c>
      <c r="Z70" s="100">
        <f>'Project Overview'!$E$13/12</f>
        <v>103696.78416666666</v>
      </c>
      <c r="AA70" s="94">
        <v>75000</v>
      </c>
      <c r="AB70" s="93">
        <f t="shared" si="49"/>
        <v>1678509.8684210526</v>
      </c>
      <c r="AC70" s="93">
        <f>('Project Overview'!$D$12/12)*6</f>
        <v>750000</v>
      </c>
      <c r="AD70" s="100">
        <f>('Project Overview'!$D$13/12)*6</f>
        <v>541026.69999999995</v>
      </c>
      <c r="AE70" s="95">
        <f t="shared" si="50"/>
        <v>225000</v>
      </c>
      <c r="AF70" s="93">
        <f t="shared" si="51"/>
        <v>5035529.6052631577</v>
      </c>
    </row>
    <row r="71" spans="1:32" ht="13">
      <c r="A71" s="87">
        <v>63</v>
      </c>
      <c r="B71" s="93">
        <f t="shared" si="41"/>
        <v>2094888.8028292123</v>
      </c>
      <c r="C71" s="94">
        <f t="shared" si="42"/>
        <v>675000</v>
      </c>
      <c r="D71" s="93">
        <f t="shared" si="43"/>
        <v>13011700.012960261</v>
      </c>
      <c r="E71" s="93">
        <f>'Project Overview'!$G$4/12</f>
        <v>0</v>
      </c>
      <c r="F71" s="93">
        <f>'Project Overview'!$G$5/12</f>
        <v>238714.62912087911</v>
      </c>
      <c r="G71" s="94">
        <v>75000</v>
      </c>
      <c r="H71" s="93">
        <f t="shared" si="44"/>
        <v>1678509.8684210526</v>
      </c>
      <c r="I71" s="95">
        <f>'Project Overview'!$G$12/12</f>
        <v>0</v>
      </c>
      <c r="J71" s="100">
        <f>'Project Overview'!$G$13/12</f>
        <v>119251.30179166666</v>
      </c>
      <c r="K71" s="94">
        <v>75000</v>
      </c>
      <c r="L71" s="93">
        <f t="shared" si="45"/>
        <v>1678509.8684210526</v>
      </c>
      <c r="M71" s="95">
        <f>'Project Overview'!$F$12/12</f>
        <v>0</v>
      </c>
      <c r="N71" s="100">
        <f>'Project Overview'!$F$13/12</f>
        <v>119251.30179166666</v>
      </c>
      <c r="O71" s="94">
        <v>75000</v>
      </c>
      <c r="P71" s="93">
        <f t="shared" si="46"/>
        <v>1678509.8684210526</v>
      </c>
      <c r="Q71" s="95">
        <f>'Project Overview'!$F$12/12</f>
        <v>0</v>
      </c>
      <c r="R71" s="100">
        <f>'Project Overview'!$F$13/12</f>
        <v>119251.30179166666</v>
      </c>
      <c r="S71" s="94">
        <v>75000</v>
      </c>
      <c r="T71" s="93">
        <f t="shared" si="47"/>
        <v>1678509.8684210526</v>
      </c>
      <c r="U71" s="95">
        <f>'Project Overview'!$E$12/12</f>
        <v>0</v>
      </c>
      <c r="V71" s="100">
        <f>'Project Overview'!$E$13/12</f>
        <v>103696.78416666666</v>
      </c>
      <c r="W71" s="94">
        <v>75000</v>
      </c>
      <c r="X71" s="93">
        <f t="shared" si="48"/>
        <v>1678509.8684210526</v>
      </c>
      <c r="Y71" s="95">
        <f>'Project Overview'!$E$12/12</f>
        <v>0</v>
      </c>
      <c r="Z71" s="100">
        <f>'Project Overview'!$E$13/12</f>
        <v>103696.78416666666</v>
      </c>
      <c r="AA71" s="94">
        <v>75000</v>
      </c>
      <c r="AB71" s="93">
        <f t="shared" si="49"/>
        <v>1678509.8684210526</v>
      </c>
      <c r="AC71" s="93">
        <f>('Project Overview'!$D$12/12)*6</f>
        <v>750000</v>
      </c>
      <c r="AD71" s="100">
        <f>('Project Overview'!$D$13/12)*6</f>
        <v>541026.69999999995</v>
      </c>
      <c r="AE71" s="95">
        <f t="shared" si="50"/>
        <v>225000</v>
      </c>
      <c r="AF71" s="93">
        <f t="shared" si="51"/>
        <v>5035529.6052631577</v>
      </c>
    </row>
    <row r="72" spans="1:32" ht="13">
      <c r="A72" s="87">
        <v>64</v>
      </c>
      <c r="B72" s="93">
        <f t="shared" si="41"/>
        <v>2094888.8028292123</v>
      </c>
      <c r="C72" s="94">
        <f t="shared" si="42"/>
        <v>675000</v>
      </c>
      <c r="D72" s="93">
        <f t="shared" si="43"/>
        <v>13011700.012960261</v>
      </c>
      <c r="E72" s="93">
        <f>'Project Overview'!$G$4/12</f>
        <v>0</v>
      </c>
      <c r="F72" s="93">
        <f>'Project Overview'!$G$5/12</f>
        <v>238714.62912087911</v>
      </c>
      <c r="G72" s="94">
        <v>75000</v>
      </c>
      <c r="H72" s="93">
        <f t="shared" si="44"/>
        <v>1678509.8684210526</v>
      </c>
      <c r="I72" s="95">
        <f>'Project Overview'!$G$12/12</f>
        <v>0</v>
      </c>
      <c r="J72" s="100">
        <f>'Project Overview'!$G$13/12</f>
        <v>119251.30179166666</v>
      </c>
      <c r="K72" s="94">
        <v>75000</v>
      </c>
      <c r="L72" s="93">
        <f t="shared" si="45"/>
        <v>1678509.8684210526</v>
      </c>
      <c r="M72" s="95">
        <f>'Project Overview'!$F$12/12</f>
        <v>0</v>
      </c>
      <c r="N72" s="100">
        <f>'Project Overview'!$F$13/12</f>
        <v>119251.30179166666</v>
      </c>
      <c r="O72" s="94">
        <v>75000</v>
      </c>
      <c r="P72" s="93">
        <f t="shared" si="46"/>
        <v>1678509.8684210526</v>
      </c>
      <c r="Q72" s="95">
        <f>'Project Overview'!$F$12/12</f>
        <v>0</v>
      </c>
      <c r="R72" s="100">
        <f>'Project Overview'!$F$13/12</f>
        <v>119251.30179166666</v>
      </c>
      <c r="S72" s="94">
        <v>75000</v>
      </c>
      <c r="T72" s="93">
        <f t="shared" si="47"/>
        <v>1678509.8684210526</v>
      </c>
      <c r="U72" s="95">
        <f>'Project Overview'!$E$12/12</f>
        <v>0</v>
      </c>
      <c r="V72" s="100">
        <f>'Project Overview'!$E$13/12</f>
        <v>103696.78416666666</v>
      </c>
      <c r="W72" s="94">
        <v>75000</v>
      </c>
      <c r="X72" s="93">
        <f t="shared" si="48"/>
        <v>1678509.8684210526</v>
      </c>
      <c r="Y72" s="95">
        <f>'Project Overview'!$E$12/12</f>
        <v>0</v>
      </c>
      <c r="Z72" s="100">
        <f>'Project Overview'!$E$13/12</f>
        <v>103696.78416666666</v>
      </c>
      <c r="AA72" s="94">
        <v>75000</v>
      </c>
      <c r="AB72" s="93">
        <f t="shared" si="49"/>
        <v>1678509.8684210526</v>
      </c>
      <c r="AC72" s="93">
        <f>('Project Overview'!$D$12/12)*6</f>
        <v>750000</v>
      </c>
      <c r="AD72" s="100">
        <f>('Project Overview'!$D$13/12)*6</f>
        <v>541026.69999999995</v>
      </c>
      <c r="AE72" s="95">
        <f t="shared" si="50"/>
        <v>225000</v>
      </c>
      <c r="AF72" s="93">
        <f t="shared" si="51"/>
        <v>5035529.6052631577</v>
      </c>
    </row>
    <row r="73" spans="1:32" ht="13">
      <c r="A73" s="87">
        <v>65</v>
      </c>
      <c r="B73" s="93">
        <f t="shared" si="41"/>
        <v>2094888.8028292123</v>
      </c>
      <c r="C73" s="94">
        <f t="shared" si="42"/>
        <v>675000</v>
      </c>
      <c r="D73" s="93">
        <f t="shared" si="43"/>
        <v>13011700.012960261</v>
      </c>
      <c r="E73" s="93">
        <f>'Project Overview'!$G$4/12</f>
        <v>0</v>
      </c>
      <c r="F73" s="93">
        <f>'Project Overview'!$G$5/12</f>
        <v>238714.62912087911</v>
      </c>
      <c r="G73" s="94">
        <v>75000</v>
      </c>
      <c r="H73" s="93">
        <f t="shared" si="44"/>
        <v>1678509.8684210526</v>
      </c>
      <c r="I73" s="95">
        <f>'Project Overview'!$G$12/12</f>
        <v>0</v>
      </c>
      <c r="J73" s="100">
        <f>'Project Overview'!$G$13/12</f>
        <v>119251.30179166666</v>
      </c>
      <c r="K73" s="94">
        <v>75000</v>
      </c>
      <c r="L73" s="93">
        <f t="shared" si="45"/>
        <v>1678509.8684210526</v>
      </c>
      <c r="M73" s="95">
        <f>'Project Overview'!$F$12/12</f>
        <v>0</v>
      </c>
      <c r="N73" s="100">
        <f>'Project Overview'!$F$13/12</f>
        <v>119251.30179166666</v>
      </c>
      <c r="O73" s="94">
        <v>75000</v>
      </c>
      <c r="P73" s="93">
        <f t="shared" si="46"/>
        <v>1678509.8684210526</v>
      </c>
      <c r="Q73" s="95">
        <f>'Project Overview'!$F$12/12</f>
        <v>0</v>
      </c>
      <c r="R73" s="100">
        <f>'Project Overview'!$F$13/12</f>
        <v>119251.30179166666</v>
      </c>
      <c r="S73" s="94">
        <v>75000</v>
      </c>
      <c r="T73" s="93">
        <f t="shared" si="47"/>
        <v>1678509.8684210526</v>
      </c>
      <c r="U73" s="95">
        <f>'Project Overview'!$E$12/12</f>
        <v>0</v>
      </c>
      <c r="V73" s="100">
        <f>'Project Overview'!$E$13/12</f>
        <v>103696.78416666666</v>
      </c>
      <c r="W73" s="94">
        <v>75000</v>
      </c>
      <c r="X73" s="93">
        <f t="shared" si="48"/>
        <v>1678509.8684210526</v>
      </c>
      <c r="Y73" s="95">
        <f>'Project Overview'!$E$12/12</f>
        <v>0</v>
      </c>
      <c r="Z73" s="100">
        <f>'Project Overview'!$E$13/12</f>
        <v>103696.78416666666</v>
      </c>
      <c r="AA73" s="94">
        <v>75000</v>
      </c>
      <c r="AB73" s="93">
        <f t="shared" si="49"/>
        <v>1678509.8684210526</v>
      </c>
      <c r="AC73" s="93">
        <f>('Project Overview'!$D$12/12)*6</f>
        <v>750000</v>
      </c>
      <c r="AD73" s="100">
        <f>('Project Overview'!$D$13/12)*6</f>
        <v>541026.69999999995</v>
      </c>
      <c r="AE73" s="95">
        <f t="shared" si="50"/>
        <v>225000</v>
      </c>
      <c r="AF73" s="93">
        <f t="shared" si="51"/>
        <v>5035529.6052631577</v>
      </c>
    </row>
    <row r="74" spans="1:32" ht="13">
      <c r="A74" s="87">
        <v>66</v>
      </c>
      <c r="B74" s="93">
        <f t="shared" si="41"/>
        <v>2094888.8028292123</v>
      </c>
      <c r="C74" s="94">
        <f t="shared" si="42"/>
        <v>675000</v>
      </c>
      <c r="D74" s="93">
        <f t="shared" si="43"/>
        <v>13011700.012960261</v>
      </c>
      <c r="E74" s="93">
        <f>'Project Overview'!$G$4/12</f>
        <v>0</v>
      </c>
      <c r="F74" s="93">
        <f>'Project Overview'!$G$5/12</f>
        <v>238714.62912087911</v>
      </c>
      <c r="G74" s="94">
        <v>75000</v>
      </c>
      <c r="H74" s="93">
        <f t="shared" si="44"/>
        <v>1678509.8684210526</v>
      </c>
      <c r="I74" s="95">
        <f>'Project Overview'!$G$12/12</f>
        <v>0</v>
      </c>
      <c r="J74" s="100">
        <f>'Project Overview'!$G$13/12</f>
        <v>119251.30179166666</v>
      </c>
      <c r="K74" s="94">
        <v>75000</v>
      </c>
      <c r="L74" s="93">
        <f t="shared" si="45"/>
        <v>1678509.8684210526</v>
      </c>
      <c r="M74" s="95">
        <f>'Project Overview'!$F$12/12</f>
        <v>0</v>
      </c>
      <c r="N74" s="100">
        <f>'Project Overview'!$F$13/12</f>
        <v>119251.30179166666</v>
      </c>
      <c r="O74" s="94">
        <v>75000</v>
      </c>
      <c r="P74" s="93">
        <f t="shared" si="46"/>
        <v>1678509.8684210526</v>
      </c>
      <c r="Q74" s="95">
        <f>'Project Overview'!$F$12/12</f>
        <v>0</v>
      </c>
      <c r="R74" s="100">
        <f>'Project Overview'!$F$13/12</f>
        <v>119251.30179166666</v>
      </c>
      <c r="S74" s="94">
        <v>75000</v>
      </c>
      <c r="T74" s="93">
        <f t="shared" si="47"/>
        <v>1678509.8684210526</v>
      </c>
      <c r="U74" s="95">
        <f>'Project Overview'!$E$12/12</f>
        <v>0</v>
      </c>
      <c r="V74" s="100">
        <f>'Project Overview'!$E$13/12</f>
        <v>103696.78416666666</v>
      </c>
      <c r="W74" s="94">
        <v>75000</v>
      </c>
      <c r="X74" s="93">
        <f t="shared" si="48"/>
        <v>1678509.8684210526</v>
      </c>
      <c r="Y74" s="95">
        <f>'Project Overview'!$E$12/12</f>
        <v>0</v>
      </c>
      <c r="Z74" s="100">
        <f>'Project Overview'!$E$13/12</f>
        <v>103696.78416666666</v>
      </c>
      <c r="AA74" s="94">
        <v>75000</v>
      </c>
      <c r="AB74" s="93">
        <f t="shared" si="49"/>
        <v>1678509.8684210526</v>
      </c>
      <c r="AC74" s="93">
        <f>('Project Overview'!$D$12/12)*6</f>
        <v>750000</v>
      </c>
      <c r="AD74" s="100">
        <f>('Project Overview'!$D$13/12)*6</f>
        <v>541026.69999999995</v>
      </c>
      <c r="AE74" s="95">
        <f t="shared" si="50"/>
        <v>225000</v>
      </c>
      <c r="AF74" s="93">
        <f t="shared" si="51"/>
        <v>5035529.6052631577</v>
      </c>
    </row>
    <row r="75" spans="1:32" ht="13">
      <c r="A75" s="87">
        <v>67</v>
      </c>
      <c r="B75" s="93">
        <f t="shared" si="41"/>
        <v>2094888.8028292123</v>
      </c>
      <c r="C75" s="94">
        <f t="shared" si="42"/>
        <v>675000</v>
      </c>
      <c r="D75" s="93">
        <f t="shared" si="43"/>
        <v>13011700.012960261</v>
      </c>
      <c r="E75" s="93">
        <f>'Project Overview'!$G$4/12</f>
        <v>0</v>
      </c>
      <c r="F75" s="93">
        <f>'Project Overview'!$G$5/12</f>
        <v>238714.62912087911</v>
      </c>
      <c r="G75" s="94">
        <v>75000</v>
      </c>
      <c r="H75" s="93">
        <f t="shared" si="44"/>
        <v>1678509.8684210526</v>
      </c>
      <c r="I75" s="95">
        <f>'Project Overview'!$G$12/12</f>
        <v>0</v>
      </c>
      <c r="J75" s="100">
        <f>'Project Overview'!$G$13/12</f>
        <v>119251.30179166666</v>
      </c>
      <c r="K75" s="94">
        <v>75000</v>
      </c>
      <c r="L75" s="93">
        <f t="shared" si="45"/>
        <v>1678509.8684210526</v>
      </c>
      <c r="M75" s="95">
        <f>'Project Overview'!$F$12/12</f>
        <v>0</v>
      </c>
      <c r="N75" s="100">
        <f>'Project Overview'!$F$13/12</f>
        <v>119251.30179166666</v>
      </c>
      <c r="O75" s="94">
        <v>75000</v>
      </c>
      <c r="P75" s="93">
        <f t="shared" si="46"/>
        <v>1678509.8684210526</v>
      </c>
      <c r="Q75" s="95">
        <f>'Project Overview'!$F$12/12</f>
        <v>0</v>
      </c>
      <c r="R75" s="100">
        <f>'Project Overview'!$F$13/12</f>
        <v>119251.30179166666</v>
      </c>
      <c r="S75" s="94">
        <v>75000</v>
      </c>
      <c r="T75" s="93">
        <f t="shared" si="47"/>
        <v>1678509.8684210526</v>
      </c>
      <c r="U75" s="95">
        <f>'Project Overview'!$E$12/12</f>
        <v>0</v>
      </c>
      <c r="V75" s="100">
        <f>'Project Overview'!$E$13/12</f>
        <v>103696.78416666666</v>
      </c>
      <c r="W75" s="94">
        <v>75000</v>
      </c>
      <c r="X75" s="93">
        <f t="shared" si="48"/>
        <v>1678509.8684210526</v>
      </c>
      <c r="Y75" s="95">
        <f>'Project Overview'!$E$12/12</f>
        <v>0</v>
      </c>
      <c r="Z75" s="100">
        <f>'Project Overview'!$E$13/12</f>
        <v>103696.78416666666</v>
      </c>
      <c r="AA75" s="94">
        <v>75000</v>
      </c>
      <c r="AB75" s="93">
        <f t="shared" si="49"/>
        <v>1678509.8684210526</v>
      </c>
      <c r="AC75" s="93">
        <f>('Project Overview'!$D$12/12)*6</f>
        <v>750000</v>
      </c>
      <c r="AD75" s="100">
        <f>('Project Overview'!$D$13/12)*6</f>
        <v>541026.69999999995</v>
      </c>
      <c r="AE75" s="95">
        <f t="shared" si="50"/>
        <v>225000</v>
      </c>
      <c r="AF75" s="93">
        <f t="shared" si="51"/>
        <v>5035529.6052631577</v>
      </c>
    </row>
    <row r="76" spans="1:32" ht="13">
      <c r="A76" s="87">
        <v>68</v>
      </c>
      <c r="B76" s="93">
        <f t="shared" si="41"/>
        <v>2094888.8028292123</v>
      </c>
      <c r="C76" s="94">
        <f t="shared" si="42"/>
        <v>675000</v>
      </c>
      <c r="D76" s="93">
        <f t="shared" si="43"/>
        <v>13011700.012960261</v>
      </c>
      <c r="E76" s="93">
        <f>'Project Overview'!$G$4/12</f>
        <v>0</v>
      </c>
      <c r="F76" s="93">
        <f>'Project Overview'!$G$5/12</f>
        <v>238714.62912087911</v>
      </c>
      <c r="G76" s="94">
        <v>75000</v>
      </c>
      <c r="H76" s="93">
        <f t="shared" si="44"/>
        <v>1678509.8684210526</v>
      </c>
      <c r="I76" s="95">
        <f>'Project Overview'!$G$12/12</f>
        <v>0</v>
      </c>
      <c r="J76" s="100">
        <f>'Project Overview'!$G$13/12</f>
        <v>119251.30179166666</v>
      </c>
      <c r="K76" s="94">
        <v>75000</v>
      </c>
      <c r="L76" s="93">
        <f t="shared" si="45"/>
        <v>1678509.8684210526</v>
      </c>
      <c r="M76" s="95">
        <f>'Project Overview'!$F$12/12</f>
        <v>0</v>
      </c>
      <c r="N76" s="100">
        <f>'Project Overview'!$F$13/12</f>
        <v>119251.30179166666</v>
      </c>
      <c r="O76" s="94">
        <v>75000</v>
      </c>
      <c r="P76" s="93">
        <f t="shared" si="46"/>
        <v>1678509.8684210526</v>
      </c>
      <c r="Q76" s="95">
        <f>'Project Overview'!$F$12/12</f>
        <v>0</v>
      </c>
      <c r="R76" s="100">
        <f>'Project Overview'!$F$13/12</f>
        <v>119251.30179166666</v>
      </c>
      <c r="S76" s="94">
        <v>75000</v>
      </c>
      <c r="T76" s="93">
        <f t="shared" si="47"/>
        <v>1678509.8684210526</v>
      </c>
      <c r="U76" s="95">
        <f>'Project Overview'!$E$12/12</f>
        <v>0</v>
      </c>
      <c r="V76" s="100">
        <f>'Project Overview'!$E$13/12</f>
        <v>103696.78416666666</v>
      </c>
      <c r="W76" s="94">
        <v>75000</v>
      </c>
      <c r="X76" s="93">
        <f t="shared" si="48"/>
        <v>1678509.8684210526</v>
      </c>
      <c r="Y76" s="95">
        <f>'Project Overview'!$E$12/12</f>
        <v>0</v>
      </c>
      <c r="Z76" s="100">
        <f>'Project Overview'!$E$13/12</f>
        <v>103696.78416666666</v>
      </c>
      <c r="AA76" s="94">
        <v>75000</v>
      </c>
      <c r="AB76" s="93">
        <f t="shared" si="49"/>
        <v>1678509.8684210526</v>
      </c>
      <c r="AC76" s="93">
        <f>('Project Overview'!$D$12/12)*6</f>
        <v>750000</v>
      </c>
      <c r="AD76" s="100">
        <f>('Project Overview'!$D$13/12)*6</f>
        <v>541026.69999999995</v>
      </c>
      <c r="AE76" s="95">
        <f t="shared" si="50"/>
        <v>225000</v>
      </c>
      <c r="AF76" s="93">
        <f t="shared" si="51"/>
        <v>5035529.6052631577</v>
      </c>
    </row>
    <row r="77" spans="1:32" ht="13">
      <c r="A77" s="87">
        <v>69</v>
      </c>
      <c r="B77" s="93">
        <f t="shared" si="41"/>
        <v>2094888.8028292123</v>
      </c>
      <c r="C77" s="94">
        <f t="shared" si="42"/>
        <v>675000</v>
      </c>
      <c r="D77" s="93">
        <f t="shared" si="43"/>
        <v>13011700.012960261</v>
      </c>
      <c r="E77" s="93">
        <f>'Project Overview'!$G$4/12</f>
        <v>0</v>
      </c>
      <c r="F77" s="93">
        <f>'Project Overview'!$G$5/12</f>
        <v>238714.62912087911</v>
      </c>
      <c r="G77" s="94">
        <v>75000</v>
      </c>
      <c r="H77" s="93">
        <f t="shared" si="44"/>
        <v>1678509.8684210526</v>
      </c>
      <c r="I77" s="95">
        <f>'Project Overview'!$G$12/12</f>
        <v>0</v>
      </c>
      <c r="J77" s="100">
        <f>'Project Overview'!$G$13/12</f>
        <v>119251.30179166666</v>
      </c>
      <c r="K77" s="94">
        <v>75000</v>
      </c>
      <c r="L77" s="93">
        <f t="shared" si="45"/>
        <v>1678509.8684210526</v>
      </c>
      <c r="M77" s="95">
        <f>'Project Overview'!$F$12/12</f>
        <v>0</v>
      </c>
      <c r="N77" s="100">
        <f>'Project Overview'!$F$13/12</f>
        <v>119251.30179166666</v>
      </c>
      <c r="O77" s="94">
        <v>75000</v>
      </c>
      <c r="P77" s="93">
        <f t="shared" si="46"/>
        <v>1678509.8684210526</v>
      </c>
      <c r="Q77" s="95">
        <f>'Project Overview'!$F$12/12</f>
        <v>0</v>
      </c>
      <c r="R77" s="100">
        <f>'Project Overview'!$F$13/12</f>
        <v>119251.30179166666</v>
      </c>
      <c r="S77" s="94">
        <v>75000</v>
      </c>
      <c r="T77" s="93">
        <f t="shared" si="47"/>
        <v>1678509.8684210526</v>
      </c>
      <c r="U77" s="95">
        <f>'Project Overview'!$E$12/12</f>
        <v>0</v>
      </c>
      <c r="V77" s="100">
        <f>'Project Overview'!$E$13/12</f>
        <v>103696.78416666666</v>
      </c>
      <c r="W77" s="94">
        <v>75000</v>
      </c>
      <c r="X77" s="93">
        <f t="shared" si="48"/>
        <v>1678509.8684210526</v>
      </c>
      <c r="Y77" s="95">
        <f>'Project Overview'!$E$12/12</f>
        <v>0</v>
      </c>
      <c r="Z77" s="100">
        <f>'Project Overview'!$E$13/12</f>
        <v>103696.78416666666</v>
      </c>
      <c r="AA77" s="94">
        <v>75000</v>
      </c>
      <c r="AB77" s="93">
        <f t="shared" si="49"/>
        <v>1678509.8684210526</v>
      </c>
      <c r="AC77" s="93">
        <f>('Project Overview'!$D$12/12)*6</f>
        <v>750000</v>
      </c>
      <c r="AD77" s="100">
        <f>('Project Overview'!$D$13/12)*6</f>
        <v>541026.69999999995</v>
      </c>
      <c r="AE77" s="95">
        <f t="shared" si="50"/>
        <v>225000</v>
      </c>
      <c r="AF77" s="93">
        <f t="shared" si="51"/>
        <v>5035529.6052631577</v>
      </c>
    </row>
    <row r="78" spans="1:32" ht="13">
      <c r="A78" s="87">
        <v>70</v>
      </c>
      <c r="B78" s="93">
        <f t="shared" si="41"/>
        <v>2094888.8028292123</v>
      </c>
      <c r="C78" s="94">
        <f t="shared" si="42"/>
        <v>675000</v>
      </c>
      <c r="D78" s="93">
        <f t="shared" si="43"/>
        <v>13011700.012960261</v>
      </c>
      <c r="E78" s="93">
        <f>'Project Overview'!$G$4/12</f>
        <v>0</v>
      </c>
      <c r="F78" s="93">
        <f>'Project Overview'!$G$5/12</f>
        <v>238714.62912087911</v>
      </c>
      <c r="G78" s="94">
        <v>75000</v>
      </c>
      <c r="H78" s="93">
        <f t="shared" si="44"/>
        <v>1678509.8684210526</v>
      </c>
      <c r="I78" s="95">
        <f>'Project Overview'!$G$12/12</f>
        <v>0</v>
      </c>
      <c r="J78" s="100">
        <f>'Project Overview'!$G$13/12</f>
        <v>119251.30179166666</v>
      </c>
      <c r="K78" s="94">
        <v>75000</v>
      </c>
      <c r="L78" s="93">
        <f t="shared" si="45"/>
        <v>1678509.8684210526</v>
      </c>
      <c r="M78" s="95">
        <f>'Project Overview'!$F$12/12</f>
        <v>0</v>
      </c>
      <c r="N78" s="100">
        <f>'Project Overview'!$F$13/12</f>
        <v>119251.30179166666</v>
      </c>
      <c r="O78" s="94">
        <v>75000</v>
      </c>
      <c r="P78" s="93">
        <f t="shared" si="46"/>
        <v>1678509.8684210526</v>
      </c>
      <c r="Q78" s="95">
        <f>'Project Overview'!$F$12/12</f>
        <v>0</v>
      </c>
      <c r="R78" s="100">
        <f>'Project Overview'!$F$13/12</f>
        <v>119251.30179166666</v>
      </c>
      <c r="S78" s="94">
        <v>75000</v>
      </c>
      <c r="T78" s="93">
        <f t="shared" si="47"/>
        <v>1678509.8684210526</v>
      </c>
      <c r="U78" s="95">
        <f>'Project Overview'!$E$12/12</f>
        <v>0</v>
      </c>
      <c r="V78" s="100">
        <f>'Project Overview'!$E$13/12</f>
        <v>103696.78416666666</v>
      </c>
      <c r="W78" s="94">
        <v>75000</v>
      </c>
      <c r="X78" s="93">
        <f t="shared" si="48"/>
        <v>1678509.8684210526</v>
      </c>
      <c r="Y78" s="95">
        <f>'Project Overview'!$E$12/12</f>
        <v>0</v>
      </c>
      <c r="Z78" s="100">
        <f>'Project Overview'!$E$13/12</f>
        <v>103696.78416666666</v>
      </c>
      <c r="AA78" s="94">
        <v>75000</v>
      </c>
      <c r="AB78" s="93">
        <f t="shared" si="49"/>
        <v>1678509.8684210526</v>
      </c>
      <c r="AC78" s="93">
        <f>('Project Overview'!$D$12/12)*6</f>
        <v>750000</v>
      </c>
      <c r="AD78" s="100">
        <f>('Project Overview'!$D$13/12)*6</f>
        <v>541026.69999999995</v>
      </c>
      <c r="AE78" s="95">
        <f t="shared" si="50"/>
        <v>225000</v>
      </c>
      <c r="AF78" s="93">
        <f t="shared" si="51"/>
        <v>5035529.6052631577</v>
      </c>
    </row>
    <row r="79" spans="1:32" ht="13">
      <c r="A79" s="87">
        <v>71</v>
      </c>
      <c r="B79" s="93">
        <f t="shared" si="41"/>
        <v>2094888.8028292123</v>
      </c>
      <c r="C79" s="94">
        <f t="shared" si="42"/>
        <v>675000</v>
      </c>
      <c r="D79" s="93">
        <f t="shared" si="43"/>
        <v>13011700.012960261</v>
      </c>
      <c r="E79" s="93">
        <f>'Project Overview'!$G$4/12</f>
        <v>0</v>
      </c>
      <c r="F79" s="93">
        <f>'Project Overview'!$G$5/12</f>
        <v>238714.62912087911</v>
      </c>
      <c r="G79" s="94">
        <v>75000</v>
      </c>
      <c r="H79" s="93">
        <f t="shared" si="44"/>
        <v>1678509.8684210526</v>
      </c>
      <c r="I79" s="95">
        <f>'Project Overview'!$G$12/12</f>
        <v>0</v>
      </c>
      <c r="J79" s="100">
        <f>'Project Overview'!$G$13/12</f>
        <v>119251.30179166666</v>
      </c>
      <c r="K79" s="94">
        <v>75000</v>
      </c>
      <c r="L79" s="93">
        <f t="shared" si="45"/>
        <v>1678509.8684210526</v>
      </c>
      <c r="M79" s="95">
        <f>'Project Overview'!$F$12/12</f>
        <v>0</v>
      </c>
      <c r="N79" s="100">
        <f>'Project Overview'!$F$13/12</f>
        <v>119251.30179166666</v>
      </c>
      <c r="O79" s="94">
        <v>75000</v>
      </c>
      <c r="P79" s="93">
        <f t="shared" si="46"/>
        <v>1678509.8684210526</v>
      </c>
      <c r="Q79" s="95">
        <f>'Project Overview'!$F$12/12</f>
        <v>0</v>
      </c>
      <c r="R79" s="100">
        <f>'Project Overview'!$F$13/12</f>
        <v>119251.30179166666</v>
      </c>
      <c r="S79" s="94">
        <v>75000</v>
      </c>
      <c r="T79" s="93">
        <f t="shared" si="47"/>
        <v>1678509.8684210526</v>
      </c>
      <c r="U79" s="95">
        <f>'Project Overview'!$E$12/12</f>
        <v>0</v>
      </c>
      <c r="V79" s="100">
        <f>'Project Overview'!$E$13/12</f>
        <v>103696.78416666666</v>
      </c>
      <c r="W79" s="94">
        <v>75000</v>
      </c>
      <c r="X79" s="93">
        <f t="shared" si="48"/>
        <v>1678509.8684210526</v>
      </c>
      <c r="Y79" s="95">
        <f>'Project Overview'!$E$12/12</f>
        <v>0</v>
      </c>
      <c r="Z79" s="100">
        <f>'Project Overview'!$E$13/12</f>
        <v>103696.78416666666</v>
      </c>
      <c r="AA79" s="94">
        <v>75000</v>
      </c>
      <c r="AB79" s="93">
        <f t="shared" si="49"/>
        <v>1678509.8684210526</v>
      </c>
      <c r="AC79" s="93">
        <f>('Project Overview'!$D$12/12)*6</f>
        <v>750000</v>
      </c>
      <c r="AD79" s="100">
        <f>('Project Overview'!$D$13/12)*6</f>
        <v>541026.69999999995</v>
      </c>
      <c r="AE79" s="95">
        <f t="shared" si="50"/>
        <v>225000</v>
      </c>
      <c r="AF79" s="93">
        <f t="shared" si="51"/>
        <v>5035529.6052631577</v>
      </c>
    </row>
    <row r="80" spans="1:32" ht="13">
      <c r="A80" s="87">
        <v>72</v>
      </c>
      <c r="B80" s="93">
        <f t="shared" si="41"/>
        <v>2094888.8028292123</v>
      </c>
      <c r="C80" s="94">
        <f t="shared" si="42"/>
        <v>675000</v>
      </c>
      <c r="D80" s="93">
        <f t="shared" si="43"/>
        <v>13011700.012960261</v>
      </c>
      <c r="E80" s="93">
        <f>'Project Overview'!$G$4/12</f>
        <v>0</v>
      </c>
      <c r="F80" s="93">
        <f>'Project Overview'!$G$5/12</f>
        <v>238714.62912087911</v>
      </c>
      <c r="G80" s="94">
        <v>75000</v>
      </c>
      <c r="H80" s="93">
        <f t="shared" si="44"/>
        <v>1678509.8684210526</v>
      </c>
      <c r="I80" s="95">
        <f>'Project Overview'!$G$12/12</f>
        <v>0</v>
      </c>
      <c r="J80" s="100">
        <f>'Project Overview'!$G$13/12</f>
        <v>119251.30179166666</v>
      </c>
      <c r="K80" s="94">
        <v>75000</v>
      </c>
      <c r="L80" s="93">
        <f t="shared" si="45"/>
        <v>1678509.8684210526</v>
      </c>
      <c r="M80" s="95">
        <f>'Project Overview'!$F$12/12</f>
        <v>0</v>
      </c>
      <c r="N80" s="100">
        <f>'Project Overview'!$F$13/12</f>
        <v>119251.30179166666</v>
      </c>
      <c r="O80" s="94">
        <v>75000</v>
      </c>
      <c r="P80" s="93">
        <f t="shared" si="46"/>
        <v>1678509.8684210526</v>
      </c>
      <c r="Q80" s="95">
        <f>'Project Overview'!$F$12/12</f>
        <v>0</v>
      </c>
      <c r="R80" s="100">
        <f>'Project Overview'!$F$13/12</f>
        <v>119251.30179166666</v>
      </c>
      <c r="S80" s="94">
        <v>75000</v>
      </c>
      <c r="T80" s="93">
        <f t="shared" si="47"/>
        <v>1678509.8684210526</v>
      </c>
      <c r="U80" s="95">
        <f>'Project Overview'!$E$12/12</f>
        <v>0</v>
      </c>
      <c r="V80" s="100">
        <f>'Project Overview'!$E$13/12</f>
        <v>103696.78416666666</v>
      </c>
      <c r="W80" s="94">
        <v>75000</v>
      </c>
      <c r="X80" s="93">
        <f t="shared" si="48"/>
        <v>1678509.8684210526</v>
      </c>
      <c r="Y80" s="95">
        <f>'Project Overview'!$E$12/12</f>
        <v>0</v>
      </c>
      <c r="Z80" s="100">
        <f>'Project Overview'!$E$13/12</f>
        <v>103696.78416666666</v>
      </c>
      <c r="AA80" s="94">
        <v>75000</v>
      </c>
      <c r="AB80" s="93">
        <f t="shared" si="49"/>
        <v>1678509.8684210526</v>
      </c>
      <c r="AC80" s="93">
        <f>('Project Overview'!$D$12/12)*6</f>
        <v>750000</v>
      </c>
      <c r="AD80" s="100">
        <f>('Project Overview'!$D$13/12)*6</f>
        <v>541026.69999999995</v>
      </c>
      <c r="AE80" s="95">
        <f t="shared" si="50"/>
        <v>225000</v>
      </c>
      <c r="AF80" s="93">
        <f t="shared" si="51"/>
        <v>5035529.6052631577</v>
      </c>
    </row>
    <row r="81" spans="1:32" ht="13">
      <c r="A81" s="96" t="s">
        <v>75</v>
      </c>
      <c r="B81" s="97">
        <f t="shared" ref="B81:AF81" si="52">SUM(B69:B80)</f>
        <v>25138665.63395055</v>
      </c>
      <c r="C81" s="98">
        <f t="shared" si="52"/>
        <v>8100000</v>
      </c>
      <c r="D81" s="97">
        <f t="shared" si="52"/>
        <v>156140400.15552309</v>
      </c>
      <c r="E81" s="97">
        <f t="shared" si="52"/>
        <v>0</v>
      </c>
      <c r="F81" s="97">
        <f t="shared" si="52"/>
        <v>2864575.5494505484</v>
      </c>
      <c r="G81" s="98">
        <f t="shared" si="52"/>
        <v>900000</v>
      </c>
      <c r="H81" s="97">
        <f t="shared" si="52"/>
        <v>20142118.421052624</v>
      </c>
      <c r="I81" s="99">
        <f t="shared" si="52"/>
        <v>0</v>
      </c>
      <c r="J81" s="101">
        <f t="shared" si="52"/>
        <v>1431015.6214999994</v>
      </c>
      <c r="K81" s="98">
        <f t="shared" si="52"/>
        <v>900000</v>
      </c>
      <c r="L81" s="97">
        <f t="shared" si="52"/>
        <v>20142118.421052624</v>
      </c>
      <c r="M81" s="99">
        <f t="shared" si="52"/>
        <v>0</v>
      </c>
      <c r="N81" s="101">
        <f t="shared" si="52"/>
        <v>1431015.6214999994</v>
      </c>
      <c r="O81" s="98">
        <f t="shared" si="52"/>
        <v>900000</v>
      </c>
      <c r="P81" s="97">
        <f t="shared" si="52"/>
        <v>20142118.421052624</v>
      </c>
      <c r="Q81" s="99">
        <f t="shared" si="52"/>
        <v>0</v>
      </c>
      <c r="R81" s="101">
        <f t="shared" si="52"/>
        <v>1431015.6214999994</v>
      </c>
      <c r="S81" s="98">
        <f t="shared" si="52"/>
        <v>900000</v>
      </c>
      <c r="T81" s="97">
        <f t="shared" si="52"/>
        <v>20142118.421052624</v>
      </c>
      <c r="U81" s="99">
        <f t="shared" si="52"/>
        <v>0</v>
      </c>
      <c r="V81" s="101">
        <f t="shared" si="52"/>
        <v>1244361.4099999999</v>
      </c>
      <c r="W81" s="98">
        <f t="shared" si="52"/>
        <v>900000</v>
      </c>
      <c r="X81" s="97">
        <f t="shared" si="52"/>
        <v>20142118.421052624</v>
      </c>
      <c r="Y81" s="99">
        <f t="shared" si="52"/>
        <v>0</v>
      </c>
      <c r="Z81" s="101">
        <f t="shared" si="52"/>
        <v>1244361.4099999999</v>
      </c>
      <c r="AA81" s="98">
        <f t="shared" si="52"/>
        <v>900000</v>
      </c>
      <c r="AB81" s="97">
        <f t="shared" si="52"/>
        <v>20142118.421052624</v>
      </c>
      <c r="AC81" s="97">
        <f t="shared" si="52"/>
        <v>9000000</v>
      </c>
      <c r="AD81" s="101">
        <f t="shared" si="52"/>
        <v>6492320.4000000013</v>
      </c>
      <c r="AE81" s="99">
        <f t="shared" si="52"/>
        <v>2700000</v>
      </c>
      <c r="AF81" s="97">
        <f t="shared" si="52"/>
        <v>60426355.263157897</v>
      </c>
    </row>
    <row r="82" spans="1:32" ht="13">
      <c r="A82" s="95">
        <v>73</v>
      </c>
      <c r="B82" s="93">
        <f t="shared" ref="B82:B93" si="53">E82+F82+I82+J82+M82+N82+Q82+R82+U82+V82+Y82+Z82+AC82+AD82</f>
        <v>1457151.8430792124</v>
      </c>
      <c r="C82" s="94">
        <f t="shared" ref="C82:C93" si="54">G82+K82+O82+S82+W82+AA82+AE82</f>
        <v>900000</v>
      </c>
      <c r="D82" s="93">
        <f t="shared" ref="D82:D93" si="55">(H82+L82+P82+T82+X82+AB82+AF82)-B82</f>
        <v>18684966.577973414</v>
      </c>
      <c r="E82" s="93">
        <f>'Project Overview'!$G$4/12</f>
        <v>0</v>
      </c>
      <c r="F82" s="93">
        <f>'Project Overview'!$G$5/12</f>
        <v>238714.62912087911</v>
      </c>
      <c r="G82" s="94">
        <v>75000</v>
      </c>
      <c r="H82" s="93">
        <f t="shared" ref="H82:H93" si="56">G82*($H$2-$F$2)</f>
        <v>1678509.8684210526</v>
      </c>
      <c r="I82" s="95">
        <f>'Project Overview'!$G$12/12</f>
        <v>0</v>
      </c>
      <c r="J82" s="100">
        <f>'Project Overview'!$G$13/12</f>
        <v>119251.30179166666</v>
      </c>
      <c r="K82" s="94">
        <v>75000</v>
      </c>
      <c r="L82" s="93">
        <f t="shared" ref="L82:L93" si="57">K82*($L$2-$J$2)</f>
        <v>1678509.8684210526</v>
      </c>
      <c r="M82" s="95">
        <f>'Project Overview'!$G$12/12</f>
        <v>0</v>
      </c>
      <c r="N82" s="100">
        <f>'Project Overview'!$G$13/12</f>
        <v>119251.30179166666</v>
      </c>
      <c r="O82" s="94">
        <v>75000</v>
      </c>
      <c r="P82" s="93">
        <f t="shared" ref="P82:P93" si="58">O82*($P$2-$N$2)</f>
        <v>1678509.8684210526</v>
      </c>
      <c r="Q82" s="95">
        <f>'Project Overview'!$G$12/12</f>
        <v>0</v>
      </c>
      <c r="R82" s="100">
        <f>'Project Overview'!$G$13/12</f>
        <v>119251.30179166666</v>
      </c>
      <c r="S82" s="94">
        <v>75000</v>
      </c>
      <c r="T82" s="93">
        <f t="shared" ref="T82:T93" si="59">S82*($T$2-$R$2)</f>
        <v>1678509.8684210526</v>
      </c>
      <c r="U82" s="95">
        <f>'Project Overview'!$G$12/12</f>
        <v>0</v>
      </c>
      <c r="V82" s="100">
        <f>'Project Overview'!$G$13/12</f>
        <v>119251.30179166666</v>
      </c>
      <c r="W82" s="94">
        <v>75000</v>
      </c>
      <c r="X82" s="93">
        <f t="shared" ref="X82:X93" si="60">W82*($X$2-$V$2)</f>
        <v>1678509.8684210526</v>
      </c>
      <c r="Y82" s="95">
        <f>'Project Overview'!$G$12/12</f>
        <v>0</v>
      </c>
      <c r="Z82" s="100">
        <f>'Project Overview'!$G$13/12</f>
        <v>119251.30179166666</v>
      </c>
      <c r="AA82" s="94">
        <v>75000</v>
      </c>
      <c r="AB82" s="93">
        <f t="shared" ref="AB82:AB93" si="61">AA82*($AB$2-$Z$2)</f>
        <v>1678509.8684210526</v>
      </c>
      <c r="AC82" s="95">
        <f>('Project Overview'!$E$12/12)*6</f>
        <v>0</v>
      </c>
      <c r="AD82" s="100">
        <f>('Project Overview'!$E$13/12)*6</f>
        <v>622180.70499999996</v>
      </c>
      <c r="AE82" s="94">
        <f t="shared" ref="AE82:AE93" si="62">75000*6</f>
        <v>450000</v>
      </c>
      <c r="AF82" s="93">
        <f t="shared" ref="AF82:AF93" si="63">AE82*($AF$2-$AD$2)</f>
        <v>10071059.210526315</v>
      </c>
    </row>
    <row r="83" spans="1:32" ht="13">
      <c r="A83" s="95">
        <v>74</v>
      </c>
      <c r="B83" s="93">
        <f t="shared" si="53"/>
        <v>1457151.8430792124</v>
      </c>
      <c r="C83" s="94">
        <f t="shared" si="54"/>
        <v>900000</v>
      </c>
      <c r="D83" s="93">
        <f t="shared" si="55"/>
        <v>18684966.577973414</v>
      </c>
      <c r="E83" s="93">
        <f>'Project Overview'!$G$4/12</f>
        <v>0</v>
      </c>
      <c r="F83" s="93">
        <f>'Project Overview'!$G$5/12</f>
        <v>238714.62912087911</v>
      </c>
      <c r="G83" s="94">
        <v>75000</v>
      </c>
      <c r="H83" s="93">
        <f t="shared" si="56"/>
        <v>1678509.8684210526</v>
      </c>
      <c r="I83" s="95">
        <f>'Project Overview'!$G$12/12</f>
        <v>0</v>
      </c>
      <c r="J83" s="100">
        <f>'Project Overview'!$G$13/12</f>
        <v>119251.30179166666</v>
      </c>
      <c r="K83" s="94">
        <v>75000</v>
      </c>
      <c r="L83" s="93">
        <f t="shared" si="57"/>
        <v>1678509.8684210526</v>
      </c>
      <c r="M83" s="95">
        <f>'Project Overview'!$G$12/12</f>
        <v>0</v>
      </c>
      <c r="N83" s="100">
        <f>'Project Overview'!$G$13/12</f>
        <v>119251.30179166666</v>
      </c>
      <c r="O83" s="94">
        <v>75000</v>
      </c>
      <c r="P83" s="93">
        <f t="shared" si="58"/>
        <v>1678509.8684210526</v>
      </c>
      <c r="Q83" s="95">
        <f>'Project Overview'!$G$12/12</f>
        <v>0</v>
      </c>
      <c r="R83" s="100">
        <f>'Project Overview'!$G$13/12</f>
        <v>119251.30179166666</v>
      </c>
      <c r="S83" s="94">
        <v>75000</v>
      </c>
      <c r="T83" s="93">
        <f t="shared" si="59"/>
        <v>1678509.8684210526</v>
      </c>
      <c r="U83" s="95">
        <f>'Project Overview'!$G$12/12</f>
        <v>0</v>
      </c>
      <c r="V83" s="100">
        <f>'Project Overview'!$G$13/12</f>
        <v>119251.30179166666</v>
      </c>
      <c r="W83" s="94">
        <v>75000</v>
      </c>
      <c r="X83" s="93">
        <f t="shared" si="60"/>
        <v>1678509.8684210526</v>
      </c>
      <c r="Y83" s="95">
        <f>'Project Overview'!$G$12/12</f>
        <v>0</v>
      </c>
      <c r="Z83" s="100">
        <f>'Project Overview'!$G$13/12</f>
        <v>119251.30179166666</v>
      </c>
      <c r="AA83" s="94">
        <v>75000</v>
      </c>
      <c r="AB83" s="93">
        <f t="shared" si="61"/>
        <v>1678509.8684210526</v>
      </c>
      <c r="AC83" s="95">
        <f>('Project Overview'!$E$12/12)*6</f>
        <v>0</v>
      </c>
      <c r="AD83" s="100">
        <f>('Project Overview'!$E$13/12)*6</f>
        <v>622180.70499999996</v>
      </c>
      <c r="AE83" s="94">
        <f t="shared" si="62"/>
        <v>450000</v>
      </c>
      <c r="AF83" s="93">
        <f t="shared" si="63"/>
        <v>10071059.210526315</v>
      </c>
    </row>
    <row r="84" spans="1:32" ht="13">
      <c r="A84" s="95">
        <v>75</v>
      </c>
      <c r="B84" s="93">
        <f t="shared" si="53"/>
        <v>1457151.8430792124</v>
      </c>
      <c r="C84" s="94">
        <f t="shared" si="54"/>
        <v>900000</v>
      </c>
      <c r="D84" s="93">
        <f t="shared" si="55"/>
        <v>18684966.577973414</v>
      </c>
      <c r="E84" s="93">
        <f>'Project Overview'!$G$4/12</f>
        <v>0</v>
      </c>
      <c r="F84" s="93">
        <f>'Project Overview'!$G$5/12</f>
        <v>238714.62912087911</v>
      </c>
      <c r="G84" s="94">
        <v>75000</v>
      </c>
      <c r="H84" s="93">
        <f t="shared" si="56"/>
        <v>1678509.8684210526</v>
      </c>
      <c r="I84" s="95">
        <f>'Project Overview'!$G$12/12</f>
        <v>0</v>
      </c>
      <c r="J84" s="100">
        <f>'Project Overview'!$G$13/12</f>
        <v>119251.30179166666</v>
      </c>
      <c r="K84" s="94">
        <v>75000</v>
      </c>
      <c r="L84" s="93">
        <f t="shared" si="57"/>
        <v>1678509.8684210526</v>
      </c>
      <c r="M84" s="95">
        <f>'Project Overview'!$G$12/12</f>
        <v>0</v>
      </c>
      <c r="N84" s="100">
        <f>'Project Overview'!$G$13/12</f>
        <v>119251.30179166666</v>
      </c>
      <c r="O84" s="94">
        <v>75000</v>
      </c>
      <c r="P84" s="93">
        <f t="shared" si="58"/>
        <v>1678509.8684210526</v>
      </c>
      <c r="Q84" s="95">
        <f>'Project Overview'!$G$12/12</f>
        <v>0</v>
      </c>
      <c r="R84" s="100">
        <f>'Project Overview'!$G$13/12</f>
        <v>119251.30179166666</v>
      </c>
      <c r="S84" s="94">
        <v>75000</v>
      </c>
      <c r="T84" s="93">
        <f t="shared" si="59"/>
        <v>1678509.8684210526</v>
      </c>
      <c r="U84" s="95">
        <f>'Project Overview'!$G$12/12</f>
        <v>0</v>
      </c>
      <c r="V84" s="100">
        <f>'Project Overview'!$G$13/12</f>
        <v>119251.30179166666</v>
      </c>
      <c r="W84" s="94">
        <v>75000</v>
      </c>
      <c r="X84" s="93">
        <f t="shared" si="60"/>
        <v>1678509.8684210526</v>
      </c>
      <c r="Y84" s="95">
        <f>'Project Overview'!$G$12/12</f>
        <v>0</v>
      </c>
      <c r="Z84" s="100">
        <f>'Project Overview'!$G$13/12</f>
        <v>119251.30179166666</v>
      </c>
      <c r="AA84" s="94">
        <v>75000</v>
      </c>
      <c r="AB84" s="93">
        <f t="shared" si="61"/>
        <v>1678509.8684210526</v>
      </c>
      <c r="AC84" s="95">
        <f>('Project Overview'!$E$12/12)*6</f>
        <v>0</v>
      </c>
      <c r="AD84" s="100">
        <f>('Project Overview'!$E$13/12)*6</f>
        <v>622180.70499999996</v>
      </c>
      <c r="AE84" s="94">
        <f t="shared" si="62"/>
        <v>450000</v>
      </c>
      <c r="AF84" s="93">
        <f t="shared" si="63"/>
        <v>10071059.210526315</v>
      </c>
    </row>
    <row r="85" spans="1:32" ht="13">
      <c r="A85" s="95">
        <v>76</v>
      </c>
      <c r="B85" s="93">
        <f t="shared" si="53"/>
        <v>1457151.8430792124</v>
      </c>
      <c r="C85" s="94">
        <f t="shared" si="54"/>
        <v>900000</v>
      </c>
      <c r="D85" s="93">
        <f t="shared" si="55"/>
        <v>18684966.577973414</v>
      </c>
      <c r="E85" s="93">
        <f>'Project Overview'!$G$4/12</f>
        <v>0</v>
      </c>
      <c r="F85" s="93">
        <f>'Project Overview'!$G$5/12</f>
        <v>238714.62912087911</v>
      </c>
      <c r="G85" s="94">
        <v>75000</v>
      </c>
      <c r="H85" s="93">
        <f t="shared" si="56"/>
        <v>1678509.8684210526</v>
      </c>
      <c r="I85" s="95">
        <f>'Project Overview'!$G$12/12</f>
        <v>0</v>
      </c>
      <c r="J85" s="100">
        <f>'Project Overview'!$G$13/12</f>
        <v>119251.30179166666</v>
      </c>
      <c r="K85" s="94">
        <v>75000</v>
      </c>
      <c r="L85" s="93">
        <f t="shared" si="57"/>
        <v>1678509.8684210526</v>
      </c>
      <c r="M85" s="95">
        <f>'Project Overview'!$G$12/12</f>
        <v>0</v>
      </c>
      <c r="N85" s="100">
        <f>'Project Overview'!$G$13/12</f>
        <v>119251.30179166666</v>
      </c>
      <c r="O85" s="94">
        <v>75000</v>
      </c>
      <c r="P85" s="93">
        <f t="shared" si="58"/>
        <v>1678509.8684210526</v>
      </c>
      <c r="Q85" s="95">
        <f>'Project Overview'!$G$12/12</f>
        <v>0</v>
      </c>
      <c r="R85" s="100">
        <f>'Project Overview'!$G$13/12</f>
        <v>119251.30179166666</v>
      </c>
      <c r="S85" s="94">
        <v>75000</v>
      </c>
      <c r="T85" s="93">
        <f t="shared" si="59"/>
        <v>1678509.8684210526</v>
      </c>
      <c r="U85" s="95">
        <f>'Project Overview'!$G$12/12</f>
        <v>0</v>
      </c>
      <c r="V85" s="100">
        <f>'Project Overview'!$G$13/12</f>
        <v>119251.30179166666</v>
      </c>
      <c r="W85" s="94">
        <v>75000</v>
      </c>
      <c r="X85" s="93">
        <f t="shared" si="60"/>
        <v>1678509.8684210526</v>
      </c>
      <c r="Y85" s="95">
        <f>'Project Overview'!$G$12/12</f>
        <v>0</v>
      </c>
      <c r="Z85" s="100">
        <f>'Project Overview'!$G$13/12</f>
        <v>119251.30179166666</v>
      </c>
      <c r="AA85" s="94">
        <v>75000</v>
      </c>
      <c r="AB85" s="93">
        <f t="shared" si="61"/>
        <v>1678509.8684210526</v>
      </c>
      <c r="AC85" s="95">
        <f>('Project Overview'!$E$12/12)*6</f>
        <v>0</v>
      </c>
      <c r="AD85" s="100">
        <f>('Project Overview'!$E$13/12)*6</f>
        <v>622180.70499999996</v>
      </c>
      <c r="AE85" s="94">
        <f t="shared" si="62"/>
        <v>450000</v>
      </c>
      <c r="AF85" s="93">
        <f t="shared" si="63"/>
        <v>10071059.210526315</v>
      </c>
    </row>
    <row r="86" spans="1:32" ht="13">
      <c r="A86" s="95">
        <v>77</v>
      </c>
      <c r="B86" s="93">
        <f t="shared" si="53"/>
        <v>1457151.8430792124</v>
      </c>
      <c r="C86" s="94">
        <f t="shared" si="54"/>
        <v>900000</v>
      </c>
      <c r="D86" s="93">
        <f t="shared" si="55"/>
        <v>18684966.577973414</v>
      </c>
      <c r="E86" s="93">
        <f>'Project Overview'!$G$4/12</f>
        <v>0</v>
      </c>
      <c r="F86" s="93">
        <f>'Project Overview'!$G$5/12</f>
        <v>238714.62912087911</v>
      </c>
      <c r="G86" s="94">
        <v>75000</v>
      </c>
      <c r="H86" s="93">
        <f t="shared" si="56"/>
        <v>1678509.8684210526</v>
      </c>
      <c r="I86" s="95">
        <f>'Project Overview'!$G$12/12</f>
        <v>0</v>
      </c>
      <c r="J86" s="100">
        <f>'Project Overview'!$G$13/12</f>
        <v>119251.30179166666</v>
      </c>
      <c r="K86" s="94">
        <v>75000</v>
      </c>
      <c r="L86" s="93">
        <f t="shared" si="57"/>
        <v>1678509.8684210526</v>
      </c>
      <c r="M86" s="95">
        <f>'Project Overview'!$G$12/12</f>
        <v>0</v>
      </c>
      <c r="N86" s="100">
        <f>'Project Overview'!$G$13/12</f>
        <v>119251.30179166666</v>
      </c>
      <c r="O86" s="94">
        <v>75000</v>
      </c>
      <c r="P86" s="93">
        <f t="shared" si="58"/>
        <v>1678509.8684210526</v>
      </c>
      <c r="Q86" s="95">
        <f>'Project Overview'!$G$12/12</f>
        <v>0</v>
      </c>
      <c r="R86" s="100">
        <f>'Project Overview'!$G$13/12</f>
        <v>119251.30179166666</v>
      </c>
      <c r="S86" s="94">
        <v>75000</v>
      </c>
      <c r="T86" s="93">
        <f t="shared" si="59"/>
        <v>1678509.8684210526</v>
      </c>
      <c r="U86" s="95">
        <f>'Project Overview'!$G$12/12</f>
        <v>0</v>
      </c>
      <c r="V86" s="100">
        <f>'Project Overview'!$G$13/12</f>
        <v>119251.30179166666</v>
      </c>
      <c r="W86" s="94">
        <v>75000</v>
      </c>
      <c r="X86" s="93">
        <f t="shared" si="60"/>
        <v>1678509.8684210526</v>
      </c>
      <c r="Y86" s="95">
        <f>'Project Overview'!$G$12/12</f>
        <v>0</v>
      </c>
      <c r="Z86" s="100">
        <f>'Project Overview'!$G$13/12</f>
        <v>119251.30179166666</v>
      </c>
      <c r="AA86" s="94">
        <v>75000</v>
      </c>
      <c r="AB86" s="93">
        <f t="shared" si="61"/>
        <v>1678509.8684210526</v>
      </c>
      <c r="AC86" s="95">
        <f>('Project Overview'!$E$12/12)*6</f>
        <v>0</v>
      </c>
      <c r="AD86" s="100">
        <f>('Project Overview'!$E$13/12)*6</f>
        <v>622180.70499999996</v>
      </c>
      <c r="AE86" s="94">
        <f t="shared" si="62"/>
        <v>450000</v>
      </c>
      <c r="AF86" s="93">
        <f t="shared" si="63"/>
        <v>10071059.210526315</v>
      </c>
    </row>
    <row r="87" spans="1:32" ht="13">
      <c r="A87" s="95">
        <v>78</v>
      </c>
      <c r="B87" s="93">
        <f t="shared" si="53"/>
        <v>1457151.8430792124</v>
      </c>
      <c r="C87" s="94">
        <f t="shared" si="54"/>
        <v>900000</v>
      </c>
      <c r="D87" s="93">
        <f t="shared" si="55"/>
        <v>18684966.577973414</v>
      </c>
      <c r="E87" s="93">
        <f>'Project Overview'!$G$4/12</f>
        <v>0</v>
      </c>
      <c r="F87" s="93">
        <f>'Project Overview'!$G$5/12</f>
        <v>238714.62912087911</v>
      </c>
      <c r="G87" s="94">
        <v>75000</v>
      </c>
      <c r="H87" s="93">
        <f t="shared" si="56"/>
        <v>1678509.8684210526</v>
      </c>
      <c r="I87" s="95">
        <f>'Project Overview'!$G$12/12</f>
        <v>0</v>
      </c>
      <c r="J87" s="100">
        <f>'Project Overview'!$G$13/12</f>
        <v>119251.30179166666</v>
      </c>
      <c r="K87" s="94">
        <v>75000</v>
      </c>
      <c r="L87" s="93">
        <f t="shared" si="57"/>
        <v>1678509.8684210526</v>
      </c>
      <c r="M87" s="95">
        <f>'Project Overview'!$G$12/12</f>
        <v>0</v>
      </c>
      <c r="N87" s="100">
        <f>'Project Overview'!$G$13/12</f>
        <v>119251.30179166666</v>
      </c>
      <c r="O87" s="94">
        <v>75000</v>
      </c>
      <c r="P87" s="93">
        <f t="shared" si="58"/>
        <v>1678509.8684210526</v>
      </c>
      <c r="Q87" s="95">
        <f>'Project Overview'!$G$12/12</f>
        <v>0</v>
      </c>
      <c r="R87" s="100">
        <f>'Project Overview'!$G$13/12</f>
        <v>119251.30179166666</v>
      </c>
      <c r="S87" s="94">
        <v>75000</v>
      </c>
      <c r="T87" s="93">
        <f t="shared" si="59"/>
        <v>1678509.8684210526</v>
      </c>
      <c r="U87" s="95">
        <f>'Project Overview'!$G$12/12</f>
        <v>0</v>
      </c>
      <c r="V87" s="100">
        <f>'Project Overview'!$G$13/12</f>
        <v>119251.30179166666</v>
      </c>
      <c r="W87" s="94">
        <v>75000</v>
      </c>
      <c r="X87" s="93">
        <f t="shared" si="60"/>
        <v>1678509.8684210526</v>
      </c>
      <c r="Y87" s="95">
        <f>'Project Overview'!$G$12/12</f>
        <v>0</v>
      </c>
      <c r="Z87" s="100">
        <f>'Project Overview'!$G$13/12</f>
        <v>119251.30179166666</v>
      </c>
      <c r="AA87" s="94">
        <v>75000</v>
      </c>
      <c r="AB87" s="93">
        <f t="shared" si="61"/>
        <v>1678509.8684210526</v>
      </c>
      <c r="AC87" s="95">
        <f>('Project Overview'!$E$12/12)*6</f>
        <v>0</v>
      </c>
      <c r="AD87" s="100">
        <f>('Project Overview'!$E$13/12)*6</f>
        <v>622180.70499999996</v>
      </c>
      <c r="AE87" s="94">
        <f t="shared" si="62"/>
        <v>450000</v>
      </c>
      <c r="AF87" s="93">
        <f t="shared" si="63"/>
        <v>10071059.210526315</v>
      </c>
    </row>
    <row r="88" spans="1:32" ht="13">
      <c r="A88" s="95">
        <v>79</v>
      </c>
      <c r="B88" s="93">
        <f t="shared" si="53"/>
        <v>1457151.8430792124</v>
      </c>
      <c r="C88" s="94">
        <f t="shared" si="54"/>
        <v>900000</v>
      </c>
      <c r="D88" s="93">
        <f t="shared" si="55"/>
        <v>18684966.577973414</v>
      </c>
      <c r="E88" s="93">
        <f>'Project Overview'!$G$4/12</f>
        <v>0</v>
      </c>
      <c r="F88" s="93">
        <f>'Project Overview'!$G$5/12</f>
        <v>238714.62912087911</v>
      </c>
      <c r="G88" s="94">
        <v>75000</v>
      </c>
      <c r="H88" s="93">
        <f t="shared" si="56"/>
        <v>1678509.8684210526</v>
      </c>
      <c r="I88" s="95">
        <f>'Project Overview'!$G$12/12</f>
        <v>0</v>
      </c>
      <c r="J88" s="100">
        <f>'Project Overview'!$G$13/12</f>
        <v>119251.30179166666</v>
      </c>
      <c r="K88" s="94">
        <v>75000</v>
      </c>
      <c r="L88" s="93">
        <f t="shared" si="57"/>
        <v>1678509.8684210526</v>
      </c>
      <c r="M88" s="95">
        <f>'Project Overview'!$G$12/12</f>
        <v>0</v>
      </c>
      <c r="N88" s="100">
        <f>'Project Overview'!$G$13/12</f>
        <v>119251.30179166666</v>
      </c>
      <c r="O88" s="94">
        <v>75000</v>
      </c>
      <c r="P88" s="93">
        <f t="shared" si="58"/>
        <v>1678509.8684210526</v>
      </c>
      <c r="Q88" s="95">
        <f>'Project Overview'!$G$12/12</f>
        <v>0</v>
      </c>
      <c r="R88" s="100">
        <f>'Project Overview'!$G$13/12</f>
        <v>119251.30179166666</v>
      </c>
      <c r="S88" s="94">
        <v>75000</v>
      </c>
      <c r="T88" s="93">
        <f t="shared" si="59"/>
        <v>1678509.8684210526</v>
      </c>
      <c r="U88" s="95">
        <f>'Project Overview'!$G$12/12</f>
        <v>0</v>
      </c>
      <c r="V88" s="100">
        <f>'Project Overview'!$G$13/12</f>
        <v>119251.30179166666</v>
      </c>
      <c r="W88" s="94">
        <v>75000</v>
      </c>
      <c r="X88" s="93">
        <f t="shared" si="60"/>
        <v>1678509.8684210526</v>
      </c>
      <c r="Y88" s="95">
        <f>'Project Overview'!$G$12/12</f>
        <v>0</v>
      </c>
      <c r="Z88" s="100">
        <f>'Project Overview'!$G$13/12</f>
        <v>119251.30179166666</v>
      </c>
      <c r="AA88" s="94">
        <v>75000</v>
      </c>
      <c r="AB88" s="93">
        <f t="shared" si="61"/>
        <v>1678509.8684210526</v>
      </c>
      <c r="AC88" s="95">
        <f>('Project Overview'!$E$12/12)*6</f>
        <v>0</v>
      </c>
      <c r="AD88" s="100">
        <f>('Project Overview'!$E$13/12)*6</f>
        <v>622180.70499999996</v>
      </c>
      <c r="AE88" s="94">
        <f t="shared" si="62"/>
        <v>450000</v>
      </c>
      <c r="AF88" s="93">
        <f t="shared" si="63"/>
        <v>10071059.210526315</v>
      </c>
    </row>
    <row r="89" spans="1:32" ht="13">
      <c r="A89" s="95">
        <v>80</v>
      </c>
      <c r="B89" s="93">
        <f t="shared" si="53"/>
        <v>1457151.8430792124</v>
      </c>
      <c r="C89" s="94">
        <f t="shared" si="54"/>
        <v>900000</v>
      </c>
      <c r="D89" s="93">
        <f t="shared" si="55"/>
        <v>18684966.577973414</v>
      </c>
      <c r="E89" s="93">
        <f>'Project Overview'!$G$4/12</f>
        <v>0</v>
      </c>
      <c r="F89" s="93">
        <f>'Project Overview'!$G$5/12</f>
        <v>238714.62912087911</v>
      </c>
      <c r="G89" s="94">
        <v>75000</v>
      </c>
      <c r="H89" s="93">
        <f t="shared" si="56"/>
        <v>1678509.8684210526</v>
      </c>
      <c r="I89" s="95">
        <f>'Project Overview'!$G$12/12</f>
        <v>0</v>
      </c>
      <c r="J89" s="100">
        <f>'Project Overview'!$G$13/12</f>
        <v>119251.30179166666</v>
      </c>
      <c r="K89" s="94">
        <v>75000</v>
      </c>
      <c r="L89" s="93">
        <f t="shared" si="57"/>
        <v>1678509.8684210526</v>
      </c>
      <c r="M89" s="95">
        <f>'Project Overview'!$G$12/12</f>
        <v>0</v>
      </c>
      <c r="N89" s="100">
        <f>'Project Overview'!$G$13/12</f>
        <v>119251.30179166666</v>
      </c>
      <c r="O89" s="94">
        <v>75000</v>
      </c>
      <c r="P89" s="93">
        <f t="shared" si="58"/>
        <v>1678509.8684210526</v>
      </c>
      <c r="Q89" s="95">
        <f>'Project Overview'!$G$12/12</f>
        <v>0</v>
      </c>
      <c r="R89" s="100">
        <f>'Project Overview'!$G$13/12</f>
        <v>119251.30179166666</v>
      </c>
      <c r="S89" s="94">
        <v>75000</v>
      </c>
      <c r="T89" s="93">
        <f t="shared" si="59"/>
        <v>1678509.8684210526</v>
      </c>
      <c r="U89" s="95">
        <f>'Project Overview'!$G$12/12</f>
        <v>0</v>
      </c>
      <c r="V89" s="100">
        <f>'Project Overview'!$G$13/12</f>
        <v>119251.30179166666</v>
      </c>
      <c r="W89" s="94">
        <v>75000</v>
      </c>
      <c r="X89" s="93">
        <f t="shared" si="60"/>
        <v>1678509.8684210526</v>
      </c>
      <c r="Y89" s="95">
        <f>'Project Overview'!$G$12/12</f>
        <v>0</v>
      </c>
      <c r="Z89" s="100">
        <f>'Project Overview'!$G$13/12</f>
        <v>119251.30179166666</v>
      </c>
      <c r="AA89" s="94">
        <v>75000</v>
      </c>
      <c r="AB89" s="93">
        <f t="shared" si="61"/>
        <v>1678509.8684210526</v>
      </c>
      <c r="AC89" s="95">
        <f>('Project Overview'!$E$12/12)*6</f>
        <v>0</v>
      </c>
      <c r="AD89" s="100">
        <f>('Project Overview'!$E$13/12)*6</f>
        <v>622180.70499999996</v>
      </c>
      <c r="AE89" s="94">
        <f t="shared" si="62"/>
        <v>450000</v>
      </c>
      <c r="AF89" s="93">
        <f t="shared" si="63"/>
        <v>10071059.210526315</v>
      </c>
    </row>
    <row r="90" spans="1:32" ht="13">
      <c r="A90" s="95">
        <v>81</v>
      </c>
      <c r="B90" s="93">
        <f t="shared" si="53"/>
        <v>1457151.8430792124</v>
      </c>
      <c r="C90" s="94">
        <f t="shared" si="54"/>
        <v>900000</v>
      </c>
      <c r="D90" s="93">
        <f t="shared" si="55"/>
        <v>18684966.577973414</v>
      </c>
      <c r="E90" s="93">
        <f>'Project Overview'!$G$4/12</f>
        <v>0</v>
      </c>
      <c r="F90" s="93">
        <f>'Project Overview'!$G$5/12</f>
        <v>238714.62912087911</v>
      </c>
      <c r="G90" s="94">
        <v>75000</v>
      </c>
      <c r="H90" s="93">
        <f t="shared" si="56"/>
        <v>1678509.8684210526</v>
      </c>
      <c r="I90" s="95">
        <f>'Project Overview'!$G$12/12</f>
        <v>0</v>
      </c>
      <c r="J90" s="100">
        <f>'Project Overview'!$G$13/12</f>
        <v>119251.30179166666</v>
      </c>
      <c r="K90" s="94">
        <v>75000</v>
      </c>
      <c r="L90" s="93">
        <f t="shared" si="57"/>
        <v>1678509.8684210526</v>
      </c>
      <c r="M90" s="95">
        <f>'Project Overview'!$G$12/12</f>
        <v>0</v>
      </c>
      <c r="N90" s="100">
        <f>'Project Overview'!$G$13/12</f>
        <v>119251.30179166666</v>
      </c>
      <c r="O90" s="94">
        <v>75000</v>
      </c>
      <c r="P90" s="93">
        <f t="shared" si="58"/>
        <v>1678509.8684210526</v>
      </c>
      <c r="Q90" s="95">
        <f>'Project Overview'!$G$12/12</f>
        <v>0</v>
      </c>
      <c r="R90" s="100">
        <f>'Project Overview'!$G$13/12</f>
        <v>119251.30179166666</v>
      </c>
      <c r="S90" s="94">
        <v>75000</v>
      </c>
      <c r="T90" s="93">
        <f t="shared" si="59"/>
        <v>1678509.8684210526</v>
      </c>
      <c r="U90" s="95">
        <f>'Project Overview'!$G$12/12</f>
        <v>0</v>
      </c>
      <c r="V90" s="100">
        <f>'Project Overview'!$G$13/12</f>
        <v>119251.30179166666</v>
      </c>
      <c r="W90" s="94">
        <v>75000</v>
      </c>
      <c r="X90" s="93">
        <f t="shared" si="60"/>
        <v>1678509.8684210526</v>
      </c>
      <c r="Y90" s="95">
        <f>'Project Overview'!$G$12/12</f>
        <v>0</v>
      </c>
      <c r="Z90" s="100">
        <f>'Project Overview'!$G$13/12</f>
        <v>119251.30179166666</v>
      </c>
      <c r="AA90" s="94">
        <v>75000</v>
      </c>
      <c r="AB90" s="93">
        <f t="shared" si="61"/>
        <v>1678509.8684210526</v>
      </c>
      <c r="AC90" s="95">
        <f>('Project Overview'!$E$12/12)*6</f>
        <v>0</v>
      </c>
      <c r="AD90" s="100">
        <f>('Project Overview'!$E$13/12)*6</f>
        <v>622180.70499999996</v>
      </c>
      <c r="AE90" s="94">
        <f t="shared" si="62"/>
        <v>450000</v>
      </c>
      <c r="AF90" s="93">
        <f t="shared" si="63"/>
        <v>10071059.210526315</v>
      </c>
    </row>
    <row r="91" spans="1:32" ht="13">
      <c r="A91" s="95">
        <v>82</v>
      </c>
      <c r="B91" s="93">
        <f t="shared" si="53"/>
        <v>1457151.8430792124</v>
      </c>
      <c r="C91" s="94">
        <f t="shared" si="54"/>
        <v>900000</v>
      </c>
      <c r="D91" s="93">
        <f t="shared" si="55"/>
        <v>18684966.577973414</v>
      </c>
      <c r="E91" s="93">
        <f>'Project Overview'!$G$4/12</f>
        <v>0</v>
      </c>
      <c r="F91" s="93">
        <f>'Project Overview'!$G$5/12</f>
        <v>238714.62912087911</v>
      </c>
      <c r="G91" s="94">
        <v>75000</v>
      </c>
      <c r="H91" s="93">
        <f t="shared" si="56"/>
        <v>1678509.8684210526</v>
      </c>
      <c r="I91" s="95">
        <f>'Project Overview'!$G$12/12</f>
        <v>0</v>
      </c>
      <c r="J91" s="100">
        <f>'Project Overview'!$G$13/12</f>
        <v>119251.30179166666</v>
      </c>
      <c r="K91" s="94">
        <v>75000</v>
      </c>
      <c r="L91" s="93">
        <f t="shared" si="57"/>
        <v>1678509.8684210526</v>
      </c>
      <c r="M91" s="95">
        <f>'Project Overview'!$G$12/12</f>
        <v>0</v>
      </c>
      <c r="N91" s="100">
        <f>'Project Overview'!$G$13/12</f>
        <v>119251.30179166666</v>
      </c>
      <c r="O91" s="94">
        <v>75000</v>
      </c>
      <c r="P91" s="93">
        <f t="shared" si="58"/>
        <v>1678509.8684210526</v>
      </c>
      <c r="Q91" s="95">
        <f>'Project Overview'!$G$12/12</f>
        <v>0</v>
      </c>
      <c r="R91" s="100">
        <f>'Project Overview'!$G$13/12</f>
        <v>119251.30179166666</v>
      </c>
      <c r="S91" s="94">
        <v>75000</v>
      </c>
      <c r="T91" s="93">
        <f t="shared" si="59"/>
        <v>1678509.8684210526</v>
      </c>
      <c r="U91" s="95">
        <f>'Project Overview'!$G$12/12</f>
        <v>0</v>
      </c>
      <c r="V91" s="100">
        <f>'Project Overview'!$G$13/12</f>
        <v>119251.30179166666</v>
      </c>
      <c r="W91" s="94">
        <v>75000</v>
      </c>
      <c r="X91" s="93">
        <f t="shared" si="60"/>
        <v>1678509.8684210526</v>
      </c>
      <c r="Y91" s="95">
        <f>'Project Overview'!$G$12/12</f>
        <v>0</v>
      </c>
      <c r="Z91" s="100">
        <f>'Project Overview'!$G$13/12</f>
        <v>119251.30179166666</v>
      </c>
      <c r="AA91" s="94">
        <v>75000</v>
      </c>
      <c r="AB91" s="93">
        <f t="shared" si="61"/>
        <v>1678509.8684210526</v>
      </c>
      <c r="AC91" s="95">
        <f>('Project Overview'!$E$12/12)*6</f>
        <v>0</v>
      </c>
      <c r="AD91" s="100">
        <f>('Project Overview'!$E$13/12)*6</f>
        <v>622180.70499999996</v>
      </c>
      <c r="AE91" s="94">
        <f t="shared" si="62"/>
        <v>450000</v>
      </c>
      <c r="AF91" s="93">
        <f t="shared" si="63"/>
        <v>10071059.210526315</v>
      </c>
    </row>
    <row r="92" spans="1:32" ht="13">
      <c r="A92" s="95">
        <v>83</v>
      </c>
      <c r="B92" s="93">
        <f t="shared" si="53"/>
        <v>1457151.8430792124</v>
      </c>
      <c r="C92" s="94">
        <f t="shared" si="54"/>
        <v>900000</v>
      </c>
      <c r="D92" s="93">
        <f t="shared" si="55"/>
        <v>18684966.577973414</v>
      </c>
      <c r="E92" s="93">
        <f>'Project Overview'!$G$4/12</f>
        <v>0</v>
      </c>
      <c r="F92" s="93">
        <f>'Project Overview'!$G$5/12</f>
        <v>238714.62912087911</v>
      </c>
      <c r="G92" s="94">
        <v>75000</v>
      </c>
      <c r="H92" s="93">
        <f t="shared" si="56"/>
        <v>1678509.8684210526</v>
      </c>
      <c r="I92" s="95">
        <f>'Project Overview'!$G$12/12</f>
        <v>0</v>
      </c>
      <c r="J92" s="100">
        <f>'Project Overview'!$G$13/12</f>
        <v>119251.30179166666</v>
      </c>
      <c r="K92" s="94">
        <v>75000</v>
      </c>
      <c r="L92" s="93">
        <f t="shared" si="57"/>
        <v>1678509.8684210526</v>
      </c>
      <c r="M92" s="95">
        <f>'Project Overview'!$G$12/12</f>
        <v>0</v>
      </c>
      <c r="N92" s="100">
        <f>'Project Overview'!$G$13/12</f>
        <v>119251.30179166666</v>
      </c>
      <c r="O92" s="94">
        <v>75000</v>
      </c>
      <c r="P92" s="93">
        <f t="shared" si="58"/>
        <v>1678509.8684210526</v>
      </c>
      <c r="Q92" s="95">
        <f>'Project Overview'!$G$12/12</f>
        <v>0</v>
      </c>
      <c r="R92" s="100">
        <f>'Project Overview'!$G$13/12</f>
        <v>119251.30179166666</v>
      </c>
      <c r="S92" s="94">
        <v>75000</v>
      </c>
      <c r="T92" s="93">
        <f t="shared" si="59"/>
        <v>1678509.8684210526</v>
      </c>
      <c r="U92" s="95">
        <f>'Project Overview'!$G$12/12</f>
        <v>0</v>
      </c>
      <c r="V92" s="100">
        <f>'Project Overview'!$G$13/12</f>
        <v>119251.30179166666</v>
      </c>
      <c r="W92" s="94">
        <v>75000</v>
      </c>
      <c r="X92" s="93">
        <f t="shared" si="60"/>
        <v>1678509.8684210526</v>
      </c>
      <c r="Y92" s="95">
        <f>'Project Overview'!$G$12/12</f>
        <v>0</v>
      </c>
      <c r="Z92" s="100">
        <f>'Project Overview'!$G$13/12</f>
        <v>119251.30179166666</v>
      </c>
      <c r="AA92" s="94">
        <v>75000</v>
      </c>
      <c r="AB92" s="93">
        <f t="shared" si="61"/>
        <v>1678509.8684210526</v>
      </c>
      <c r="AC92" s="95">
        <f>('Project Overview'!$E$12/12)*6</f>
        <v>0</v>
      </c>
      <c r="AD92" s="100">
        <f>('Project Overview'!$E$13/12)*6</f>
        <v>622180.70499999996</v>
      </c>
      <c r="AE92" s="94">
        <f t="shared" si="62"/>
        <v>450000</v>
      </c>
      <c r="AF92" s="93">
        <f t="shared" si="63"/>
        <v>10071059.210526315</v>
      </c>
    </row>
    <row r="93" spans="1:32" ht="13">
      <c r="A93" s="95">
        <v>84</v>
      </c>
      <c r="B93" s="93">
        <f t="shared" si="53"/>
        <v>1457151.8430792124</v>
      </c>
      <c r="C93" s="94">
        <f t="shared" si="54"/>
        <v>900000</v>
      </c>
      <c r="D93" s="93">
        <f t="shared" si="55"/>
        <v>18684966.577973414</v>
      </c>
      <c r="E93" s="93">
        <f>'Project Overview'!$G$4/12</f>
        <v>0</v>
      </c>
      <c r="F93" s="93">
        <f>'Project Overview'!$G$5/12</f>
        <v>238714.62912087911</v>
      </c>
      <c r="G93" s="94">
        <v>75000</v>
      </c>
      <c r="H93" s="93">
        <f t="shared" si="56"/>
        <v>1678509.8684210526</v>
      </c>
      <c r="I93" s="95">
        <f>'Project Overview'!$G$12/12</f>
        <v>0</v>
      </c>
      <c r="J93" s="100">
        <f>'Project Overview'!$G$13/12</f>
        <v>119251.30179166666</v>
      </c>
      <c r="K93" s="94">
        <v>75000</v>
      </c>
      <c r="L93" s="93">
        <f t="shared" si="57"/>
        <v>1678509.8684210526</v>
      </c>
      <c r="M93" s="95">
        <f>'Project Overview'!$G$12/12</f>
        <v>0</v>
      </c>
      <c r="N93" s="100">
        <f>'Project Overview'!$G$13/12</f>
        <v>119251.30179166666</v>
      </c>
      <c r="O93" s="94">
        <v>75000</v>
      </c>
      <c r="P93" s="93">
        <f t="shared" si="58"/>
        <v>1678509.8684210526</v>
      </c>
      <c r="Q93" s="95">
        <f>'Project Overview'!$G$12/12</f>
        <v>0</v>
      </c>
      <c r="R93" s="100">
        <f>'Project Overview'!$G$13/12</f>
        <v>119251.30179166666</v>
      </c>
      <c r="S93" s="94">
        <v>75000</v>
      </c>
      <c r="T93" s="93">
        <f t="shared" si="59"/>
        <v>1678509.8684210526</v>
      </c>
      <c r="U93" s="95">
        <f>'Project Overview'!$G$12/12</f>
        <v>0</v>
      </c>
      <c r="V93" s="100">
        <f>'Project Overview'!$G$13/12</f>
        <v>119251.30179166666</v>
      </c>
      <c r="W93" s="94">
        <v>75000</v>
      </c>
      <c r="X93" s="93">
        <f t="shared" si="60"/>
        <v>1678509.8684210526</v>
      </c>
      <c r="Y93" s="95">
        <f>'Project Overview'!$G$12/12</f>
        <v>0</v>
      </c>
      <c r="Z93" s="100">
        <f>'Project Overview'!$G$13/12</f>
        <v>119251.30179166666</v>
      </c>
      <c r="AA93" s="94">
        <v>75000</v>
      </c>
      <c r="AB93" s="93">
        <f t="shared" si="61"/>
        <v>1678509.8684210526</v>
      </c>
      <c r="AC93" s="95">
        <f>('Project Overview'!$E$12/12)*6</f>
        <v>0</v>
      </c>
      <c r="AD93" s="100">
        <f>('Project Overview'!$E$13/12)*6</f>
        <v>622180.70499999996</v>
      </c>
      <c r="AE93" s="94">
        <f t="shared" si="62"/>
        <v>450000</v>
      </c>
      <c r="AF93" s="93">
        <f t="shared" si="63"/>
        <v>10071059.210526315</v>
      </c>
    </row>
    <row r="94" spans="1:32" ht="13">
      <c r="A94" s="96" t="s">
        <v>75</v>
      </c>
      <c r="B94" s="97">
        <f t="shared" ref="B94:AF94" si="64">SUM(B82:B93)</f>
        <v>17485822.116950553</v>
      </c>
      <c r="C94" s="98">
        <f t="shared" si="64"/>
        <v>10800000</v>
      </c>
      <c r="D94" s="97">
        <f t="shared" si="64"/>
        <v>224219598.93568102</v>
      </c>
      <c r="E94" s="97">
        <f t="shared" si="64"/>
        <v>0</v>
      </c>
      <c r="F94" s="97">
        <f t="shared" si="64"/>
        <v>2864575.5494505484</v>
      </c>
      <c r="G94" s="98">
        <f t="shared" si="64"/>
        <v>900000</v>
      </c>
      <c r="H94" s="97">
        <f t="shared" si="64"/>
        <v>20142118.421052624</v>
      </c>
      <c r="I94" s="99">
        <f t="shared" si="64"/>
        <v>0</v>
      </c>
      <c r="J94" s="101">
        <f t="shared" si="64"/>
        <v>1431015.6214999994</v>
      </c>
      <c r="K94" s="98">
        <f t="shared" si="64"/>
        <v>900000</v>
      </c>
      <c r="L94" s="97">
        <f t="shared" si="64"/>
        <v>20142118.421052624</v>
      </c>
      <c r="M94" s="99">
        <f t="shared" si="64"/>
        <v>0</v>
      </c>
      <c r="N94" s="101">
        <f t="shared" si="64"/>
        <v>1431015.6214999994</v>
      </c>
      <c r="O94" s="98">
        <f t="shared" si="64"/>
        <v>900000</v>
      </c>
      <c r="P94" s="97">
        <f t="shared" si="64"/>
        <v>20142118.421052624</v>
      </c>
      <c r="Q94" s="99">
        <f t="shared" si="64"/>
        <v>0</v>
      </c>
      <c r="R94" s="101">
        <f t="shared" si="64"/>
        <v>1431015.6214999994</v>
      </c>
      <c r="S94" s="98">
        <f t="shared" si="64"/>
        <v>900000</v>
      </c>
      <c r="T94" s="97">
        <f t="shared" si="64"/>
        <v>20142118.421052624</v>
      </c>
      <c r="U94" s="99">
        <f t="shared" si="64"/>
        <v>0</v>
      </c>
      <c r="V94" s="101">
        <f t="shared" si="64"/>
        <v>1431015.6214999994</v>
      </c>
      <c r="W94" s="98">
        <f t="shared" si="64"/>
        <v>900000</v>
      </c>
      <c r="X94" s="97">
        <f t="shared" si="64"/>
        <v>20142118.421052624</v>
      </c>
      <c r="Y94" s="99">
        <f t="shared" si="64"/>
        <v>0</v>
      </c>
      <c r="Z94" s="101">
        <f t="shared" si="64"/>
        <v>1431015.6214999994</v>
      </c>
      <c r="AA94" s="98">
        <f t="shared" si="64"/>
        <v>900000</v>
      </c>
      <c r="AB94" s="97">
        <f t="shared" si="64"/>
        <v>20142118.421052624</v>
      </c>
      <c r="AC94" s="99">
        <f t="shared" si="64"/>
        <v>0</v>
      </c>
      <c r="AD94" s="101">
        <f t="shared" si="64"/>
        <v>7466168.46</v>
      </c>
      <c r="AE94" s="98">
        <f t="shared" si="64"/>
        <v>5400000</v>
      </c>
      <c r="AF94" s="97">
        <f t="shared" si="64"/>
        <v>120852710.52631579</v>
      </c>
    </row>
    <row r="95" spans="1:32" ht="13">
      <c r="A95" s="95"/>
      <c r="B95" s="95"/>
      <c r="C95" s="95"/>
      <c r="D95" s="95"/>
      <c r="E95" s="93"/>
      <c r="F95" s="93"/>
      <c r="G95" s="94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</row>
    <row r="96" spans="1:32" ht="13">
      <c r="A96" s="95"/>
      <c r="B96" s="95"/>
      <c r="C96" s="95"/>
      <c r="D96" s="95"/>
      <c r="E96" s="93"/>
      <c r="F96" s="93"/>
      <c r="G96" s="94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</row>
    <row r="97" spans="1:32" ht="13">
      <c r="A97" s="95"/>
      <c r="B97" s="95"/>
      <c r="C97" s="95"/>
      <c r="D97" s="95"/>
      <c r="E97" s="93"/>
      <c r="F97" s="93"/>
      <c r="G97" s="94"/>
      <c r="H97" s="95">
        <f>(F94+G94)/H94</f>
        <v>0.18690067602401736</v>
      </c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</row>
    <row r="98" spans="1:32" ht="13">
      <c r="A98" s="95"/>
      <c r="B98" s="95"/>
      <c r="C98" s="95"/>
      <c r="D98" s="95"/>
      <c r="E98" s="93"/>
      <c r="F98" s="93"/>
      <c r="G98" s="94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</row>
    <row r="99" spans="1:32" ht="13">
      <c r="A99" s="95"/>
      <c r="B99" s="95"/>
      <c r="C99" s="95"/>
      <c r="D99" s="95"/>
      <c r="E99" s="93"/>
      <c r="F99" s="93"/>
      <c r="G99" s="94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</row>
    <row r="100" spans="1:32" ht="13">
      <c r="A100" s="95"/>
      <c r="B100" s="95"/>
      <c r="C100" s="95"/>
      <c r="D100" s="95"/>
      <c r="E100" s="93"/>
      <c r="F100" s="93"/>
      <c r="G100" s="94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</row>
    <row r="101" spans="1:32" ht="13">
      <c r="A101" s="95"/>
      <c r="B101" s="95"/>
      <c r="C101" s="95"/>
      <c r="D101" s="95"/>
      <c r="E101" s="93"/>
      <c r="F101" s="93"/>
      <c r="G101" s="94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</row>
    <row r="102" spans="1:32" ht="13">
      <c r="A102" s="95"/>
      <c r="B102" s="95"/>
      <c r="C102" s="95"/>
      <c r="D102" s="95"/>
      <c r="E102" s="93"/>
      <c r="F102" s="93"/>
      <c r="G102" s="94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</row>
    <row r="103" spans="1:32" ht="13">
      <c r="A103" s="95"/>
      <c r="B103" s="95"/>
      <c r="C103" s="95"/>
      <c r="D103" s="95"/>
      <c r="E103" s="93"/>
      <c r="F103" s="93"/>
      <c r="G103" s="94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</row>
    <row r="104" spans="1:32" ht="13">
      <c r="A104" s="95"/>
      <c r="B104" s="95"/>
      <c r="C104" s="95"/>
      <c r="D104" s="95"/>
      <c r="E104" s="93"/>
      <c r="F104" s="93"/>
      <c r="G104" s="94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</row>
    <row r="105" spans="1:32" ht="13">
      <c r="A105" s="95"/>
      <c r="B105" s="95"/>
      <c r="C105" s="95"/>
      <c r="D105" s="95"/>
      <c r="E105" s="93"/>
      <c r="F105" s="93"/>
      <c r="G105" s="94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</row>
    <row r="106" spans="1:32" ht="13">
      <c r="A106" s="95"/>
      <c r="B106" s="95"/>
      <c r="C106" s="95"/>
      <c r="D106" s="95"/>
      <c r="E106" s="93"/>
      <c r="F106" s="93"/>
      <c r="G106" s="94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</row>
    <row r="107" spans="1:32" ht="13">
      <c r="A107" s="95"/>
      <c r="B107" s="95"/>
      <c r="C107" s="95"/>
      <c r="D107" s="95"/>
      <c r="E107" s="93"/>
      <c r="F107" s="93"/>
      <c r="G107" s="94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</row>
    <row r="108" spans="1:32" ht="13">
      <c r="A108" s="95"/>
      <c r="B108" s="95"/>
      <c r="C108" s="95"/>
      <c r="D108" s="95"/>
      <c r="E108" s="93"/>
      <c r="F108" s="93"/>
      <c r="G108" s="94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</row>
    <row r="109" spans="1:32" ht="13">
      <c r="A109" s="95"/>
      <c r="B109" s="95"/>
      <c r="C109" s="95"/>
      <c r="D109" s="95"/>
      <c r="E109" s="93"/>
      <c r="F109" s="93"/>
      <c r="G109" s="94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</row>
    <row r="110" spans="1:32" ht="13">
      <c r="A110" s="95"/>
      <c r="B110" s="95"/>
      <c r="C110" s="95"/>
      <c r="D110" s="95"/>
      <c r="E110" s="93"/>
      <c r="F110" s="93"/>
      <c r="G110" s="94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</row>
    <row r="111" spans="1:32" ht="13">
      <c r="A111" s="95"/>
      <c r="B111" s="95"/>
      <c r="C111" s="95"/>
      <c r="D111" s="95"/>
      <c r="E111" s="93"/>
      <c r="F111" s="93"/>
      <c r="G111" s="94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</row>
    <row r="112" spans="1:32" ht="13">
      <c r="A112" s="95"/>
      <c r="B112" s="95"/>
      <c r="C112" s="95"/>
      <c r="D112" s="95"/>
      <c r="E112" s="93"/>
      <c r="F112" s="93"/>
      <c r="G112" s="94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</row>
    <row r="113" spans="1:32" ht="13">
      <c r="A113" s="95"/>
      <c r="B113" s="95"/>
      <c r="C113" s="95"/>
      <c r="D113" s="95"/>
      <c r="E113" s="93"/>
      <c r="F113" s="93"/>
      <c r="G113" s="94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</row>
    <row r="114" spans="1:32" ht="13">
      <c r="A114" s="95"/>
      <c r="B114" s="95"/>
      <c r="C114" s="95"/>
      <c r="D114" s="95"/>
      <c r="E114" s="93"/>
      <c r="F114" s="93"/>
      <c r="G114" s="94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</row>
    <row r="115" spans="1:32" ht="13">
      <c r="A115" s="95"/>
      <c r="B115" s="95"/>
      <c r="C115" s="95"/>
      <c r="D115" s="95"/>
      <c r="E115" s="93"/>
      <c r="F115" s="93"/>
      <c r="G115" s="94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</row>
    <row r="116" spans="1:32" ht="13">
      <c r="A116" s="95"/>
      <c r="B116" s="95"/>
      <c r="C116" s="95"/>
      <c r="D116" s="95"/>
      <c r="E116" s="93"/>
      <c r="F116" s="93"/>
      <c r="G116" s="94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</row>
    <row r="117" spans="1:32" ht="13">
      <c r="A117" s="95"/>
      <c r="B117" s="95"/>
      <c r="C117" s="95"/>
      <c r="D117" s="95"/>
      <c r="E117" s="93"/>
      <c r="F117" s="93"/>
      <c r="G117" s="94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</row>
    <row r="118" spans="1:32" ht="13">
      <c r="A118" s="95"/>
      <c r="B118" s="95"/>
      <c r="C118" s="95"/>
      <c r="D118" s="95"/>
      <c r="E118" s="93"/>
      <c r="F118" s="93"/>
      <c r="G118" s="94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</row>
    <row r="119" spans="1:32" ht="13">
      <c r="A119" s="95"/>
      <c r="B119" s="95"/>
      <c r="C119" s="95"/>
      <c r="D119" s="95"/>
      <c r="E119" s="93"/>
      <c r="F119" s="93"/>
      <c r="G119" s="94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</row>
    <row r="120" spans="1:32" ht="13">
      <c r="A120" s="95"/>
      <c r="B120" s="95"/>
      <c r="C120" s="95"/>
      <c r="D120" s="95"/>
      <c r="E120" s="93"/>
      <c r="F120" s="93"/>
      <c r="G120" s="94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</row>
    <row r="121" spans="1:32" ht="13">
      <c r="A121" s="95"/>
      <c r="B121" s="95"/>
      <c r="C121" s="95"/>
      <c r="D121" s="95"/>
      <c r="E121" s="93"/>
      <c r="F121" s="93"/>
      <c r="G121" s="94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</row>
    <row r="122" spans="1:32" ht="13">
      <c r="A122" s="95"/>
      <c r="B122" s="95"/>
      <c r="C122" s="95"/>
      <c r="D122" s="95"/>
      <c r="E122" s="93"/>
      <c r="F122" s="93"/>
      <c r="G122" s="94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</row>
    <row r="123" spans="1:32" ht="13">
      <c r="A123" s="95"/>
      <c r="B123" s="95"/>
      <c r="C123" s="95"/>
      <c r="D123" s="95"/>
      <c r="E123" s="93"/>
      <c r="F123" s="93"/>
      <c r="G123" s="94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</row>
    <row r="124" spans="1:32" ht="13">
      <c r="A124" s="95"/>
      <c r="B124" s="95"/>
      <c r="C124" s="95"/>
      <c r="D124" s="95"/>
      <c r="E124" s="93"/>
      <c r="F124" s="93"/>
      <c r="G124" s="94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</row>
    <row r="125" spans="1:32" ht="13">
      <c r="A125" s="95"/>
      <c r="B125" s="95"/>
      <c r="C125" s="95"/>
      <c r="D125" s="95"/>
      <c r="E125" s="93"/>
      <c r="F125" s="93"/>
      <c r="G125" s="94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</row>
    <row r="126" spans="1:32" ht="13">
      <c r="A126" s="95"/>
      <c r="B126" s="95"/>
      <c r="C126" s="95"/>
      <c r="D126" s="95"/>
      <c r="E126" s="93"/>
      <c r="F126" s="93"/>
      <c r="G126" s="94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</row>
    <row r="127" spans="1:32" ht="13">
      <c r="A127" s="95"/>
      <c r="B127" s="95"/>
      <c r="C127" s="95"/>
      <c r="D127" s="95"/>
      <c r="E127" s="93"/>
      <c r="F127" s="93"/>
      <c r="G127" s="94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</row>
    <row r="128" spans="1:32" ht="13">
      <c r="A128" s="95"/>
      <c r="B128" s="95"/>
      <c r="C128" s="95"/>
      <c r="D128" s="95"/>
      <c r="E128" s="93"/>
      <c r="F128" s="93"/>
      <c r="G128" s="94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</row>
    <row r="129" spans="1:32" ht="13">
      <c r="A129" s="95"/>
      <c r="B129" s="95"/>
      <c r="C129" s="95"/>
      <c r="D129" s="95"/>
      <c r="E129" s="93"/>
      <c r="F129" s="93"/>
      <c r="G129" s="94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</row>
    <row r="130" spans="1:32" ht="13">
      <c r="A130" s="95"/>
      <c r="B130" s="95"/>
      <c r="C130" s="95"/>
      <c r="D130" s="95"/>
      <c r="E130" s="93"/>
      <c r="F130" s="93"/>
      <c r="G130" s="94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</row>
    <row r="131" spans="1:32" ht="13">
      <c r="A131" s="95"/>
      <c r="B131" s="95"/>
      <c r="C131" s="95"/>
      <c r="D131" s="95"/>
      <c r="E131" s="93"/>
      <c r="F131" s="93"/>
      <c r="G131" s="94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</row>
    <row r="132" spans="1:32" ht="13">
      <c r="A132" s="95"/>
      <c r="B132" s="95"/>
      <c r="C132" s="95"/>
      <c r="D132" s="95"/>
      <c r="E132" s="93"/>
      <c r="F132" s="93"/>
      <c r="G132" s="94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</row>
    <row r="133" spans="1:32" ht="13">
      <c r="A133" s="95"/>
      <c r="B133" s="95"/>
      <c r="C133" s="95"/>
      <c r="D133" s="95"/>
      <c r="E133" s="93"/>
      <c r="F133" s="93"/>
      <c r="G133" s="94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</row>
    <row r="134" spans="1:32" ht="13">
      <c r="A134" s="95"/>
      <c r="B134" s="95"/>
      <c r="C134" s="95"/>
      <c r="D134" s="95"/>
      <c r="E134" s="93"/>
      <c r="F134" s="93"/>
      <c r="G134" s="94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</row>
    <row r="135" spans="1:32" ht="13">
      <c r="A135" s="95"/>
      <c r="B135" s="95"/>
      <c r="C135" s="95"/>
      <c r="D135" s="95"/>
      <c r="E135" s="93"/>
      <c r="F135" s="93"/>
      <c r="G135" s="94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</row>
    <row r="136" spans="1:32" ht="13">
      <c r="A136" s="95"/>
      <c r="B136" s="95"/>
      <c r="C136" s="95"/>
      <c r="D136" s="95"/>
      <c r="E136" s="93"/>
      <c r="F136" s="93"/>
      <c r="G136" s="94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</row>
    <row r="137" spans="1:32" ht="13">
      <c r="A137" s="95"/>
      <c r="B137" s="95"/>
      <c r="C137" s="95"/>
      <c r="D137" s="95"/>
      <c r="E137" s="93"/>
      <c r="F137" s="93"/>
      <c r="G137" s="94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</row>
    <row r="138" spans="1:32" ht="13">
      <c r="A138" s="95"/>
      <c r="B138" s="95"/>
      <c r="C138" s="95"/>
      <c r="D138" s="95"/>
      <c r="E138" s="93"/>
      <c r="F138" s="93"/>
      <c r="G138" s="94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</row>
    <row r="139" spans="1:32" ht="13">
      <c r="A139" s="95"/>
      <c r="B139" s="95"/>
      <c r="C139" s="95"/>
      <c r="D139" s="95"/>
      <c r="E139" s="93"/>
      <c r="F139" s="93"/>
      <c r="G139" s="94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</row>
    <row r="140" spans="1:32" ht="13">
      <c r="A140" s="95"/>
      <c r="B140" s="95"/>
      <c r="C140" s="95"/>
      <c r="D140" s="95"/>
      <c r="E140" s="93"/>
      <c r="F140" s="93"/>
      <c r="G140" s="94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</row>
    <row r="141" spans="1:32" ht="13">
      <c r="A141" s="95"/>
      <c r="B141" s="95"/>
      <c r="C141" s="95"/>
      <c r="D141" s="95"/>
      <c r="E141" s="93"/>
      <c r="F141" s="93"/>
      <c r="G141" s="94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</row>
    <row r="142" spans="1:32" ht="13">
      <c r="A142" s="95"/>
      <c r="B142" s="95"/>
      <c r="C142" s="95"/>
      <c r="D142" s="95"/>
      <c r="E142" s="93"/>
      <c r="F142" s="93"/>
      <c r="G142" s="94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</row>
    <row r="143" spans="1:32" ht="13">
      <c r="A143" s="95"/>
      <c r="B143" s="95"/>
      <c r="C143" s="95"/>
      <c r="D143" s="95"/>
      <c r="E143" s="93"/>
      <c r="F143" s="93"/>
      <c r="G143" s="94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</row>
    <row r="144" spans="1:32" ht="13">
      <c r="A144" s="95"/>
      <c r="B144" s="95"/>
      <c r="C144" s="95"/>
      <c r="D144" s="95"/>
      <c r="E144" s="93"/>
      <c r="F144" s="93"/>
      <c r="G144" s="94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</row>
    <row r="145" spans="1:32" ht="13">
      <c r="A145" s="95"/>
      <c r="B145" s="95"/>
      <c r="C145" s="95"/>
      <c r="D145" s="95"/>
      <c r="E145" s="93"/>
      <c r="F145" s="93"/>
      <c r="G145" s="94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</row>
    <row r="146" spans="1:32" ht="13">
      <c r="A146" s="95"/>
      <c r="B146" s="95"/>
      <c r="C146" s="95"/>
      <c r="D146" s="95"/>
      <c r="E146" s="93"/>
      <c r="F146" s="93"/>
      <c r="G146" s="94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</row>
    <row r="147" spans="1:32" ht="13">
      <c r="A147" s="95"/>
      <c r="B147" s="95"/>
      <c r="C147" s="95"/>
      <c r="D147" s="95"/>
      <c r="E147" s="93"/>
      <c r="F147" s="93"/>
      <c r="G147" s="94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</row>
    <row r="148" spans="1:32" ht="13">
      <c r="A148" s="95"/>
      <c r="B148" s="95"/>
      <c r="C148" s="95"/>
      <c r="D148" s="95"/>
      <c r="E148" s="93"/>
      <c r="F148" s="93"/>
      <c r="G148" s="94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</row>
    <row r="149" spans="1:32" ht="13">
      <c r="A149" s="95"/>
      <c r="B149" s="95"/>
      <c r="C149" s="95"/>
      <c r="D149" s="95"/>
      <c r="E149" s="93"/>
      <c r="F149" s="93"/>
      <c r="G149" s="94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</row>
    <row r="150" spans="1:32" ht="13">
      <c r="A150" s="95"/>
      <c r="B150" s="95"/>
      <c r="C150" s="95"/>
      <c r="D150" s="95"/>
      <c r="E150" s="93"/>
      <c r="F150" s="93"/>
      <c r="G150" s="94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</row>
    <row r="151" spans="1:32" ht="13">
      <c r="A151" s="95"/>
      <c r="B151" s="95"/>
      <c r="C151" s="95"/>
      <c r="D151" s="95"/>
      <c r="E151" s="93"/>
      <c r="F151" s="93"/>
      <c r="G151" s="94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</row>
    <row r="152" spans="1:32" ht="13">
      <c r="A152" s="95"/>
      <c r="B152" s="95"/>
      <c r="C152" s="95"/>
      <c r="D152" s="95"/>
      <c r="E152" s="93"/>
      <c r="F152" s="93"/>
      <c r="G152" s="94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</row>
    <row r="153" spans="1:32" ht="13">
      <c r="A153" s="95"/>
      <c r="B153" s="95"/>
      <c r="C153" s="95"/>
      <c r="D153" s="95"/>
      <c r="E153" s="93"/>
      <c r="F153" s="93"/>
      <c r="G153" s="94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</row>
    <row r="154" spans="1:32" ht="13">
      <c r="A154" s="95"/>
      <c r="B154" s="95"/>
      <c r="C154" s="95"/>
      <c r="D154" s="95"/>
      <c r="E154" s="93"/>
      <c r="F154" s="93"/>
      <c r="G154" s="94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</row>
    <row r="155" spans="1:32" ht="13">
      <c r="A155" s="95"/>
      <c r="B155" s="95"/>
      <c r="C155" s="95"/>
      <c r="D155" s="95"/>
      <c r="E155" s="93"/>
      <c r="F155" s="93"/>
      <c r="G155" s="94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</row>
    <row r="156" spans="1:32" ht="13">
      <c r="A156" s="95"/>
      <c r="B156" s="95"/>
      <c r="C156" s="95"/>
      <c r="D156" s="95"/>
      <c r="E156" s="93"/>
      <c r="F156" s="93"/>
      <c r="G156" s="94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</row>
    <row r="157" spans="1:32" ht="13">
      <c r="A157" s="95"/>
      <c r="B157" s="95"/>
      <c r="C157" s="95"/>
      <c r="D157" s="95"/>
      <c r="E157" s="93"/>
      <c r="F157" s="93"/>
      <c r="G157" s="94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</row>
    <row r="158" spans="1:32" ht="13">
      <c r="A158" s="95"/>
      <c r="B158" s="95"/>
      <c r="C158" s="95"/>
      <c r="D158" s="95"/>
      <c r="E158" s="93"/>
      <c r="F158" s="93"/>
      <c r="G158" s="94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</row>
    <row r="159" spans="1:32" ht="13">
      <c r="A159" s="95"/>
      <c r="B159" s="95"/>
      <c r="C159" s="95"/>
      <c r="D159" s="95"/>
      <c r="E159" s="93"/>
      <c r="F159" s="93"/>
      <c r="G159" s="94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</row>
    <row r="160" spans="1:32" ht="13">
      <c r="A160" s="95"/>
      <c r="B160" s="95"/>
      <c r="C160" s="95"/>
      <c r="D160" s="95"/>
      <c r="E160" s="93"/>
      <c r="F160" s="93"/>
      <c r="G160" s="94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</row>
    <row r="161" spans="1:32" ht="13">
      <c r="A161" s="95"/>
      <c r="B161" s="95"/>
      <c r="C161" s="95"/>
      <c r="D161" s="95"/>
      <c r="E161" s="93"/>
      <c r="F161" s="93"/>
      <c r="G161" s="94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</row>
    <row r="162" spans="1:32" ht="13">
      <c r="A162" s="95"/>
      <c r="B162" s="95"/>
      <c r="C162" s="95"/>
      <c r="D162" s="95"/>
      <c r="E162" s="93"/>
      <c r="F162" s="93"/>
      <c r="G162" s="94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</row>
    <row r="163" spans="1:32" ht="13">
      <c r="A163" s="95"/>
      <c r="B163" s="95"/>
      <c r="C163" s="95"/>
      <c r="D163" s="95"/>
      <c r="E163" s="93"/>
      <c r="F163" s="93"/>
      <c r="G163" s="94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</row>
    <row r="164" spans="1:32" ht="13">
      <c r="A164" s="95"/>
      <c r="B164" s="95"/>
      <c r="C164" s="95"/>
      <c r="D164" s="95"/>
      <c r="E164" s="93"/>
      <c r="F164" s="93"/>
      <c r="G164" s="94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</row>
    <row r="165" spans="1:32" ht="13">
      <c r="A165" s="95"/>
      <c r="B165" s="95"/>
      <c r="C165" s="95"/>
      <c r="D165" s="95"/>
      <c r="E165" s="93"/>
      <c r="F165" s="93"/>
      <c r="G165" s="94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</row>
    <row r="166" spans="1:32" ht="13">
      <c r="A166" s="95"/>
      <c r="B166" s="95"/>
      <c r="C166" s="95"/>
      <c r="D166" s="95"/>
      <c r="E166" s="93"/>
      <c r="F166" s="93"/>
      <c r="G166" s="94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</row>
    <row r="167" spans="1:32" ht="13">
      <c r="A167" s="95"/>
      <c r="B167" s="95"/>
      <c r="C167" s="95"/>
      <c r="D167" s="95"/>
      <c r="E167" s="93"/>
      <c r="F167" s="93"/>
      <c r="G167" s="94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</row>
    <row r="168" spans="1:32" ht="13">
      <c r="A168" s="95"/>
      <c r="B168" s="95"/>
      <c r="C168" s="95"/>
      <c r="D168" s="95"/>
      <c r="E168" s="93"/>
      <c r="F168" s="93"/>
      <c r="G168" s="94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</row>
    <row r="169" spans="1:32" ht="13">
      <c r="A169" s="95"/>
      <c r="B169" s="95"/>
      <c r="C169" s="95"/>
      <c r="D169" s="95"/>
      <c r="E169" s="93"/>
      <c r="F169" s="93"/>
      <c r="G169" s="94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</row>
    <row r="170" spans="1:32" ht="13">
      <c r="A170" s="95"/>
      <c r="B170" s="95"/>
      <c r="C170" s="95"/>
      <c r="D170" s="95"/>
      <c r="E170" s="93"/>
      <c r="F170" s="93"/>
      <c r="G170" s="94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</row>
    <row r="171" spans="1:32" ht="13">
      <c r="A171" s="95"/>
      <c r="B171" s="95"/>
      <c r="C171" s="95"/>
      <c r="D171" s="95"/>
      <c r="E171" s="93"/>
      <c r="F171" s="93"/>
      <c r="G171" s="94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</row>
    <row r="172" spans="1:32" ht="13">
      <c r="A172" s="95"/>
      <c r="B172" s="95"/>
      <c r="C172" s="95"/>
      <c r="D172" s="95"/>
      <c r="E172" s="93"/>
      <c r="F172" s="93"/>
      <c r="G172" s="94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</row>
    <row r="173" spans="1:32" ht="13">
      <c r="A173" s="95"/>
      <c r="B173" s="95"/>
      <c r="C173" s="95"/>
      <c r="D173" s="95"/>
      <c r="E173" s="93"/>
      <c r="F173" s="93"/>
      <c r="G173" s="94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</row>
    <row r="174" spans="1:32" ht="13">
      <c r="A174" s="95"/>
      <c r="B174" s="95"/>
      <c r="C174" s="95"/>
      <c r="D174" s="95"/>
      <c r="E174" s="93"/>
      <c r="F174" s="93"/>
      <c r="G174" s="94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</row>
    <row r="175" spans="1:32" ht="13">
      <c r="A175" s="95"/>
      <c r="B175" s="95"/>
      <c r="C175" s="95"/>
      <c r="D175" s="95"/>
      <c r="E175" s="93"/>
      <c r="F175" s="93"/>
      <c r="G175" s="94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</row>
    <row r="176" spans="1:32" ht="13">
      <c r="A176" s="95"/>
      <c r="B176" s="95"/>
      <c r="C176" s="95"/>
      <c r="D176" s="95"/>
      <c r="E176" s="93"/>
      <c r="F176" s="93"/>
      <c r="G176" s="94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</row>
    <row r="177" spans="1:32" ht="13">
      <c r="A177" s="95"/>
      <c r="B177" s="95"/>
      <c r="C177" s="95"/>
      <c r="D177" s="95"/>
      <c r="E177" s="93"/>
      <c r="F177" s="93"/>
      <c r="G177" s="94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</row>
    <row r="178" spans="1:32" ht="13">
      <c r="A178" s="95"/>
      <c r="B178" s="95"/>
      <c r="C178" s="95"/>
      <c r="D178" s="95"/>
      <c r="E178" s="93"/>
      <c r="F178" s="93"/>
      <c r="G178" s="94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</row>
    <row r="179" spans="1:32" ht="13">
      <c r="A179" s="95"/>
      <c r="B179" s="95"/>
      <c r="C179" s="95"/>
      <c r="D179" s="95"/>
      <c r="E179" s="93"/>
      <c r="F179" s="93"/>
      <c r="G179" s="94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</row>
    <row r="180" spans="1:32" ht="13">
      <c r="A180" s="95"/>
      <c r="B180" s="95"/>
      <c r="C180" s="95"/>
      <c r="D180" s="95"/>
      <c r="E180" s="93"/>
      <c r="F180" s="93"/>
      <c r="G180" s="94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</row>
    <row r="181" spans="1:32" ht="13">
      <c r="A181" s="95"/>
      <c r="B181" s="95"/>
      <c r="C181" s="95"/>
      <c r="D181" s="95"/>
      <c r="E181" s="93"/>
      <c r="F181" s="93"/>
      <c r="G181" s="94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</row>
    <row r="182" spans="1:32" ht="13">
      <c r="A182" s="95"/>
      <c r="B182" s="95"/>
      <c r="C182" s="95"/>
      <c r="D182" s="95"/>
      <c r="E182" s="93"/>
      <c r="F182" s="93"/>
      <c r="G182" s="94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</row>
    <row r="183" spans="1:32" ht="13">
      <c r="A183" s="95"/>
      <c r="B183" s="95"/>
      <c r="C183" s="95"/>
      <c r="D183" s="95"/>
      <c r="E183" s="93"/>
      <c r="F183" s="93"/>
      <c r="G183" s="94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</row>
    <row r="184" spans="1:32" ht="13">
      <c r="A184" s="95"/>
      <c r="B184" s="95"/>
      <c r="C184" s="95"/>
      <c r="D184" s="95"/>
      <c r="E184" s="93"/>
      <c r="F184" s="93"/>
      <c r="G184" s="94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</row>
    <row r="185" spans="1:32" ht="13">
      <c r="A185" s="95"/>
      <c r="B185" s="95"/>
      <c r="C185" s="95"/>
      <c r="D185" s="95"/>
      <c r="E185" s="93"/>
      <c r="F185" s="93"/>
      <c r="G185" s="94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</row>
    <row r="186" spans="1:32" ht="13">
      <c r="A186" s="95"/>
      <c r="B186" s="95"/>
      <c r="C186" s="95"/>
      <c r="D186" s="95"/>
      <c r="E186" s="93"/>
      <c r="F186" s="93"/>
      <c r="G186" s="94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</row>
    <row r="187" spans="1:32" ht="13">
      <c r="A187" s="95"/>
      <c r="B187" s="95"/>
      <c r="C187" s="95"/>
      <c r="D187" s="95"/>
      <c r="E187" s="93"/>
      <c r="F187" s="93"/>
      <c r="G187" s="94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</row>
    <row r="188" spans="1:32" ht="13">
      <c r="A188" s="95"/>
      <c r="B188" s="95"/>
      <c r="C188" s="95"/>
      <c r="D188" s="95"/>
      <c r="E188" s="93"/>
      <c r="F188" s="93"/>
      <c r="G188" s="94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</row>
    <row r="189" spans="1:32" ht="13">
      <c r="A189" s="95"/>
      <c r="B189" s="95"/>
      <c r="C189" s="95"/>
      <c r="D189" s="95"/>
      <c r="E189" s="93"/>
      <c r="F189" s="93"/>
      <c r="G189" s="94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</row>
    <row r="190" spans="1:32" ht="13">
      <c r="A190" s="95"/>
      <c r="B190" s="95"/>
      <c r="C190" s="95"/>
      <c r="D190" s="95"/>
      <c r="E190" s="93"/>
      <c r="F190" s="93"/>
      <c r="G190" s="94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</row>
    <row r="191" spans="1:32" ht="13">
      <c r="A191" s="95"/>
      <c r="B191" s="95"/>
      <c r="C191" s="95"/>
      <c r="D191" s="95"/>
      <c r="E191" s="93"/>
      <c r="F191" s="93"/>
      <c r="G191" s="94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</row>
    <row r="192" spans="1:32" ht="13">
      <c r="A192" s="95"/>
      <c r="B192" s="95"/>
      <c r="C192" s="95"/>
      <c r="D192" s="95"/>
      <c r="E192" s="93"/>
      <c r="F192" s="93"/>
      <c r="G192" s="94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</row>
    <row r="193" spans="1:32" ht="13">
      <c r="A193" s="95"/>
      <c r="B193" s="95"/>
      <c r="C193" s="95"/>
      <c r="D193" s="95"/>
      <c r="E193" s="93"/>
      <c r="F193" s="93"/>
      <c r="G193" s="94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</row>
    <row r="194" spans="1:32" ht="13">
      <c r="A194" s="95"/>
      <c r="B194" s="95"/>
      <c r="C194" s="95"/>
      <c r="D194" s="95"/>
      <c r="E194" s="93"/>
      <c r="F194" s="93"/>
      <c r="G194" s="94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</row>
    <row r="195" spans="1:32" ht="13">
      <c r="A195" s="95"/>
      <c r="B195" s="95"/>
      <c r="C195" s="95"/>
      <c r="D195" s="95"/>
      <c r="E195" s="93"/>
      <c r="F195" s="93"/>
      <c r="G195" s="94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</row>
    <row r="196" spans="1:32" ht="13">
      <c r="A196" s="95"/>
      <c r="B196" s="95"/>
      <c r="C196" s="95"/>
      <c r="D196" s="95"/>
      <c r="E196" s="93"/>
      <c r="F196" s="93"/>
      <c r="G196" s="94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</row>
    <row r="197" spans="1:32" ht="13">
      <c r="A197" s="95"/>
      <c r="B197" s="95"/>
      <c r="C197" s="95"/>
      <c r="D197" s="95"/>
      <c r="E197" s="93"/>
      <c r="F197" s="93"/>
      <c r="G197" s="94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</row>
    <row r="198" spans="1:32" ht="13">
      <c r="A198" s="95"/>
      <c r="B198" s="95"/>
      <c r="C198" s="95"/>
      <c r="D198" s="95"/>
      <c r="E198" s="93"/>
      <c r="F198" s="93"/>
      <c r="G198" s="94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</row>
    <row r="199" spans="1:32" ht="13">
      <c r="A199" s="95"/>
      <c r="B199" s="95"/>
      <c r="C199" s="95"/>
      <c r="D199" s="95"/>
      <c r="E199" s="93"/>
      <c r="F199" s="93"/>
      <c r="G199" s="94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</row>
    <row r="200" spans="1:32" ht="13">
      <c r="A200" s="95"/>
      <c r="B200" s="95"/>
      <c r="C200" s="95"/>
      <c r="D200" s="95"/>
      <c r="E200" s="93"/>
      <c r="F200" s="93"/>
      <c r="G200" s="94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</row>
    <row r="201" spans="1:32" ht="13">
      <c r="A201" s="95"/>
      <c r="B201" s="95"/>
      <c r="C201" s="95"/>
      <c r="D201" s="95"/>
      <c r="E201" s="93"/>
      <c r="F201" s="93"/>
      <c r="G201" s="94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</row>
    <row r="202" spans="1:32" ht="13">
      <c r="A202" s="95"/>
      <c r="B202" s="95"/>
      <c r="C202" s="95"/>
      <c r="D202" s="95"/>
      <c r="E202" s="93"/>
      <c r="F202" s="93"/>
      <c r="G202" s="94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</row>
    <row r="203" spans="1:32" ht="13">
      <c r="A203" s="95"/>
      <c r="B203" s="95"/>
      <c r="C203" s="95"/>
      <c r="D203" s="95"/>
      <c r="E203" s="93"/>
      <c r="F203" s="93"/>
      <c r="G203" s="94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</row>
    <row r="204" spans="1:32" ht="13">
      <c r="A204" s="95"/>
      <c r="B204" s="95"/>
      <c r="C204" s="95"/>
      <c r="D204" s="95"/>
      <c r="E204" s="93"/>
      <c r="F204" s="93"/>
      <c r="G204" s="94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</row>
    <row r="205" spans="1:32" ht="13">
      <c r="A205" s="95"/>
      <c r="B205" s="95"/>
      <c r="C205" s="95"/>
      <c r="D205" s="95"/>
      <c r="E205" s="93"/>
      <c r="F205" s="93"/>
      <c r="G205" s="94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</row>
    <row r="206" spans="1:32" ht="13">
      <c r="A206" s="95"/>
      <c r="B206" s="95"/>
      <c r="C206" s="95"/>
      <c r="D206" s="95"/>
      <c r="E206" s="93"/>
      <c r="F206" s="93"/>
      <c r="G206" s="94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</row>
    <row r="207" spans="1:32" ht="13">
      <c r="A207" s="95"/>
      <c r="B207" s="95"/>
      <c r="C207" s="95"/>
      <c r="D207" s="95"/>
      <c r="E207" s="93"/>
      <c r="F207" s="93"/>
      <c r="G207" s="94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</row>
    <row r="208" spans="1:32" ht="13">
      <c r="A208" s="95"/>
      <c r="B208" s="95"/>
      <c r="C208" s="95"/>
      <c r="D208" s="95"/>
      <c r="E208" s="93"/>
      <c r="F208" s="93"/>
      <c r="G208" s="94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</row>
    <row r="209" spans="1:32" ht="13">
      <c r="A209" s="95"/>
      <c r="B209" s="95"/>
      <c r="C209" s="95"/>
      <c r="D209" s="95"/>
      <c r="E209" s="93"/>
      <c r="F209" s="93"/>
      <c r="G209" s="94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</row>
    <row r="210" spans="1:32" ht="13">
      <c r="A210" s="95"/>
      <c r="B210" s="95"/>
      <c r="C210" s="95"/>
      <c r="D210" s="95"/>
      <c r="E210" s="93"/>
      <c r="F210" s="93"/>
      <c r="G210" s="94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</row>
    <row r="211" spans="1:32" ht="13">
      <c r="A211" s="95"/>
      <c r="B211" s="95"/>
      <c r="C211" s="95"/>
      <c r="D211" s="95"/>
      <c r="E211" s="93"/>
      <c r="F211" s="93"/>
      <c r="G211" s="94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</row>
    <row r="212" spans="1:32" ht="13">
      <c r="A212" s="95"/>
      <c r="B212" s="95"/>
      <c r="C212" s="95"/>
      <c r="D212" s="95"/>
      <c r="E212" s="93"/>
      <c r="F212" s="93"/>
      <c r="G212" s="94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</row>
    <row r="213" spans="1:32" ht="13">
      <c r="A213" s="95"/>
      <c r="B213" s="95"/>
      <c r="C213" s="95"/>
      <c r="D213" s="95"/>
      <c r="E213" s="93"/>
      <c r="F213" s="93"/>
      <c r="G213" s="94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</row>
    <row r="214" spans="1:32" ht="13">
      <c r="A214" s="95"/>
      <c r="B214" s="95"/>
      <c r="C214" s="95"/>
      <c r="D214" s="95"/>
      <c r="E214" s="93"/>
      <c r="F214" s="93"/>
      <c r="G214" s="94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</row>
    <row r="215" spans="1:32" ht="13">
      <c r="A215" s="95"/>
      <c r="B215" s="95"/>
      <c r="C215" s="95"/>
      <c r="D215" s="95"/>
      <c r="E215" s="93"/>
      <c r="F215" s="93"/>
      <c r="G215" s="94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</row>
    <row r="216" spans="1:32" ht="13">
      <c r="A216" s="95"/>
      <c r="B216" s="95"/>
      <c r="C216" s="95"/>
      <c r="D216" s="95"/>
      <c r="E216" s="93"/>
      <c r="F216" s="93"/>
      <c r="G216" s="94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</row>
    <row r="217" spans="1:32" ht="13">
      <c r="A217" s="95"/>
      <c r="B217" s="95"/>
      <c r="C217" s="95"/>
      <c r="D217" s="95"/>
      <c r="E217" s="93"/>
      <c r="F217" s="93"/>
      <c r="G217" s="94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</row>
    <row r="218" spans="1:32" ht="13">
      <c r="A218" s="95"/>
      <c r="B218" s="95"/>
      <c r="C218" s="95"/>
      <c r="D218" s="95"/>
      <c r="E218" s="93"/>
      <c r="F218" s="93"/>
      <c r="G218" s="94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</row>
    <row r="219" spans="1:32" ht="13">
      <c r="A219" s="95"/>
      <c r="B219" s="95"/>
      <c r="C219" s="95"/>
      <c r="D219" s="95"/>
      <c r="E219" s="93"/>
      <c r="F219" s="93"/>
      <c r="G219" s="94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</row>
    <row r="220" spans="1:32" ht="13">
      <c r="A220" s="95"/>
      <c r="B220" s="95"/>
      <c r="C220" s="95"/>
      <c r="D220" s="95"/>
      <c r="E220" s="93"/>
      <c r="F220" s="93"/>
      <c r="G220" s="94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</row>
    <row r="221" spans="1:32" ht="13">
      <c r="A221" s="95"/>
      <c r="B221" s="95"/>
      <c r="C221" s="95"/>
      <c r="D221" s="95"/>
      <c r="E221" s="93"/>
      <c r="F221" s="93"/>
      <c r="G221" s="94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</row>
    <row r="222" spans="1:32" ht="13">
      <c r="A222" s="95"/>
      <c r="B222" s="95"/>
      <c r="C222" s="95"/>
      <c r="D222" s="95"/>
      <c r="E222" s="93"/>
      <c r="F222" s="93"/>
      <c r="G222" s="94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</row>
    <row r="223" spans="1:32" ht="13">
      <c r="A223" s="95"/>
      <c r="B223" s="95"/>
      <c r="C223" s="95"/>
      <c r="D223" s="95"/>
      <c r="E223" s="93"/>
      <c r="F223" s="93"/>
      <c r="G223" s="94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</row>
    <row r="224" spans="1:32" ht="13">
      <c r="A224" s="95"/>
      <c r="B224" s="95"/>
      <c r="C224" s="95"/>
      <c r="D224" s="95"/>
      <c r="E224" s="93"/>
      <c r="F224" s="93"/>
      <c r="G224" s="94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</row>
    <row r="225" spans="1:32" ht="13">
      <c r="A225" s="95"/>
      <c r="B225" s="95"/>
      <c r="C225" s="95"/>
      <c r="D225" s="95"/>
      <c r="E225" s="93"/>
      <c r="F225" s="93"/>
      <c r="G225" s="94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</row>
    <row r="226" spans="1:32" ht="13">
      <c r="A226" s="95"/>
      <c r="B226" s="95"/>
      <c r="C226" s="95"/>
      <c r="D226" s="95"/>
      <c r="E226" s="93"/>
      <c r="F226" s="93"/>
      <c r="G226" s="94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</row>
    <row r="227" spans="1:32" ht="13">
      <c r="A227" s="95"/>
      <c r="B227" s="95"/>
      <c r="C227" s="95"/>
      <c r="D227" s="95"/>
      <c r="E227" s="93"/>
      <c r="F227" s="93"/>
      <c r="G227" s="94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</row>
    <row r="228" spans="1:32" ht="13">
      <c r="A228" s="95"/>
      <c r="B228" s="95"/>
      <c r="C228" s="95"/>
      <c r="D228" s="95"/>
      <c r="E228" s="93"/>
      <c r="F228" s="93"/>
      <c r="G228" s="94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</row>
    <row r="229" spans="1:32" ht="13">
      <c r="A229" s="95"/>
      <c r="B229" s="95"/>
      <c r="C229" s="95"/>
      <c r="D229" s="95"/>
      <c r="E229" s="93"/>
      <c r="F229" s="93"/>
      <c r="G229" s="94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</row>
    <row r="230" spans="1:32" ht="13">
      <c r="A230" s="95"/>
      <c r="B230" s="95"/>
      <c r="C230" s="95"/>
      <c r="D230" s="95"/>
      <c r="E230" s="93"/>
      <c r="F230" s="93"/>
      <c r="G230" s="94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</row>
    <row r="231" spans="1:32" ht="13">
      <c r="A231" s="95"/>
      <c r="B231" s="95"/>
      <c r="C231" s="95"/>
      <c r="D231" s="95"/>
      <c r="E231" s="93"/>
      <c r="F231" s="93"/>
      <c r="G231" s="94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</row>
    <row r="232" spans="1:32" ht="13">
      <c r="A232" s="95"/>
      <c r="B232" s="95"/>
      <c r="C232" s="95"/>
      <c r="D232" s="95"/>
      <c r="E232" s="93"/>
      <c r="F232" s="93"/>
      <c r="G232" s="94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</row>
    <row r="233" spans="1:32" ht="13">
      <c r="A233" s="95"/>
      <c r="B233" s="95"/>
      <c r="C233" s="95"/>
      <c r="D233" s="95"/>
      <c r="E233" s="93"/>
      <c r="F233" s="93"/>
      <c r="G233" s="94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</row>
    <row r="234" spans="1:32" ht="13">
      <c r="A234" s="95"/>
      <c r="B234" s="95"/>
      <c r="C234" s="95"/>
      <c r="D234" s="95"/>
      <c r="E234" s="93"/>
      <c r="F234" s="93"/>
      <c r="G234" s="94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</row>
    <row r="235" spans="1:32" ht="13">
      <c r="A235" s="95"/>
      <c r="B235" s="95"/>
      <c r="C235" s="95"/>
      <c r="D235" s="95"/>
      <c r="E235" s="93"/>
      <c r="F235" s="93"/>
      <c r="G235" s="94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</row>
    <row r="236" spans="1:32" ht="13">
      <c r="A236" s="95"/>
      <c r="B236" s="95"/>
      <c r="C236" s="95"/>
      <c r="D236" s="95"/>
      <c r="E236" s="93"/>
      <c r="F236" s="93"/>
      <c r="G236" s="94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</row>
    <row r="237" spans="1:32" ht="13">
      <c r="A237" s="95"/>
      <c r="B237" s="95"/>
      <c r="C237" s="95"/>
      <c r="D237" s="95"/>
      <c r="E237" s="93"/>
      <c r="F237" s="93"/>
      <c r="G237" s="94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</row>
    <row r="238" spans="1:32" ht="13">
      <c r="A238" s="95"/>
      <c r="B238" s="95"/>
      <c r="C238" s="95"/>
      <c r="D238" s="95"/>
      <c r="E238" s="93"/>
      <c r="F238" s="93"/>
      <c r="G238" s="94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</row>
    <row r="239" spans="1:32" ht="13">
      <c r="A239" s="95"/>
      <c r="B239" s="95"/>
      <c r="C239" s="95"/>
      <c r="D239" s="95"/>
      <c r="E239" s="93"/>
      <c r="F239" s="93"/>
      <c r="G239" s="94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</row>
    <row r="240" spans="1:32" ht="13">
      <c r="A240" s="95"/>
      <c r="B240" s="95"/>
      <c r="C240" s="95"/>
      <c r="D240" s="95"/>
      <c r="E240" s="93"/>
      <c r="F240" s="93"/>
      <c r="G240" s="94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</row>
    <row r="241" spans="1:32" ht="13">
      <c r="A241" s="95"/>
      <c r="B241" s="95"/>
      <c r="C241" s="95"/>
      <c r="D241" s="95"/>
      <c r="E241" s="93"/>
      <c r="F241" s="93"/>
      <c r="G241" s="94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</row>
    <row r="242" spans="1:32" ht="13">
      <c r="A242" s="95"/>
      <c r="B242" s="95"/>
      <c r="C242" s="95"/>
      <c r="D242" s="95"/>
      <c r="E242" s="93"/>
      <c r="F242" s="93"/>
      <c r="G242" s="94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</row>
    <row r="243" spans="1:32" ht="13">
      <c r="A243" s="95"/>
      <c r="B243" s="95"/>
      <c r="C243" s="95"/>
      <c r="D243" s="95"/>
      <c r="E243" s="93"/>
      <c r="F243" s="93"/>
      <c r="G243" s="94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</row>
    <row r="244" spans="1:32" ht="13">
      <c r="A244" s="95"/>
      <c r="B244" s="95"/>
      <c r="C244" s="95"/>
      <c r="D244" s="95"/>
      <c r="E244" s="93"/>
      <c r="F244" s="93"/>
      <c r="G244" s="94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</row>
    <row r="245" spans="1:32" ht="13">
      <c r="A245" s="95"/>
      <c r="B245" s="95"/>
      <c r="C245" s="95"/>
      <c r="D245" s="95"/>
      <c r="E245" s="93"/>
      <c r="F245" s="93"/>
      <c r="G245" s="94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</row>
    <row r="246" spans="1:32" ht="13">
      <c r="A246" s="95"/>
      <c r="B246" s="95"/>
      <c r="C246" s="95"/>
      <c r="D246" s="95"/>
      <c r="E246" s="93"/>
      <c r="F246" s="93"/>
      <c r="G246" s="94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</row>
    <row r="247" spans="1:32" ht="13">
      <c r="A247" s="95"/>
      <c r="B247" s="95"/>
      <c r="C247" s="95"/>
      <c r="D247" s="95"/>
      <c r="E247" s="93"/>
      <c r="F247" s="93"/>
      <c r="G247" s="94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</row>
    <row r="248" spans="1:32" ht="13">
      <c r="A248" s="95"/>
      <c r="B248" s="95"/>
      <c r="C248" s="95"/>
      <c r="D248" s="95"/>
      <c r="E248" s="93"/>
      <c r="F248" s="93"/>
      <c r="G248" s="94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</row>
    <row r="249" spans="1:32" ht="13">
      <c r="A249" s="95"/>
      <c r="B249" s="95"/>
      <c r="C249" s="95"/>
      <c r="D249" s="95"/>
      <c r="E249" s="93"/>
      <c r="F249" s="93"/>
      <c r="G249" s="94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</row>
    <row r="250" spans="1:32" ht="13">
      <c r="A250" s="95"/>
      <c r="B250" s="95"/>
      <c r="C250" s="95"/>
      <c r="D250" s="95"/>
      <c r="E250" s="93"/>
      <c r="F250" s="93"/>
      <c r="G250" s="94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</row>
    <row r="251" spans="1:32" ht="13">
      <c r="A251" s="95"/>
      <c r="B251" s="95"/>
      <c r="C251" s="95"/>
      <c r="D251" s="95"/>
      <c r="E251" s="93"/>
      <c r="F251" s="93"/>
      <c r="G251" s="94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</row>
    <row r="252" spans="1:32" ht="13">
      <c r="A252" s="95"/>
      <c r="B252" s="95"/>
      <c r="C252" s="95"/>
      <c r="D252" s="95"/>
      <c r="E252" s="93"/>
      <c r="F252" s="93"/>
      <c r="G252" s="94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</row>
    <row r="253" spans="1:32" ht="13">
      <c r="A253" s="95"/>
      <c r="B253" s="95"/>
      <c r="C253" s="95"/>
      <c r="D253" s="95"/>
      <c r="E253" s="93"/>
      <c r="F253" s="93"/>
      <c r="G253" s="94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</row>
    <row r="254" spans="1:32" ht="13">
      <c r="A254" s="95"/>
      <c r="B254" s="95"/>
      <c r="C254" s="95"/>
      <c r="D254" s="95"/>
      <c r="E254" s="93"/>
      <c r="F254" s="93"/>
      <c r="G254" s="94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</row>
    <row r="255" spans="1:32" ht="13">
      <c r="A255" s="95"/>
      <c r="B255" s="95"/>
      <c r="C255" s="95"/>
      <c r="D255" s="95"/>
      <c r="E255" s="93"/>
      <c r="F255" s="93"/>
      <c r="G255" s="94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</row>
    <row r="256" spans="1:32" ht="13">
      <c r="A256" s="95"/>
      <c r="B256" s="95"/>
      <c r="C256" s="95"/>
      <c r="D256" s="95"/>
      <c r="E256" s="93"/>
      <c r="F256" s="93"/>
      <c r="G256" s="94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</row>
    <row r="257" spans="1:32" ht="13">
      <c r="A257" s="95"/>
      <c r="B257" s="95"/>
      <c r="C257" s="95"/>
      <c r="D257" s="95"/>
      <c r="E257" s="93"/>
      <c r="F257" s="93"/>
      <c r="G257" s="94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</row>
    <row r="258" spans="1:32" ht="13">
      <c r="A258" s="95"/>
      <c r="B258" s="95"/>
      <c r="C258" s="95"/>
      <c r="D258" s="95"/>
      <c r="E258" s="93"/>
      <c r="F258" s="93"/>
      <c r="G258" s="94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</row>
    <row r="259" spans="1:32" ht="13">
      <c r="A259" s="95"/>
      <c r="B259" s="95"/>
      <c r="C259" s="95"/>
      <c r="D259" s="95"/>
      <c r="E259" s="93"/>
      <c r="F259" s="93"/>
      <c r="G259" s="94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</row>
    <row r="260" spans="1:32" ht="13">
      <c r="A260" s="95"/>
      <c r="B260" s="95"/>
      <c r="C260" s="95"/>
      <c r="D260" s="95"/>
      <c r="E260" s="93"/>
      <c r="F260" s="93"/>
      <c r="G260" s="94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</row>
    <row r="261" spans="1:32" ht="13">
      <c r="A261" s="95"/>
      <c r="B261" s="95"/>
      <c r="C261" s="95"/>
      <c r="D261" s="95"/>
      <c r="E261" s="93"/>
      <c r="F261" s="93"/>
      <c r="G261" s="94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</row>
    <row r="262" spans="1:32" ht="13">
      <c r="A262" s="95"/>
      <c r="B262" s="95"/>
      <c r="C262" s="95"/>
      <c r="D262" s="95"/>
      <c r="E262" s="93"/>
      <c r="F262" s="93"/>
      <c r="G262" s="94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</row>
    <row r="263" spans="1:32" ht="13">
      <c r="A263" s="95"/>
      <c r="B263" s="95"/>
      <c r="C263" s="95"/>
      <c r="D263" s="95"/>
      <c r="E263" s="93"/>
      <c r="F263" s="93"/>
      <c r="G263" s="94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</row>
    <row r="264" spans="1:32" ht="13">
      <c r="A264" s="95"/>
      <c r="B264" s="95"/>
      <c r="C264" s="95"/>
      <c r="D264" s="95"/>
      <c r="E264" s="93"/>
      <c r="F264" s="93"/>
      <c r="G264" s="94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</row>
    <row r="265" spans="1:32" ht="13">
      <c r="A265" s="95"/>
      <c r="B265" s="95"/>
      <c r="C265" s="95"/>
      <c r="D265" s="95"/>
      <c r="E265" s="93"/>
      <c r="F265" s="93"/>
      <c r="G265" s="94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</row>
    <row r="266" spans="1:32" ht="13">
      <c r="A266" s="95"/>
      <c r="B266" s="95"/>
      <c r="C266" s="95"/>
      <c r="D266" s="95"/>
      <c r="E266" s="93"/>
      <c r="F266" s="93"/>
      <c r="G266" s="94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</row>
    <row r="267" spans="1:32" ht="13">
      <c r="A267" s="95"/>
      <c r="B267" s="95"/>
      <c r="C267" s="95"/>
      <c r="D267" s="95"/>
      <c r="E267" s="93"/>
      <c r="F267" s="93"/>
      <c r="G267" s="94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</row>
    <row r="268" spans="1:32" ht="13">
      <c r="A268" s="95"/>
      <c r="B268" s="95"/>
      <c r="C268" s="95"/>
      <c r="D268" s="95"/>
      <c r="E268" s="93"/>
      <c r="F268" s="93"/>
      <c r="G268" s="94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</row>
    <row r="269" spans="1:32" ht="13">
      <c r="A269" s="95"/>
      <c r="B269" s="95"/>
      <c r="C269" s="95"/>
      <c r="D269" s="95"/>
      <c r="E269" s="93"/>
      <c r="F269" s="93"/>
      <c r="G269" s="94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</row>
    <row r="270" spans="1:32" ht="13">
      <c r="A270" s="95"/>
      <c r="B270" s="95"/>
      <c r="C270" s="95"/>
      <c r="D270" s="95"/>
      <c r="E270" s="93"/>
      <c r="F270" s="93"/>
      <c r="G270" s="94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</row>
    <row r="271" spans="1:32" ht="13">
      <c r="A271" s="95"/>
      <c r="B271" s="95"/>
      <c r="C271" s="95"/>
      <c r="D271" s="95"/>
      <c r="E271" s="93"/>
      <c r="F271" s="93"/>
      <c r="G271" s="94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</row>
    <row r="272" spans="1:32" ht="13">
      <c r="A272" s="95"/>
      <c r="B272" s="95"/>
      <c r="C272" s="95"/>
      <c r="D272" s="95"/>
      <c r="E272" s="93"/>
      <c r="F272" s="93"/>
      <c r="G272" s="94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</row>
    <row r="273" spans="1:32" ht="13">
      <c r="A273" s="95"/>
      <c r="B273" s="95"/>
      <c r="C273" s="95"/>
      <c r="D273" s="95"/>
      <c r="E273" s="93"/>
      <c r="F273" s="93"/>
      <c r="G273" s="94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</row>
    <row r="274" spans="1:32" ht="13">
      <c r="A274" s="95"/>
      <c r="B274" s="95"/>
      <c r="C274" s="95"/>
      <c r="D274" s="95"/>
      <c r="E274" s="93"/>
      <c r="F274" s="93"/>
      <c r="G274" s="94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</row>
    <row r="275" spans="1:32" ht="13">
      <c r="A275" s="95"/>
      <c r="B275" s="95"/>
      <c r="C275" s="95"/>
      <c r="D275" s="95"/>
      <c r="E275" s="93"/>
      <c r="F275" s="93"/>
      <c r="G275" s="94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</row>
    <row r="276" spans="1:32" ht="13">
      <c r="A276" s="95"/>
      <c r="B276" s="95"/>
      <c r="C276" s="95"/>
      <c r="D276" s="95"/>
      <c r="E276" s="93"/>
      <c r="F276" s="93"/>
      <c r="G276" s="94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</row>
    <row r="277" spans="1:32" ht="13">
      <c r="A277" s="95"/>
      <c r="B277" s="95"/>
      <c r="C277" s="95"/>
      <c r="D277" s="95"/>
      <c r="E277" s="93"/>
      <c r="F277" s="93"/>
      <c r="G277" s="94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</row>
    <row r="278" spans="1:32" ht="13">
      <c r="A278" s="95"/>
      <c r="B278" s="95"/>
      <c r="C278" s="95"/>
      <c r="D278" s="95"/>
      <c r="E278" s="93"/>
      <c r="F278" s="93"/>
      <c r="G278" s="94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</row>
    <row r="279" spans="1:32" ht="13">
      <c r="A279" s="95"/>
      <c r="B279" s="95"/>
      <c r="C279" s="95"/>
      <c r="D279" s="95"/>
      <c r="E279" s="93"/>
      <c r="F279" s="93"/>
      <c r="G279" s="94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</row>
    <row r="280" spans="1:32" ht="13">
      <c r="A280" s="95"/>
      <c r="B280" s="95"/>
      <c r="C280" s="95"/>
      <c r="D280" s="95"/>
      <c r="E280" s="93"/>
      <c r="F280" s="93"/>
      <c r="G280" s="94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</row>
    <row r="281" spans="1:32" ht="13">
      <c r="A281" s="95"/>
      <c r="B281" s="95"/>
      <c r="C281" s="95"/>
      <c r="D281" s="95"/>
      <c r="E281" s="93"/>
      <c r="F281" s="93"/>
      <c r="G281" s="94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</row>
    <row r="282" spans="1:32" ht="13">
      <c r="A282" s="95"/>
      <c r="B282" s="95"/>
      <c r="C282" s="95"/>
      <c r="D282" s="95"/>
      <c r="E282" s="93"/>
      <c r="F282" s="93"/>
      <c r="G282" s="94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</row>
    <row r="283" spans="1:32" ht="13">
      <c r="A283" s="95"/>
      <c r="B283" s="95"/>
      <c r="C283" s="95"/>
      <c r="D283" s="95"/>
      <c r="E283" s="93"/>
      <c r="F283" s="93"/>
      <c r="G283" s="94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</row>
    <row r="284" spans="1:32" ht="13">
      <c r="A284" s="95"/>
      <c r="B284" s="95"/>
      <c r="C284" s="95"/>
      <c r="D284" s="95"/>
      <c r="E284" s="93"/>
      <c r="F284" s="93"/>
      <c r="G284" s="94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</row>
    <row r="285" spans="1:32" ht="13">
      <c r="A285" s="95"/>
      <c r="B285" s="95"/>
      <c r="C285" s="95"/>
      <c r="D285" s="95"/>
      <c r="E285" s="93"/>
      <c r="F285" s="93"/>
      <c r="G285" s="94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</row>
    <row r="286" spans="1:32" ht="13">
      <c r="A286" s="95"/>
      <c r="B286" s="95"/>
      <c r="C286" s="95"/>
      <c r="D286" s="95"/>
      <c r="E286" s="93"/>
      <c r="F286" s="93"/>
      <c r="G286" s="94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</row>
    <row r="287" spans="1:32" ht="13">
      <c r="A287" s="95"/>
      <c r="B287" s="95"/>
      <c r="C287" s="95"/>
      <c r="D287" s="95"/>
      <c r="E287" s="93"/>
      <c r="F287" s="93"/>
      <c r="G287" s="94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</row>
    <row r="288" spans="1:32" ht="13">
      <c r="A288" s="95"/>
      <c r="B288" s="95"/>
      <c r="C288" s="95"/>
      <c r="D288" s="95"/>
      <c r="E288" s="93"/>
      <c r="F288" s="93"/>
      <c r="G288" s="94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</row>
    <row r="289" spans="1:32" ht="13">
      <c r="A289" s="95"/>
      <c r="B289" s="95"/>
      <c r="C289" s="95"/>
      <c r="D289" s="95"/>
      <c r="E289" s="93"/>
      <c r="F289" s="93"/>
      <c r="G289" s="94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</row>
    <row r="290" spans="1:32" ht="13">
      <c r="A290" s="95"/>
      <c r="B290" s="95"/>
      <c r="C290" s="95"/>
      <c r="D290" s="95"/>
      <c r="E290" s="93"/>
      <c r="F290" s="93"/>
      <c r="G290" s="94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</row>
    <row r="291" spans="1:32" ht="13">
      <c r="A291" s="95"/>
      <c r="B291" s="95"/>
      <c r="C291" s="95"/>
      <c r="D291" s="95"/>
      <c r="E291" s="93"/>
      <c r="F291" s="93"/>
      <c r="G291" s="94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</row>
    <row r="292" spans="1:32" ht="13">
      <c r="A292" s="95"/>
      <c r="B292" s="95"/>
      <c r="C292" s="95"/>
      <c r="D292" s="95"/>
      <c r="E292" s="93"/>
      <c r="F292" s="93"/>
      <c r="G292" s="94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</row>
    <row r="293" spans="1:32" ht="13">
      <c r="A293" s="95"/>
      <c r="B293" s="95"/>
      <c r="C293" s="95"/>
      <c r="D293" s="95"/>
      <c r="E293" s="93"/>
      <c r="F293" s="93"/>
      <c r="G293" s="94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</row>
    <row r="294" spans="1:32" ht="13">
      <c r="A294" s="95"/>
      <c r="B294" s="95"/>
      <c r="C294" s="95"/>
      <c r="D294" s="95"/>
      <c r="E294" s="93"/>
      <c r="F294" s="93"/>
      <c r="G294" s="94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</row>
    <row r="295" spans="1:32" ht="13">
      <c r="A295" s="95"/>
      <c r="B295" s="95"/>
      <c r="C295" s="95"/>
      <c r="D295" s="95"/>
      <c r="E295" s="93"/>
      <c r="F295" s="93"/>
      <c r="G295" s="94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</row>
    <row r="296" spans="1:32" ht="13">
      <c r="A296" s="95"/>
      <c r="B296" s="95"/>
      <c r="C296" s="95"/>
      <c r="D296" s="95"/>
      <c r="E296" s="93"/>
      <c r="F296" s="93"/>
      <c r="G296" s="94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</row>
    <row r="297" spans="1:32" ht="13">
      <c r="A297" s="95"/>
      <c r="B297" s="95"/>
      <c r="C297" s="95"/>
      <c r="D297" s="95"/>
      <c r="E297" s="93"/>
      <c r="F297" s="93"/>
      <c r="G297" s="94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</row>
    <row r="298" spans="1:32" ht="13">
      <c r="A298" s="95"/>
      <c r="B298" s="95"/>
      <c r="C298" s="95"/>
      <c r="D298" s="95"/>
      <c r="E298" s="93"/>
      <c r="F298" s="93"/>
      <c r="G298" s="94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</row>
    <row r="299" spans="1:32" ht="13">
      <c r="A299" s="95"/>
      <c r="B299" s="95"/>
      <c r="C299" s="95"/>
      <c r="D299" s="95"/>
      <c r="E299" s="93"/>
      <c r="F299" s="93"/>
      <c r="G299" s="94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</row>
    <row r="300" spans="1:32" ht="13">
      <c r="A300" s="95"/>
      <c r="B300" s="95"/>
      <c r="C300" s="95"/>
      <c r="D300" s="95"/>
      <c r="E300" s="93"/>
      <c r="F300" s="93"/>
      <c r="G300" s="94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</row>
    <row r="301" spans="1:32" ht="13">
      <c r="A301" s="95"/>
      <c r="B301" s="95"/>
      <c r="C301" s="95"/>
      <c r="D301" s="95"/>
      <c r="E301" s="93"/>
      <c r="F301" s="93"/>
      <c r="G301" s="94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</row>
    <row r="302" spans="1:32" ht="13">
      <c r="A302" s="95"/>
      <c r="B302" s="95"/>
      <c r="C302" s="95"/>
      <c r="D302" s="95"/>
      <c r="E302" s="93"/>
      <c r="F302" s="93"/>
      <c r="G302" s="94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</row>
    <row r="303" spans="1:32" ht="13">
      <c r="A303" s="95"/>
      <c r="B303" s="95"/>
      <c r="C303" s="95"/>
      <c r="D303" s="95"/>
      <c r="E303" s="93"/>
      <c r="F303" s="93"/>
      <c r="G303" s="94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</row>
    <row r="304" spans="1:32" ht="13">
      <c r="A304" s="95"/>
      <c r="B304" s="95"/>
      <c r="C304" s="95"/>
      <c r="D304" s="95"/>
      <c r="E304" s="93"/>
      <c r="F304" s="93"/>
      <c r="G304" s="94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</row>
    <row r="305" spans="1:32" ht="13">
      <c r="A305" s="95"/>
      <c r="B305" s="95"/>
      <c r="C305" s="95"/>
      <c r="D305" s="95"/>
      <c r="E305" s="93"/>
      <c r="F305" s="93"/>
      <c r="G305" s="94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</row>
    <row r="306" spans="1:32" ht="13">
      <c r="A306" s="95"/>
      <c r="B306" s="95"/>
      <c r="C306" s="95"/>
      <c r="D306" s="95"/>
      <c r="E306" s="93"/>
      <c r="F306" s="93"/>
      <c r="G306" s="94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</row>
    <row r="307" spans="1:32" ht="13">
      <c r="A307" s="95"/>
      <c r="B307" s="95"/>
      <c r="C307" s="95"/>
      <c r="D307" s="95"/>
      <c r="E307" s="93"/>
      <c r="F307" s="93"/>
      <c r="G307" s="94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</row>
    <row r="308" spans="1:32" ht="13">
      <c r="A308" s="95"/>
      <c r="B308" s="95"/>
      <c r="C308" s="95"/>
      <c r="D308" s="95"/>
      <c r="E308" s="93"/>
      <c r="F308" s="93"/>
      <c r="G308" s="94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</row>
    <row r="309" spans="1:32" ht="13">
      <c r="A309" s="95"/>
      <c r="B309" s="95"/>
      <c r="C309" s="95"/>
      <c r="D309" s="95"/>
      <c r="E309" s="93"/>
      <c r="F309" s="93"/>
      <c r="G309" s="94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</row>
    <row r="310" spans="1:32" ht="13">
      <c r="A310" s="95"/>
      <c r="B310" s="95"/>
      <c r="C310" s="95"/>
      <c r="D310" s="95"/>
      <c r="E310" s="93"/>
      <c r="F310" s="93"/>
      <c r="G310" s="94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</row>
    <row r="311" spans="1:32" ht="13">
      <c r="A311" s="95"/>
      <c r="B311" s="95"/>
      <c r="C311" s="95"/>
      <c r="D311" s="95"/>
      <c r="E311" s="93"/>
      <c r="F311" s="93"/>
      <c r="G311" s="94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</row>
    <row r="312" spans="1:32" ht="13">
      <c r="A312" s="95"/>
      <c r="B312" s="95"/>
      <c r="C312" s="95"/>
      <c r="D312" s="95"/>
      <c r="E312" s="93"/>
      <c r="F312" s="93"/>
      <c r="G312" s="94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</row>
    <row r="313" spans="1:32" ht="13">
      <c r="A313" s="95"/>
      <c r="B313" s="95"/>
      <c r="C313" s="95"/>
      <c r="D313" s="95"/>
      <c r="E313" s="93"/>
      <c r="F313" s="93"/>
      <c r="G313" s="94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</row>
    <row r="314" spans="1:32" ht="13">
      <c r="A314" s="95"/>
      <c r="B314" s="95"/>
      <c r="C314" s="95"/>
      <c r="D314" s="95"/>
      <c r="E314" s="93"/>
      <c r="F314" s="93"/>
      <c r="G314" s="94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</row>
    <row r="315" spans="1:32" ht="13">
      <c r="A315" s="95"/>
      <c r="B315" s="95"/>
      <c r="C315" s="95"/>
      <c r="D315" s="95"/>
      <c r="E315" s="93"/>
      <c r="F315" s="93"/>
      <c r="G315" s="94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</row>
    <row r="316" spans="1:32" ht="13">
      <c r="A316" s="95"/>
      <c r="B316" s="95"/>
      <c r="C316" s="95"/>
      <c r="D316" s="95"/>
      <c r="E316" s="93"/>
      <c r="F316" s="93"/>
      <c r="G316" s="94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</row>
    <row r="317" spans="1:32" ht="13">
      <c r="A317" s="95"/>
      <c r="B317" s="95"/>
      <c r="C317" s="95"/>
      <c r="D317" s="95"/>
      <c r="E317" s="93"/>
      <c r="F317" s="93"/>
      <c r="G317" s="94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</row>
    <row r="318" spans="1:32" ht="13">
      <c r="A318" s="95"/>
      <c r="B318" s="95"/>
      <c r="C318" s="95"/>
      <c r="D318" s="95"/>
      <c r="E318" s="93"/>
      <c r="F318" s="93"/>
      <c r="G318" s="94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</row>
    <row r="319" spans="1:32" ht="13">
      <c r="A319" s="95"/>
      <c r="B319" s="95"/>
      <c r="C319" s="95"/>
      <c r="D319" s="95"/>
      <c r="E319" s="93"/>
      <c r="F319" s="93"/>
      <c r="G319" s="94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</row>
    <row r="320" spans="1:32" ht="13">
      <c r="A320" s="95"/>
      <c r="B320" s="95"/>
      <c r="C320" s="95"/>
      <c r="D320" s="95"/>
      <c r="E320" s="93"/>
      <c r="F320" s="93"/>
      <c r="G320" s="94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</row>
    <row r="321" spans="1:32" ht="13">
      <c r="A321" s="95"/>
      <c r="B321" s="95"/>
      <c r="C321" s="95"/>
      <c r="D321" s="95"/>
      <c r="E321" s="93"/>
      <c r="F321" s="93"/>
      <c r="G321" s="94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</row>
    <row r="322" spans="1:32" ht="13">
      <c r="A322" s="95"/>
      <c r="B322" s="95"/>
      <c r="C322" s="95"/>
      <c r="D322" s="95"/>
      <c r="E322" s="93"/>
      <c r="F322" s="93"/>
      <c r="G322" s="94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</row>
    <row r="323" spans="1:32" ht="13">
      <c r="A323" s="95"/>
      <c r="B323" s="95"/>
      <c r="C323" s="95"/>
      <c r="D323" s="95"/>
      <c r="E323" s="93"/>
      <c r="F323" s="93"/>
      <c r="G323" s="94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</row>
    <row r="324" spans="1:32" ht="13">
      <c r="A324" s="95"/>
      <c r="B324" s="95"/>
      <c r="C324" s="95"/>
      <c r="D324" s="95"/>
      <c r="E324" s="93"/>
      <c r="F324" s="93"/>
      <c r="G324" s="94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</row>
    <row r="325" spans="1:32" ht="13">
      <c r="A325" s="95"/>
      <c r="B325" s="95"/>
      <c r="C325" s="95"/>
      <c r="D325" s="95"/>
      <c r="E325" s="93"/>
      <c r="F325" s="93"/>
      <c r="G325" s="94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</row>
    <row r="326" spans="1:32" ht="13">
      <c r="A326" s="95"/>
      <c r="B326" s="95"/>
      <c r="C326" s="95"/>
      <c r="D326" s="95"/>
      <c r="E326" s="93"/>
      <c r="F326" s="93"/>
      <c r="G326" s="94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</row>
    <row r="327" spans="1:32" ht="13">
      <c r="A327" s="95"/>
      <c r="B327" s="95"/>
      <c r="C327" s="95"/>
      <c r="D327" s="95"/>
      <c r="E327" s="93"/>
      <c r="F327" s="93"/>
      <c r="G327" s="94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</row>
    <row r="328" spans="1:32" ht="13">
      <c r="A328" s="95"/>
      <c r="B328" s="95"/>
      <c r="C328" s="95"/>
      <c r="D328" s="95"/>
      <c r="E328" s="93"/>
      <c r="F328" s="93"/>
      <c r="G328" s="94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</row>
    <row r="329" spans="1:32" ht="13">
      <c r="A329" s="95"/>
      <c r="B329" s="95"/>
      <c r="C329" s="95"/>
      <c r="D329" s="95"/>
      <c r="E329" s="93"/>
      <c r="F329" s="93"/>
      <c r="G329" s="94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</row>
    <row r="330" spans="1:32" ht="13">
      <c r="A330" s="95"/>
      <c r="B330" s="95"/>
      <c r="C330" s="95"/>
      <c r="D330" s="95"/>
      <c r="E330" s="93"/>
      <c r="F330" s="93"/>
      <c r="G330" s="94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</row>
    <row r="331" spans="1:32" ht="13">
      <c r="A331" s="95"/>
      <c r="B331" s="95"/>
      <c r="C331" s="95"/>
      <c r="D331" s="95"/>
      <c r="E331" s="93"/>
      <c r="F331" s="93"/>
      <c r="G331" s="94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</row>
    <row r="332" spans="1:32" ht="13">
      <c r="A332" s="95"/>
      <c r="B332" s="95"/>
      <c r="C332" s="95"/>
      <c r="D332" s="95"/>
      <c r="E332" s="93"/>
      <c r="F332" s="93"/>
      <c r="G332" s="94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</row>
    <row r="333" spans="1:32" ht="13">
      <c r="A333" s="95"/>
      <c r="B333" s="95"/>
      <c r="C333" s="95"/>
      <c r="D333" s="95"/>
      <c r="E333" s="93"/>
      <c r="F333" s="93"/>
      <c r="G333" s="94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</row>
    <row r="334" spans="1:32" ht="13">
      <c r="A334" s="95"/>
      <c r="B334" s="95"/>
      <c r="C334" s="95"/>
      <c r="D334" s="95"/>
      <c r="E334" s="93"/>
      <c r="F334" s="93"/>
      <c r="G334" s="94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</row>
    <row r="335" spans="1:32" ht="13">
      <c r="A335" s="95"/>
      <c r="B335" s="95"/>
      <c r="C335" s="95"/>
      <c r="D335" s="95"/>
      <c r="E335" s="93"/>
      <c r="F335" s="93"/>
      <c r="G335" s="94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</row>
    <row r="336" spans="1:32" ht="13">
      <c r="A336" s="95"/>
      <c r="B336" s="95"/>
      <c r="C336" s="95"/>
      <c r="D336" s="95"/>
      <c r="E336" s="93"/>
      <c r="F336" s="93"/>
      <c r="G336" s="94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</row>
    <row r="337" spans="1:32" ht="13">
      <c r="A337" s="95"/>
      <c r="B337" s="95"/>
      <c r="C337" s="95"/>
      <c r="D337" s="95"/>
      <c r="E337" s="93"/>
      <c r="F337" s="93"/>
      <c r="G337" s="94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</row>
    <row r="338" spans="1:32" ht="13">
      <c r="A338" s="95"/>
      <c r="B338" s="95"/>
      <c r="C338" s="95"/>
      <c r="D338" s="95"/>
      <c r="E338" s="93"/>
      <c r="F338" s="93"/>
      <c r="G338" s="94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</row>
    <row r="339" spans="1:32" ht="13">
      <c r="A339" s="95"/>
      <c r="B339" s="95"/>
      <c r="C339" s="95"/>
      <c r="D339" s="95"/>
      <c r="E339" s="93"/>
      <c r="F339" s="93"/>
      <c r="G339" s="94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</row>
    <row r="340" spans="1:32" ht="13">
      <c r="A340" s="95"/>
      <c r="B340" s="95"/>
      <c r="C340" s="95"/>
      <c r="D340" s="95"/>
      <c r="E340" s="93"/>
      <c r="F340" s="93"/>
      <c r="G340" s="94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</row>
    <row r="341" spans="1:32" ht="13">
      <c r="A341" s="95"/>
      <c r="B341" s="95"/>
      <c r="C341" s="95"/>
      <c r="D341" s="95"/>
      <c r="E341" s="93"/>
      <c r="F341" s="93"/>
      <c r="G341" s="94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</row>
    <row r="342" spans="1:32" ht="13">
      <c r="A342" s="95"/>
      <c r="B342" s="95"/>
      <c r="C342" s="95"/>
      <c r="D342" s="95"/>
      <c r="E342" s="93"/>
      <c r="F342" s="93"/>
      <c r="G342" s="94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</row>
    <row r="343" spans="1:32" ht="13">
      <c r="A343" s="95"/>
      <c r="B343" s="95"/>
      <c r="C343" s="95"/>
      <c r="D343" s="95"/>
      <c r="E343" s="93"/>
      <c r="F343" s="93"/>
      <c r="G343" s="94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</row>
    <row r="344" spans="1:32" ht="13">
      <c r="A344" s="95"/>
      <c r="B344" s="95"/>
      <c r="C344" s="95"/>
      <c r="D344" s="95"/>
      <c r="E344" s="93"/>
      <c r="F344" s="93"/>
      <c r="G344" s="94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</row>
    <row r="345" spans="1:32" ht="13">
      <c r="A345" s="95"/>
      <c r="B345" s="95"/>
      <c r="C345" s="95"/>
      <c r="D345" s="95"/>
      <c r="E345" s="93"/>
      <c r="F345" s="93"/>
      <c r="G345" s="94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</row>
    <row r="346" spans="1:32" ht="13">
      <c r="A346" s="95"/>
      <c r="B346" s="95"/>
      <c r="C346" s="95"/>
      <c r="D346" s="95"/>
      <c r="E346" s="93"/>
      <c r="F346" s="93"/>
      <c r="G346" s="94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</row>
    <row r="347" spans="1:32" ht="13">
      <c r="A347" s="95"/>
      <c r="B347" s="95"/>
      <c r="C347" s="95"/>
      <c r="D347" s="95"/>
      <c r="E347" s="93"/>
      <c r="F347" s="93"/>
      <c r="G347" s="94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</row>
    <row r="348" spans="1:32" ht="13">
      <c r="A348" s="95"/>
      <c r="B348" s="95"/>
      <c r="C348" s="95"/>
      <c r="D348" s="95"/>
      <c r="E348" s="93"/>
      <c r="F348" s="93"/>
      <c r="G348" s="94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</row>
    <row r="349" spans="1:32" ht="13">
      <c r="A349" s="95"/>
      <c r="B349" s="95"/>
      <c r="C349" s="95"/>
      <c r="D349" s="95"/>
      <c r="E349" s="93"/>
      <c r="F349" s="93"/>
      <c r="G349" s="94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</row>
    <row r="350" spans="1:32" ht="13">
      <c r="A350" s="95"/>
      <c r="B350" s="95"/>
      <c r="C350" s="95"/>
      <c r="D350" s="95"/>
      <c r="E350" s="93"/>
      <c r="F350" s="93"/>
      <c r="G350" s="94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</row>
    <row r="351" spans="1:32" ht="13">
      <c r="A351" s="95"/>
      <c r="B351" s="95"/>
      <c r="C351" s="95"/>
      <c r="D351" s="95"/>
      <c r="E351" s="93"/>
      <c r="F351" s="93"/>
      <c r="G351" s="94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</row>
    <row r="352" spans="1:32" ht="13">
      <c r="A352" s="95"/>
      <c r="B352" s="95"/>
      <c r="C352" s="95"/>
      <c r="D352" s="95"/>
      <c r="E352" s="93"/>
      <c r="F352" s="93"/>
      <c r="G352" s="94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</row>
    <row r="353" spans="1:32" ht="13">
      <c r="A353" s="95"/>
      <c r="B353" s="95"/>
      <c r="C353" s="95"/>
      <c r="D353" s="95"/>
      <c r="E353" s="93"/>
      <c r="F353" s="93"/>
      <c r="G353" s="94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</row>
    <row r="354" spans="1:32" ht="13">
      <c r="A354" s="95"/>
      <c r="B354" s="95"/>
      <c r="C354" s="95"/>
      <c r="D354" s="95"/>
      <c r="E354" s="93"/>
      <c r="F354" s="93"/>
      <c r="G354" s="94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</row>
    <row r="355" spans="1:32" ht="13">
      <c r="A355" s="95"/>
      <c r="B355" s="95"/>
      <c r="C355" s="95"/>
      <c r="D355" s="95"/>
      <c r="E355" s="93"/>
      <c r="F355" s="93"/>
      <c r="G355" s="94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</row>
    <row r="356" spans="1:32" ht="13">
      <c r="A356" s="95"/>
      <c r="B356" s="95"/>
      <c r="C356" s="95"/>
      <c r="D356" s="95"/>
      <c r="E356" s="93"/>
      <c r="F356" s="93"/>
      <c r="G356" s="94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</row>
    <row r="357" spans="1:32" ht="13">
      <c r="A357" s="95"/>
      <c r="B357" s="95"/>
      <c r="C357" s="95"/>
      <c r="D357" s="95"/>
      <c r="E357" s="93"/>
      <c r="F357" s="93"/>
      <c r="G357" s="94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</row>
    <row r="358" spans="1:32" ht="13">
      <c r="A358" s="95"/>
      <c r="B358" s="95"/>
      <c r="C358" s="95"/>
      <c r="D358" s="95"/>
      <c r="E358" s="93"/>
      <c r="F358" s="93"/>
      <c r="G358" s="94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</row>
    <row r="359" spans="1:32" ht="13">
      <c r="A359" s="95"/>
      <c r="B359" s="95"/>
      <c r="C359" s="95"/>
      <c r="D359" s="95"/>
      <c r="E359" s="93"/>
      <c r="F359" s="93"/>
      <c r="G359" s="94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</row>
    <row r="360" spans="1:32" ht="13">
      <c r="A360" s="95"/>
      <c r="B360" s="95"/>
      <c r="C360" s="95"/>
      <c r="D360" s="95"/>
      <c r="E360" s="93"/>
      <c r="F360" s="93"/>
      <c r="G360" s="94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</row>
    <row r="361" spans="1:32" ht="13">
      <c r="A361" s="95"/>
      <c r="B361" s="95"/>
      <c r="C361" s="95"/>
      <c r="D361" s="95"/>
      <c r="E361" s="93"/>
      <c r="F361" s="93"/>
      <c r="G361" s="94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</row>
    <row r="362" spans="1:32" ht="13">
      <c r="A362" s="95"/>
      <c r="B362" s="95"/>
      <c r="C362" s="95"/>
      <c r="D362" s="95"/>
      <c r="E362" s="93"/>
      <c r="F362" s="93"/>
      <c r="G362" s="94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</row>
    <row r="363" spans="1:32" ht="13">
      <c r="A363" s="95"/>
      <c r="B363" s="95"/>
      <c r="C363" s="95"/>
      <c r="D363" s="95"/>
      <c r="E363" s="93"/>
      <c r="F363" s="93"/>
      <c r="G363" s="94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</row>
    <row r="364" spans="1:32" ht="13">
      <c r="A364" s="95"/>
      <c r="B364" s="95"/>
      <c r="C364" s="95"/>
      <c r="D364" s="95"/>
      <c r="E364" s="93"/>
      <c r="F364" s="93"/>
      <c r="G364" s="94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</row>
    <row r="365" spans="1:32" ht="13">
      <c r="A365" s="95"/>
      <c r="B365" s="95"/>
      <c r="C365" s="95"/>
      <c r="D365" s="95"/>
      <c r="E365" s="93"/>
      <c r="F365" s="93"/>
      <c r="G365" s="94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</row>
    <row r="366" spans="1:32" ht="13">
      <c r="A366" s="95"/>
      <c r="B366" s="95"/>
      <c r="C366" s="95"/>
      <c r="D366" s="95"/>
      <c r="E366" s="93"/>
      <c r="F366" s="93"/>
      <c r="G366" s="94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</row>
    <row r="367" spans="1:32" ht="13">
      <c r="A367" s="95"/>
      <c r="B367" s="95"/>
      <c r="C367" s="95"/>
      <c r="D367" s="95"/>
      <c r="E367" s="93"/>
      <c r="F367" s="93"/>
      <c r="G367" s="94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</row>
    <row r="368" spans="1:32" ht="13">
      <c r="A368" s="95"/>
      <c r="B368" s="95"/>
      <c r="C368" s="95"/>
      <c r="D368" s="95"/>
      <c r="E368" s="93"/>
      <c r="F368" s="93"/>
      <c r="G368" s="94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</row>
    <row r="369" spans="1:32" ht="13">
      <c r="A369" s="95"/>
      <c r="B369" s="95"/>
      <c r="C369" s="95"/>
      <c r="D369" s="95"/>
      <c r="E369" s="93"/>
      <c r="F369" s="93"/>
      <c r="G369" s="94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</row>
    <row r="370" spans="1:32" ht="13">
      <c r="A370" s="95"/>
      <c r="B370" s="95"/>
      <c r="C370" s="95"/>
      <c r="D370" s="95"/>
      <c r="E370" s="93"/>
      <c r="F370" s="93"/>
      <c r="G370" s="94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</row>
    <row r="371" spans="1:32" ht="13">
      <c r="A371" s="95"/>
      <c r="B371" s="95"/>
      <c r="C371" s="95"/>
      <c r="D371" s="95"/>
      <c r="E371" s="93"/>
      <c r="F371" s="93"/>
      <c r="G371" s="94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</row>
    <row r="372" spans="1:32" ht="13">
      <c r="A372" s="95"/>
      <c r="B372" s="95"/>
      <c r="C372" s="95"/>
      <c r="D372" s="95"/>
      <c r="E372" s="93"/>
      <c r="F372" s="93"/>
      <c r="G372" s="94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</row>
    <row r="373" spans="1:32" ht="13">
      <c r="A373" s="95"/>
      <c r="B373" s="95"/>
      <c r="C373" s="95"/>
      <c r="D373" s="95"/>
      <c r="E373" s="93"/>
      <c r="F373" s="93"/>
      <c r="G373" s="94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</row>
    <row r="374" spans="1:32" ht="13">
      <c r="A374" s="95"/>
      <c r="B374" s="95"/>
      <c r="C374" s="95"/>
      <c r="D374" s="95"/>
      <c r="E374" s="93"/>
      <c r="F374" s="93"/>
      <c r="G374" s="94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</row>
    <row r="375" spans="1:32" ht="13">
      <c r="A375" s="95"/>
      <c r="B375" s="95"/>
      <c r="C375" s="95"/>
      <c r="D375" s="95"/>
      <c r="E375" s="93"/>
      <c r="F375" s="93"/>
      <c r="G375" s="94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</row>
    <row r="376" spans="1:32" ht="13">
      <c r="A376" s="95"/>
      <c r="B376" s="95"/>
      <c r="C376" s="95"/>
      <c r="D376" s="95"/>
      <c r="E376" s="93"/>
      <c r="F376" s="93"/>
      <c r="G376" s="94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</row>
    <row r="377" spans="1:32" ht="13">
      <c r="A377" s="95"/>
      <c r="B377" s="95"/>
      <c r="C377" s="95"/>
      <c r="D377" s="95"/>
      <c r="E377" s="93"/>
      <c r="F377" s="93"/>
      <c r="G377" s="94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</row>
    <row r="378" spans="1:32" ht="13">
      <c r="A378" s="95"/>
      <c r="B378" s="95"/>
      <c r="C378" s="95"/>
      <c r="D378" s="95"/>
      <c r="E378" s="93"/>
      <c r="F378" s="93"/>
      <c r="G378" s="94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</row>
    <row r="379" spans="1:32" ht="13">
      <c r="A379" s="95"/>
      <c r="B379" s="95"/>
      <c r="C379" s="95"/>
      <c r="D379" s="95"/>
      <c r="E379" s="93"/>
      <c r="F379" s="93"/>
      <c r="G379" s="94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</row>
    <row r="380" spans="1:32" ht="13">
      <c r="A380" s="95"/>
      <c r="B380" s="95"/>
      <c r="C380" s="95"/>
      <c r="D380" s="95"/>
      <c r="E380" s="93"/>
      <c r="F380" s="93"/>
      <c r="G380" s="94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</row>
    <row r="381" spans="1:32" ht="13">
      <c r="A381" s="95"/>
      <c r="B381" s="95"/>
      <c r="C381" s="95"/>
      <c r="D381" s="95"/>
      <c r="E381" s="93"/>
      <c r="F381" s="93"/>
      <c r="G381" s="94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</row>
    <row r="382" spans="1:32" ht="13">
      <c r="A382" s="95"/>
      <c r="B382" s="95"/>
      <c r="C382" s="95"/>
      <c r="D382" s="95"/>
      <c r="E382" s="93"/>
      <c r="F382" s="93"/>
      <c r="G382" s="94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</row>
    <row r="383" spans="1:32" ht="13">
      <c r="A383" s="95"/>
      <c r="B383" s="95"/>
      <c r="C383" s="95"/>
      <c r="D383" s="95"/>
      <c r="E383" s="93"/>
      <c r="F383" s="93"/>
      <c r="G383" s="94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</row>
    <row r="384" spans="1:32" ht="13">
      <c r="A384" s="95"/>
      <c r="B384" s="95"/>
      <c r="C384" s="95"/>
      <c r="D384" s="95"/>
      <c r="E384" s="93"/>
      <c r="F384" s="93"/>
      <c r="G384" s="94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</row>
    <row r="385" spans="1:32" ht="13">
      <c r="A385" s="95"/>
      <c r="B385" s="95"/>
      <c r="C385" s="95"/>
      <c r="D385" s="95"/>
      <c r="E385" s="93"/>
      <c r="F385" s="93"/>
      <c r="G385" s="94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</row>
    <row r="386" spans="1:32" ht="13">
      <c r="A386" s="95"/>
      <c r="B386" s="95"/>
      <c r="C386" s="95"/>
      <c r="D386" s="95"/>
      <c r="E386" s="93"/>
      <c r="F386" s="93"/>
      <c r="G386" s="94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</row>
    <row r="387" spans="1:32" ht="13">
      <c r="A387" s="95"/>
      <c r="B387" s="95"/>
      <c r="C387" s="95"/>
      <c r="D387" s="95"/>
      <c r="E387" s="93"/>
      <c r="F387" s="93"/>
      <c r="G387" s="94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</row>
    <row r="388" spans="1:32" ht="13">
      <c r="A388" s="95"/>
      <c r="B388" s="95"/>
      <c r="C388" s="95"/>
      <c r="D388" s="95"/>
      <c r="E388" s="93"/>
      <c r="F388" s="93"/>
      <c r="G388" s="94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</row>
    <row r="389" spans="1:32" ht="13">
      <c r="A389" s="95"/>
      <c r="B389" s="95"/>
      <c r="C389" s="95"/>
      <c r="D389" s="95"/>
      <c r="E389" s="93"/>
      <c r="F389" s="93"/>
      <c r="G389" s="94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</row>
    <row r="390" spans="1:32" ht="13">
      <c r="A390" s="95"/>
      <c r="B390" s="95"/>
      <c r="C390" s="95"/>
      <c r="D390" s="95"/>
      <c r="E390" s="93"/>
      <c r="F390" s="93"/>
      <c r="G390" s="94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</row>
    <row r="391" spans="1:32" ht="13">
      <c r="A391" s="95"/>
      <c r="B391" s="95"/>
      <c r="C391" s="95"/>
      <c r="D391" s="95"/>
      <c r="E391" s="93"/>
      <c r="F391" s="93"/>
      <c r="G391" s="94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</row>
    <row r="392" spans="1:32" ht="13">
      <c r="A392" s="95"/>
      <c r="B392" s="95"/>
      <c r="C392" s="95"/>
      <c r="D392" s="95"/>
      <c r="E392" s="93"/>
      <c r="F392" s="93"/>
      <c r="G392" s="94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</row>
    <row r="393" spans="1:32" ht="13">
      <c r="A393" s="95"/>
      <c r="B393" s="95"/>
      <c r="C393" s="95"/>
      <c r="D393" s="95"/>
      <c r="E393" s="93"/>
      <c r="F393" s="93"/>
      <c r="G393" s="94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</row>
    <row r="394" spans="1:32" ht="13">
      <c r="A394" s="95"/>
      <c r="B394" s="95"/>
      <c r="C394" s="95"/>
      <c r="D394" s="95"/>
      <c r="E394" s="93"/>
      <c r="F394" s="93"/>
      <c r="G394" s="94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</row>
    <row r="395" spans="1:32" ht="13">
      <c r="A395" s="95"/>
      <c r="B395" s="95"/>
      <c r="C395" s="95"/>
      <c r="D395" s="95"/>
      <c r="E395" s="93"/>
      <c r="F395" s="93"/>
      <c r="G395" s="94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</row>
    <row r="396" spans="1:32" ht="13">
      <c r="A396" s="95"/>
      <c r="B396" s="95"/>
      <c r="C396" s="95"/>
      <c r="D396" s="95"/>
      <c r="E396" s="93"/>
      <c r="F396" s="93"/>
      <c r="G396" s="94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</row>
    <row r="397" spans="1:32" ht="13">
      <c r="A397" s="95"/>
      <c r="B397" s="95"/>
      <c r="C397" s="95"/>
      <c r="D397" s="95"/>
      <c r="E397" s="93"/>
      <c r="F397" s="93"/>
      <c r="G397" s="94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</row>
    <row r="398" spans="1:32" ht="13">
      <c r="A398" s="95"/>
      <c r="B398" s="95"/>
      <c r="C398" s="95"/>
      <c r="D398" s="95"/>
      <c r="E398" s="93"/>
      <c r="F398" s="93"/>
      <c r="G398" s="94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</row>
    <row r="399" spans="1:32" ht="13">
      <c r="A399" s="95"/>
      <c r="B399" s="95"/>
      <c r="C399" s="95"/>
      <c r="D399" s="95"/>
      <c r="E399" s="93"/>
      <c r="F399" s="93"/>
      <c r="G399" s="94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</row>
    <row r="400" spans="1:32" ht="13">
      <c r="A400" s="95"/>
      <c r="B400" s="95"/>
      <c r="C400" s="95"/>
      <c r="D400" s="95"/>
      <c r="E400" s="93"/>
      <c r="F400" s="93"/>
      <c r="G400" s="94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</row>
    <row r="401" spans="1:32" ht="13">
      <c r="A401" s="95"/>
      <c r="B401" s="95"/>
      <c r="C401" s="95"/>
      <c r="D401" s="95"/>
      <c r="E401" s="93"/>
      <c r="F401" s="93"/>
      <c r="G401" s="94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</row>
    <row r="402" spans="1:32" ht="13">
      <c r="A402" s="95"/>
      <c r="B402" s="95"/>
      <c r="C402" s="95"/>
      <c r="D402" s="95"/>
      <c r="E402" s="93"/>
      <c r="F402" s="93"/>
      <c r="G402" s="94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</row>
    <row r="403" spans="1:32" ht="13">
      <c r="A403" s="95"/>
      <c r="B403" s="95"/>
      <c r="C403" s="95"/>
      <c r="D403" s="95"/>
      <c r="E403" s="93"/>
      <c r="F403" s="93"/>
      <c r="G403" s="94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</row>
    <row r="404" spans="1:32" ht="13">
      <c r="A404" s="95"/>
      <c r="B404" s="95"/>
      <c r="C404" s="95"/>
      <c r="D404" s="95"/>
      <c r="E404" s="93"/>
      <c r="F404" s="93"/>
      <c r="G404" s="94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</row>
    <row r="405" spans="1:32" ht="13">
      <c r="A405" s="95"/>
      <c r="B405" s="95"/>
      <c r="C405" s="95"/>
      <c r="D405" s="95"/>
      <c r="E405" s="93"/>
      <c r="F405" s="93"/>
      <c r="G405" s="94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</row>
    <row r="406" spans="1:32" ht="13">
      <c r="A406" s="95"/>
      <c r="B406" s="95"/>
      <c r="C406" s="95"/>
      <c r="D406" s="95"/>
      <c r="E406" s="93"/>
      <c r="F406" s="93"/>
      <c r="G406" s="94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</row>
    <row r="407" spans="1:32" ht="13">
      <c r="A407" s="95"/>
      <c r="B407" s="95"/>
      <c r="C407" s="95"/>
      <c r="D407" s="95"/>
      <c r="E407" s="93"/>
      <c r="F407" s="93"/>
      <c r="G407" s="94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</row>
    <row r="408" spans="1:32" ht="13">
      <c r="A408" s="95"/>
      <c r="B408" s="95"/>
      <c r="C408" s="95"/>
      <c r="D408" s="95"/>
      <c r="E408" s="93"/>
      <c r="F408" s="93"/>
      <c r="G408" s="94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</row>
    <row r="409" spans="1:32" ht="13">
      <c r="A409" s="95"/>
      <c r="B409" s="95"/>
      <c r="C409" s="95"/>
      <c r="D409" s="95"/>
      <c r="E409" s="93"/>
      <c r="F409" s="93"/>
      <c r="G409" s="94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</row>
    <row r="410" spans="1:32" ht="13">
      <c r="A410" s="95"/>
      <c r="B410" s="95"/>
      <c r="C410" s="95"/>
      <c r="D410" s="95"/>
      <c r="E410" s="93"/>
      <c r="F410" s="93"/>
      <c r="G410" s="94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</row>
    <row r="411" spans="1:32" ht="13">
      <c r="A411" s="95"/>
      <c r="B411" s="95"/>
      <c r="C411" s="95"/>
      <c r="D411" s="95"/>
      <c r="E411" s="93"/>
      <c r="F411" s="93"/>
      <c r="G411" s="94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</row>
    <row r="412" spans="1:32" ht="13">
      <c r="A412" s="95"/>
      <c r="B412" s="95"/>
      <c r="C412" s="95"/>
      <c r="D412" s="95"/>
      <c r="E412" s="93"/>
      <c r="F412" s="93"/>
      <c r="G412" s="94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</row>
    <row r="413" spans="1:32" ht="13">
      <c r="A413" s="95"/>
      <c r="B413" s="95"/>
      <c r="C413" s="95"/>
      <c r="D413" s="95"/>
      <c r="E413" s="93"/>
      <c r="F413" s="93"/>
      <c r="G413" s="94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</row>
    <row r="414" spans="1:32" ht="13">
      <c r="A414" s="95"/>
      <c r="B414" s="95"/>
      <c r="C414" s="95"/>
      <c r="D414" s="95"/>
      <c r="E414" s="93"/>
      <c r="F414" s="93"/>
      <c r="G414" s="94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</row>
    <row r="415" spans="1:32" ht="13">
      <c r="A415" s="95"/>
      <c r="B415" s="95"/>
      <c r="C415" s="95"/>
      <c r="D415" s="95"/>
      <c r="E415" s="93"/>
      <c r="F415" s="93"/>
      <c r="G415" s="94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</row>
    <row r="416" spans="1:32" ht="13">
      <c r="A416" s="95"/>
      <c r="B416" s="95"/>
      <c r="C416" s="95"/>
      <c r="D416" s="95"/>
      <c r="E416" s="93"/>
      <c r="F416" s="93"/>
      <c r="G416" s="94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</row>
    <row r="417" spans="1:32" ht="13">
      <c r="A417" s="95"/>
      <c r="B417" s="95"/>
      <c r="C417" s="95"/>
      <c r="D417" s="95"/>
      <c r="E417" s="93"/>
      <c r="F417" s="93"/>
      <c r="G417" s="94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</row>
    <row r="418" spans="1:32" ht="13">
      <c r="A418" s="95"/>
      <c r="B418" s="95"/>
      <c r="C418" s="95"/>
      <c r="D418" s="95"/>
      <c r="E418" s="93"/>
      <c r="F418" s="93"/>
      <c r="G418" s="94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</row>
    <row r="419" spans="1:32" ht="13">
      <c r="A419" s="95"/>
      <c r="B419" s="95"/>
      <c r="C419" s="95"/>
      <c r="D419" s="95"/>
      <c r="E419" s="93"/>
      <c r="F419" s="93"/>
      <c r="G419" s="94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</row>
    <row r="420" spans="1:32" ht="13">
      <c r="A420" s="95"/>
      <c r="B420" s="95"/>
      <c r="C420" s="95"/>
      <c r="D420" s="95"/>
      <c r="E420" s="93"/>
      <c r="F420" s="93"/>
      <c r="G420" s="94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</row>
    <row r="421" spans="1:32" ht="13">
      <c r="A421" s="95"/>
      <c r="B421" s="95"/>
      <c r="C421" s="95"/>
      <c r="D421" s="95"/>
      <c r="E421" s="93"/>
      <c r="F421" s="93"/>
      <c r="G421" s="94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</row>
    <row r="422" spans="1:32" ht="13">
      <c r="A422" s="95"/>
      <c r="B422" s="95"/>
      <c r="C422" s="95"/>
      <c r="D422" s="95"/>
      <c r="E422" s="93"/>
      <c r="F422" s="93"/>
      <c r="G422" s="94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</row>
    <row r="423" spans="1:32" ht="13">
      <c r="A423" s="95"/>
      <c r="B423" s="95"/>
      <c r="C423" s="95"/>
      <c r="D423" s="95"/>
      <c r="E423" s="93"/>
      <c r="F423" s="93"/>
      <c r="G423" s="94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</row>
    <row r="424" spans="1:32" ht="13">
      <c r="A424" s="95"/>
      <c r="B424" s="95"/>
      <c r="C424" s="95"/>
      <c r="D424" s="95"/>
      <c r="E424" s="93"/>
      <c r="F424" s="93"/>
      <c r="G424" s="94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</row>
    <row r="425" spans="1:32" ht="13">
      <c r="A425" s="95"/>
      <c r="B425" s="95"/>
      <c r="C425" s="95"/>
      <c r="D425" s="95"/>
      <c r="E425" s="93"/>
      <c r="F425" s="93"/>
      <c r="G425" s="94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</row>
    <row r="426" spans="1:32" ht="13">
      <c r="A426" s="95"/>
      <c r="B426" s="95"/>
      <c r="C426" s="95"/>
      <c r="D426" s="95"/>
      <c r="E426" s="93"/>
      <c r="F426" s="93"/>
      <c r="G426" s="94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</row>
    <row r="427" spans="1:32" ht="13">
      <c r="A427" s="95"/>
      <c r="B427" s="95"/>
      <c r="C427" s="95"/>
      <c r="D427" s="95"/>
      <c r="E427" s="93"/>
      <c r="F427" s="93"/>
      <c r="G427" s="94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</row>
    <row r="428" spans="1:32" ht="13">
      <c r="A428" s="95"/>
      <c r="B428" s="95"/>
      <c r="C428" s="95"/>
      <c r="D428" s="95"/>
      <c r="E428" s="93"/>
      <c r="F428" s="93"/>
      <c r="G428" s="94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</row>
    <row r="429" spans="1:32" ht="13">
      <c r="A429" s="95"/>
      <c r="B429" s="95"/>
      <c r="C429" s="95"/>
      <c r="D429" s="95"/>
      <c r="E429" s="93"/>
      <c r="F429" s="93"/>
      <c r="G429" s="94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</row>
    <row r="430" spans="1:32" ht="13">
      <c r="A430" s="95"/>
      <c r="B430" s="95"/>
      <c r="C430" s="95"/>
      <c r="D430" s="95"/>
      <c r="E430" s="93"/>
      <c r="F430" s="93"/>
      <c r="G430" s="94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</row>
    <row r="431" spans="1:32" ht="13">
      <c r="A431" s="95"/>
      <c r="B431" s="95"/>
      <c r="C431" s="95"/>
      <c r="D431" s="95"/>
      <c r="E431" s="93"/>
      <c r="F431" s="93"/>
      <c r="G431" s="94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</row>
    <row r="432" spans="1:32" ht="13">
      <c r="A432" s="95"/>
      <c r="B432" s="95"/>
      <c r="C432" s="95"/>
      <c r="D432" s="95"/>
      <c r="E432" s="93"/>
      <c r="F432" s="93"/>
      <c r="G432" s="94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</row>
    <row r="433" spans="1:32" ht="13">
      <c r="A433" s="95"/>
      <c r="B433" s="95"/>
      <c r="C433" s="95"/>
      <c r="D433" s="95"/>
      <c r="E433" s="93"/>
      <c r="F433" s="93"/>
      <c r="G433" s="94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</row>
    <row r="434" spans="1:32" ht="13">
      <c r="A434" s="95"/>
      <c r="B434" s="95"/>
      <c r="C434" s="95"/>
      <c r="D434" s="95"/>
      <c r="E434" s="93"/>
      <c r="F434" s="93"/>
      <c r="G434" s="94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</row>
    <row r="435" spans="1:32" ht="13">
      <c r="A435" s="95"/>
      <c r="B435" s="95"/>
      <c r="C435" s="95"/>
      <c r="D435" s="95"/>
      <c r="E435" s="93"/>
      <c r="F435" s="93"/>
      <c r="G435" s="94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</row>
    <row r="436" spans="1:32" ht="13">
      <c r="A436" s="95"/>
      <c r="B436" s="95"/>
      <c r="C436" s="95"/>
      <c r="D436" s="95"/>
      <c r="E436" s="93"/>
      <c r="F436" s="93"/>
      <c r="G436" s="94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</row>
    <row r="437" spans="1:32" ht="13">
      <c r="A437" s="95"/>
      <c r="B437" s="95"/>
      <c r="C437" s="95"/>
      <c r="D437" s="95"/>
      <c r="E437" s="93"/>
      <c r="F437" s="93"/>
      <c r="G437" s="94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</row>
    <row r="438" spans="1:32" ht="13">
      <c r="A438" s="95"/>
      <c r="B438" s="95"/>
      <c r="C438" s="95"/>
      <c r="D438" s="95"/>
      <c r="E438" s="93"/>
      <c r="F438" s="93"/>
      <c r="G438" s="94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</row>
    <row r="439" spans="1:32" ht="13">
      <c r="A439" s="95"/>
      <c r="B439" s="95"/>
      <c r="C439" s="95"/>
      <c r="D439" s="95"/>
      <c r="E439" s="93"/>
      <c r="F439" s="93"/>
      <c r="G439" s="94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</row>
    <row r="440" spans="1:32" ht="13">
      <c r="A440" s="95"/>
      <c r="B440" s="95"/>
      <c r="C440" s="95"/>
      <c r="D440" s="95"/>
      <c r="E440" s="93"/>
      <c r="F440" s="93"/>
      <c r="G440" s="94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</row>
    <row r="441" spans="1:32" ht="13">
      <c r="A441" s="95"/>
      <c r="B441" s="95"/>
      <c r="C441" s="95"/>
      <c r="D441" s="95"/>
      <c r="E441" s="93"/>
      <c r="F441" s="93"/>
      <c r="G441" s="94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</row>
    <row r="442" spans="1:32" ht="13">
      <c r="A442" s="95"/>
      <c r="B442" s="95"/>
      <c r="C442" s="95"/>
      <c r="D442" s="95"/>
      <c r="E442" s="93"/>
      <c r="F442" s="93"/>
      <c r="G442" s="94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</row>
    <row r="443" spans="1:32" ht="13">
      <c r="A443" s="95"/>
      <c r="B443" s="95"/>
      <c r="C443" s="95"/>
      <c r="D443" s="95"/>
      <c r="E443" s="93"/>
      <c r="F443" s="93"/>
      <c r="G443" s="94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</row>
    <row r="444" spans="1:32" ht="13">
      <c r="A444" s="95"/>
      <c r="B444" s="95"/>
      <c r="C444" s="95"/>
      <c r="D444" s="95"/>
      <c r="E444" s="93"/>
      <c r="F444" s="93"/>
      <c r="G444" s="94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</row>
    <row r="445" spans="1:32" ht="13">
      <c r="A445" s="95"/>
      <c r="B445" s="95"/>
      <c r="C445" s="95"/>
      <c r="D445" s="95"/>
      <c r="E445" s="93"/>
      <c r="F445" s="93"/>
      <c r="G445" s="94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</row>
    <row r="446" spans="1:32" ht="13">
      <c r="A446" s="95"/>
      <c r="B446" s="95"/>
      <c r="C446" s="95"/>
      <c r="D446" s="95"/>
      <c r="E446" s="93"/>
      <c r="F446" s="93"/>
      <c r="G446" s="94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</row>
    <row r="447" spans="1:32" ht="13">
      <c r="A447" s="95"/>
      <c r="B447" s="95"/>
      <c r="C447" s="95"/>
      <c r="D447" s="95"/>
      <c r="E447" s="93"/>
      <c r="F447" s="93"/>
      <c r="G447" s="94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</row>
    <row r="448" spans="1:32" ht="13">
      <c r="A448" s="95"/>
      <c r="B448" s="95"/>
      <c r="C448" s="95"/>
      <c r="D448" s="95"/>
      <c r="E448" s="93"/>
      <c r="F448" s="93"/>
      <c r="G448" s="94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</row>
    <row r="449" spans="1:32" ht="13">
      <c r="A449" s="95"/>
      <c r="B449" s="95"/>
      <c r="C449" s="95"/>
      <c r="D449" s="95"/>
      <c r="E449" s="93"/>
      <c r="F449" s="93"/>
      <c r="G449" s="94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</row>
    <row r="450" spans="1:32" ht="13">
      <c r="A450" s="95"/>
      <c r="B450" s="95"/>
      <c r="C450" s="95"/>
      <c r="D450" s="95"/>
      <c r="E450" s="93"/>
      <c r="F450" s="93"/>
      <c r="G450" s="94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</row>
    <row r="451" spans="1:32" ht="13">
      <c r="A451" s="95"/>
      <c r="B451" s="95"/>
      <c r="C451" s="95"/>
      <c r="D451" s="95"/>
      <c r="E451" s="93"/>
      <c r="F451" s="93"/>
      <c r="G451" s="94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</row>
    <row r="452" spans="1:32" ht="13">
      <c r="A452" s="95"/>
      <c r="B452" s="95"/>
      <c r="C452" s="95"/>
      <c r="D452" s="95"/>
      <c r="E452" s="93"/>
      <c r="F452" s="93"/>
      <c r="G452" s="94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</row>
    <row r="453" spans="1:32" ht="13">
      <c r="A453" s="95"/>
      <c r="B453" s="95"/>
      <c r="C453" s="95"/>
      <c r="D453" s="95"/>
      <c r="E453" s="93"/>
      <c r="F453" s="93"/>
      <c r="G453" s="94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</row>
    <row r="454" spans="1:32" ht="13">
      <c r="A454" s="95"/>
      <c r="B454" s="95"/>
      <c r="C454" s="95"/>
      <c r="D454" s="95"/>
      <c r="E454" s="93"/>
      <c r="F454" s="93"/>
      <c r="G454" s="94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</row>
    <row r="455" spans="1:32" ht="13">
      <c r="A455" s="95"/>
      <c r="B455" s="95"/>
      <c r="C455" s="95"/>
      <c r="D455" s="95"/>
      <c r="E455" s="93"/>
      <c r="F455" s="93"/>
      <c r="G455" s="94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</row>
    <row r="456" spans="1:32" ht="13">
      <c r="A456" s="95"/>
      <c r="B456" s="95"/>
      <c r="C456" s="95"/>
      <c r="D456" s="95"/>
      <c r="E456" s="93"/>
      <c r="F456" s="93"/>
      <c r="G456" s="94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</row>
    <row r="457" spans="1:32" ht="13">
      <c r="A457" s="95"/>
      <c r="B457" s="95"/>
      <c r="C457" s="95"/>
      <c r="D457" s="95"/>
      <c r="E457" s="93"/>
      <c r="F457" s="93"/>
      <c r="G457" s="94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</row>
    <row r="458" spans="1:32" ht="13">
      <c r="A458" s="95"/>
      <c r="B458" s="95"/>
      <c r="C458" s="95"/>
      <c r="D458" s="95"/>
      <c r="E458" s="93"/>
      <c r="F458" s="93"/>
      <c r="G458" s="94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</row>
    <row r="459" spans="1:32" ht="13">
      <c r="A459" s="95"/>
      <c r="B459" s="95"/>
      <c r="C459" s="95"/>
      <c r="D459" s="95"/>
      <c r="E459" s="93"/>
      <c r="F459" s="93"/>
      <c r="G459" s="94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</row>
    <row r="460" spans="1:32" ht="13">
      <c r="A460" s="95"/>
      <c r="B460" s="95"/>
      <c r="C460" s="95"/>
      <c r="D460" s="95"/>
      <c r="E460" s="93"/>
      <c r="F460" s="93"/>
      <c r="G460" s="94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</row>
    <row r="461" spans="1:32" ht="13">
      <c r="A461" s="95"/>
      <c r="B461" s="95"/>
      <c r="C461" s="95"/>
      <c r="D461" s="95"/>
      <c r="E461" s="93"/>
      <c r="F461" s="93"/>
      <c r="G461" s="94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</row>
    <row r="462" spans="1:32" ht="13">
      <c r="A462" s="95"/>
      <c r="B462" s="95"/>
      <c r="C462" s="95"/>
      <c r="D462" s="95"/>
      <c r="E462" s="93"/>
      <c r="F462" s="93"/>
      <c r="G462" s="94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</row>
    <row r="463" spans="1:32" ht="13">
      <c r="A463" s="95"/>
      <c r="B463" s="95"/>
      <c r="C463" s="95"/>
      <c r="D463" s="95"/>
      <c r="E463" s="93"/>
      <c r="F463" s="93"/>
      <c r="G463" s="94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</row>
    <row r="464" spans="1:32" ht="13">
      <c r="A464" s="95"/>
      <c r="B464" s="95"/>
      <c r="C464" s="95"/>
      <c r="D464" s="95"/>
      <c r="E464" s="93"/>
      <c r="F464" s="93"/>
      <c r="G464" s="94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</row>
    <row r="465" spans="1:32" ht="13">
      <c r="A465" s="95"/>
      <c r="B465" s="95"/>
      <c r="C465" s="95"/>
      <c r="D465" s="95"/>
      <c r="E465" s="93"/>
      <c r="F465" s="93"/>
      <c r="G465" s="94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</row>
    <row r="466" spans="1:32" ht="13">
      <c r="A466" s="95"/>
      <c r="B466" s="95"/>
      <c r="C466" s="95"/>
      <c r="D466" s="95"/>
      <c r="E466" s="93"/>
      <c r="F466" s="93"/>
      <c r="G466" s="94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</row>
    <row r="467" spans="1:32" ht="13">
      <c r="A467" s="95"/>
      <c r="B467" s="95"/>
      <c r="C467" s="95"/>
      <c r="D467" s="95"/>
      <c r="E467" s="93"/>
      <c r="F467" s="93"/>
      <c r="G467" s="94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</row>
    <row r="468" spans="1:32" ht="13">
      <c r="A468" s="95"/>
      <c r="B468" s="95"/>
      <c r="C468" s="95"/>
      <c r="D468" s="95"/>
      <c r="E468" s="93"/>
      <c r="F468" s="93"/>
      <c r="G468" s="94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</row>
    <row r="469" spans="1:32" ht="13">
      <c r="A469" s="95"/>
      <c r="B469" s="95"/>
      <c r="C469" s="95"/>
      <c r="D469" s="95"/>
      <c r="E469" s="93"/>
      <c r="F469" s="93"/>
      <c r="G469" s="94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</row>
    <row r="470" spans="1:32" ht="13">
      <c r="A470" s="95"/>
      <c r="B470" s="95"/>
      <c r="C470" s="95"/>
      <c r="D470" s="95"/>
      <c r="E470" s="93"/>
      <c r="F470" s="93"/>
      <c r="G470" s="94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</row>
    <row r="471" spans="1:32" ht="13">
      <c r="A471" s="95"/>
      <c r="B471" s="95"/>
      <c r="C471" s="95"/>
      <c r="D471" s="95"/>
      <c r="E471" s="93"/>
      <c r="F471" s="93"/>
      <c r="G471" s="94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</row>
    <row r="472" spans="1:32" ht="13">
      <c r="A472" s="95"/>
      <c r="B472" s="95"/>
      <c r="C472" s="95"/>
      <c r="D472" s="95"/>
      <c r="E472" s="93"/>
      <c r="F472" s="93"/>
      <c r="G472" s="94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</row>
    <row r="473" spans="1:32" ht="13">
      <c r="A473" s="95"/>
      <c r="B473" s="95"/>
      <c r="C473" s="95"/>
      <c r="D473" s="95"/>
      <c r="E473" s="93"/>
      <c r="F473" s="93"/>
      <c r="G473" s="94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</row>
    <row r="474" spans="1:32" ht="13">
      <c r="A474" s="95"/>
      <c r="B474" s="95"/>
      <c r="C474" s="95"/>
      <c r="D474" s="95"/>
      <c r="E474" s="93"/>
      <c r="F474" s="93"/>
      <c r="G474" s="94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</row>
    <row r="475" spans="1:32" ht="13">
      <c r="A475" s="95"/>
      <c r="B475" s="95"/>
      <c r="C475" s="95"/>
      <c r="D475" s="95"/>
      <c r="E475" s="93"/>
      <c r="F475" s="93"/>
      <c r="G475" s="94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</row>
    <row r="476" spans="1:32" ht="13">
      <c r="A476" s="95"/>
      <c r="B476" s="95"/>
      <c r="C476" s="95"/>
      <c r="D476" s="95"/>
      <c r="E476" s="93"/>
      <c r="F476" s="93"/>
      <c r="G476" s="94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</row>
    <row r="477" spans="1:32" ht="13">
      <c r="A477" s="95"/>
      <c r="B477" s="95"/>
      <c r="C477" s="95"/>
      <c r="D477" s="95"/>
      <c r="E477" s="93"/>
      <c r="F477" s="93"/>
      <c r="G477" s="94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</row>
    <row r="478" spans="1:32" ht="13">
      <c r="A478" s="95"/>
      <c r="B478" s="95"/>
      <c r="C478" s="95"/>
      <c r="D478" s="95"/>
      <c r="E478" s="93"/>
      <c r="F478" s="93"/>
      <c r="G478" s="94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</row>
    <row r="479" spans="1:32" ht="13">
      <c r="A479" s="95"/>
      <c r="B479" s="95"/>
      <c r="C479" s="95"/>
      <c r="D479" s="95"/>
      <c r="E479" s="93"/>
      <c r="F479" s="93"/>
      <c r="G479" s="94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</row>
    <row r="480" spans="1:32" ht="13">
      <c r="A480" s="95"/>
      <c r="B480" s="95"/>
      <c r="C480" s="95"/>
      <c r="D480" s="95"/>
      <c r="E480" s="93"/>
      <c r="F480" s="93"/>
      <c r="G480" s="94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</row>
    <row r="481" spans="1:32" ht="13">
      <c r="A481" s="95"/>
      <c r="B481" s="95"/>
      <c r="C481" s="95"/>
      <c r="D481" s="95"/>
      <c r="E481" s="93"/>
      <c r="F481" s="93"/>
      <c r="G481" s="94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</row>
    <row r="482" spans="1:32" ht="13">
      <c r="A482" s="95"/>
      <c r="B482" s="95"/>
      <c r="C482" s="95"/>
      <c r="D482" s="95"/>
      <c r="E482" s="93"/>
      <c r="F482" s="93"/>
      <c r="G482" s="94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</row>
    <row r="483" spans="1:32" ht="13">
      <c r="A483" s="95"/>
      <c r="B483" s="95"/>
      <c r="C483" s="95"/>
      <c r="D483" s="95"/>
      <c r="E483" s="93"/>
      <c r="F483" s="93"/>
      <c r="G483" s="94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</row>
    <row r="484" spans="1:32" ht="13">
      <c r="A484" s="95"/>
      <c r="B484" s="95"/>
      <c r="C484" s="95"/>
      <c r="D484" s="95"/>
      <c r="E484" s="93"/>
      <c r="F484" s="93"/>
      <c r="G484" s="94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</row>
    <row r="485" spans="1:32" ht="13">
      <c r="A485" s="95"/>
      <c r="B485" s="95"/>
      <c r="C485" s="95"/>
      <c r="D485" s="95"/>
      <c r="E485" s="93"/>
      <c r="F485" s="93"/>
      <c r="G485" s="94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</row>
    <row r="486" spans="1:32" ht="13">
      <c r="A486" s="95"/>
      <c r="B486" s="95"/>
      <c r="C486" s="95"/>
      <c r="D486" s="95"/>
      <c r="E486" s="93"/>
      <c r="F486" s="93"/>
      <c r="G486" s="94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</row>
    <row r="487" spans="1:32" ht="13">
      <c r="A487" s="95"/>
      <c r="B487" s="95"/>
      <c r="C487" s="95"/>
      <c r="D487" s="95"/>
      <c r="E487" s="93"/>
      <c r="F487" s="93"/>
      <c r="G487" s="94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</row>
    <row r="488" spans="1:32" ht="13">
      <c r="A488" s="95"/>
      <c r="B488" s="95"/>
      <c r="C488" s="95"/>
      <c r="D488" s="95"/>
      <c r="E488" s="93"/>
      <c r="F488" s="93"/>
      <c r="G488" s="94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</row>
    <row r="489" spans="1:32" ht="13">
      <c r="A489" s="95"/>
      <c r="B489" s="95"/>
      <c r="C489" s="95"/>
      <c r="D489" s="95"/>
      <c r="E489" s="93"/>
      <c r="F489" s="93"/>
      <c r="G489" s="94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</row>
    <row r="490" spans="1:32" ht="13">
      <c r="A490" s="95"/>
      <c r="B490" s="95"/>
      <c r="C490" s="95"/>
      <c r="D490" s="95"/>
      <c r="E490" s="93"/>
      <c r="F490" s="93"/>
      <c r="G490" s="94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</row>
    <row r="491" spans="1:32" ht="13">
      <c r="A491" s="95"/>
      <c r="B491" s="95"/>
      <c r="C491" s="95"/>
      <c r="D491" s="95"/>
      <c r="E491" s="93"/>
      <c r="F491" s="93"/>
      <c r="G491" s="94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</row>
    <row r="492" spans="1:32" ht="13">
      <c r="A492" s="95"/>
      <c r="B492" s="95"/>
      <c r="C492" s="95"/>
      <c r="D492" s="95"/>
      <c r="E492" s="93"/>
      <c r="F492" s="93"/>
      <c r="G492" s="94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</row>
    <row r="493" spans="1:32" ht="13">
      <c r="A493" s="95"/>
      <c r="B493" s="95"/>
      <c r="C493" s="95"/>
      <c r="D493" s="95"/>
      <c r="E493" s="93"/>
      <c r="F493" s="93"/>
      <c r="G493" s="94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</row>
    <row r="494" spans="1:32" ht="13">
      <c r="A494" s="95"/>
      <c r="B494" s="95"/>
      <c r="C494" s="95"/>
      <c r="D494" s="95"/>
      <c r="E494" s="93"/>
      <c r="F494" s="93"/>
      <c r="G494" s="94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</row>
    <row r="495" spans="1:32" ht="13">
      <c r="A495" s="95"/>
      <c r="B495" s="95"/>
      <c r="C495" s="95"/>
      <c r="D495" s="95"/>
      <c r="E495" s="93"/>
      <c r="F495" s="93"/>
      <c r="G495" s="94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</row>
    <row r="496" spans="1:32" ht="13">
      <c r="A496" s="95"/>
      <c r="B496" s="95"/>
      <c r="C496" s="95"/>
      <c r="D496" s="95"/>
      <c r="E496" s="93"/>
      <c r="F496" s="93"/>
      <c r="G496" s="94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</row>
    <row r="497" spans="1:32" ht="13">
      <c r="A497" s="95"/>
      <c r="B497" s="95"/>
      <c r="C497" s="95"/>
      <c r="D497" s="95"/>
      <c r="E497" s="93"/>
      <c r="F497" s="93"/>
      <c r="G497" s="94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</row>
    <row r="498" spans="1:32" ht="13">
      <c r="A498" s="95"/>
      <c r="B498" s="95"/>
      <c r="C498" s="95"/>
      <c r="D498" s="95"/>
      <c r="E498" s="93"/>
      <c r="F498" s="93"/>
      <c r="G498" s="94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</row>
    <row r="499" spans="1:32" ht="13">
      <c r="A499" s="95"/>
      <c r="B499" s="95"/>
      <c r="C499" s="95"/>
      <c r="D499" s="95"/>
      <c r="E499" s="93"/>
      <c r="F499" s="93"/>
      <c r="G499" s="94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</row>
    <row r="500" spans="1:32" ht="13">
      <c r="A500" s="95"/>
      <c r="B500" s="95"/>
      <c r="C500" s="95"/>
      <c r="D500" s="95"/>
      <c r="E500" s="93"/>
      <c r="F500" s="93"/>
      <c r="G500" s="94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</row>
    <row r="501" spans="1:32" ht="13">
      <c r="A501" s="95"/>
      <c r="B501" s="95"/>
      <c r="C501" s="95"/>
      <c r="D501" s="95"/>
      <c r="E501" s="93"/>
      <c r="F501" s="93"/>
      <c r="G501" s="94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</row>
    <row r="502" spans="1:32" ht="13">
      <c r="A502" s="95"/>
      <c r="B502" s="95"/>
      <c r="C502" s="95"/>
      <c r="D502" s="95"/>
      <c r="E502" s="93"/>
      <c r="F502" s="93"/>
      <c r="G502" s="94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</row>
    <row r="503" spans="1:32" ht="13">
      <c r="A503" s="95"/>
      <c r="B503" s="95"/>
      <c r="C503" s="95"/>
      <c r="D503" s="95"/>
      <c r="E503" s="93"/>
      <c r="F503" s="93"/>
      <c r="G503" s="94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</row>
    <row r="504" spans="1:32" ht="13">
      <c r="A504" s="95"/>
      <c r="B504" s="95"/>
      <c r="C504" s="95"/>
      <c r="D504" s="95"/>
      <c r="E504" s="93"/>
      <c r="F504" s="93"/>
      <c r="G504" s="94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</row>
    <row r="505" spans="1:32" ht="13">
      <c r="A505" s="95"/>
      <c r="B505" s="95"/>
      <c r="C505" s="95"/>
      <c r="D505" s="95"/>
      <c r="E505" s="93"/>
      <c r="F505" s="93"/>
      <c r="G505" s="94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</row>
    <row r="506" spans="1:32" ht="13">
      <c r="A506" s="95"/>
      <c r="B506" s="95"/>
      <c r="C506" s="95"/>
      <c r="D506" s="95"/>
      <c r="E506" s="93"/>
      <c r="F506" s="93"/>
      <c r="G506" s="94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</row>
    <row r="507" spans="1:32" ht="13">
      <c r="A507" s="95"/>
      <c r="B507" s="95"/>
      <c r="C507" s="95"/>
      <c r="D507" s="95"/>
      <c r="E507" s="93"/>
      <c r="F507" s="93"/>
      <c r="G507" s="94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</row>
    <row r="508" spans="1:32" ht="13">
      <c r="A508" s="95"/>
      <c r="B508" s="95"/>
      <c r="C508" s="95"/>
      <c r="D508" s="95"/>
      <c r="E508" s="93"/>
      <c r="F508" s="93"/>
      <c r="G508" s="94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</row>
    <row r="509" spans="1:32" ht="13">
      <c r="A509" s="95"/>
      <c r="B509" s="95"/>
      <c r="C509" s="95"/>
      <c r="D509" s="95"/>
      <c r="E509" s="93"/>
      <c r="F509" s="93"/>
      <c r="G509" s="94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</row>
    <row r="510" spans="1:32" ht="13">
      <c r="A510" s="95"/>
      <c r="B510" s="95"/>
      <c r="C510" s="95"/>
      <c r="D510" s="95"/>
      <c r="E510" s="93"/>
      <c r="F510" s="93"/>
      <c r="G510" s="94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</row>
    <row r="511" spans="1:32" ht="13">
      <c r="A511" s="95"/>
      <c r="B511" s="95"/>
      <c r="C511" s="95"/>
      <c r="D511" s="95"/>
      <c r="E511" s="93"/>
      <c r="F511" s="93"/>
      <c r="G511" s="94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</row>
    <row r="512" spans="1:32" ht="13">
      <c r="A512" s="95"/>
      <c r="B512" s="95"/>
      <c r="C512" s="95"/>
      <c r="D512" s="95"/>
      <c r="E512" s="93"/>
      <c r="F512" s="93"/>
      <c r="G512" s="94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</row>
    <row r="513" spans="1:32" ht="13">
      <c r="A513" s="95"/>
      <c r="B513" s="95"/>
      <c r="C513" s="95"/>
      <c r="D513" s="95"/>
      <c r="E513" s="93"/>
      <c r="F513" s="93"/>
      <c r="G513" s="94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</row>
    <row r="514" spans="1:32" ht="13">
      <c r="A514" s="95"/>
      <c r="B514" s="95"/>
      <c r="C514" s="95"/>
      <c r="D514" s="95"/>
      <c r="E514" s="93"/>
      <c r="F514" s="93"/>
      <c r="G514" s="94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</row>
    <row r="515" spans="1:32" ht="13">
      <c r="A515" s="95"/>
      <c r="B515" s="95"/>
      <c r="C515" s="95"/>
      <c r="D515" s="95"/>
      <c r="E515" s="93"/>
      <c r="F515" s="93"/>
      <c r="G515" s="94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</row>
    <row r="516" spans="1:32" ht="13">
      <c r="A516" s="95"/>
      <c r="B516" s="95"/>
      <c r="C516" s="95"/>
      <c r="D516" s="95"/>
      <c r="E516" s="93"/>
      <c r="F516" s="93"/>
      <c r="G516" s="94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</row>
    <row r="517" spans="1:32" ht="13">
      <c r="A517" s="95"/>
      <c r="B517" s="95"/>
      <c r="C517" s="95"/>
      <c r="D517" s="95"/>
      <c r="E517" s="93"/>
      <c r="F517" s="93"/>
      <c r="G517" s="94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</row>
    <row r="518" spans="1:32" ht="13">
      <c r="A518" s="95"/>
      <c r="B518" s="95"/>
      <c r="C518" s="95"/>
      <c r="D518" s="95"/>
      <c r="E518" s="93"/>
      <c r="F518" s="93"/>
      <c r="G518" s="94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</row>
    <row r="519" spans="1:32" ht="13">
      <c r="A519" s="95"/>
      <c r="B519" s="95"/>
      <c r="C519" s="95"/>
      <c r="D519" s="95"/>
      <c r="E519" s="93"/>
      <c r="F519" s="93"/>
      <c r="G519" s="94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</row>
    <row r="520" spans="1:32" ht="13">
      <c r="A520" s="95"/>
      <c r="B520" s="95"/>
      <c r="C520" s="95"/>
      <c r="D520" s="95"/>
      <c r="E520" s="93"/>
      <c r="F520" s="93"/>
      <c r="G520" s="94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</row>
    <row r="521" spans="1:32" ht="13">
      <c r="A521" s="95"/>
      <c r="B521" s="95"/>
      <c r="C521" s="95"/>
      <c r="D521" s="95"/>
      <c r="E521" s="93"/>
      <c r="F521" s="93"/>
      <c r="G521" s="94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</row>
    <row r="522" spans="1:32" ht="13">
      <c r="A522" s="95"/>
      <c r="B522" s="95"/>
      <c r="C522" s="95"/>
      <c r="D522" s="95"/>
      <c r="E522" s="93"/>
      <c r="F522" s="93"/>
      <c r="G522" s="94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</row>
    <row r="523" spans="1:32" ht="13">
      <c r="A523" s="95"/>
      <c r="B523" s="95"/>
      <c r="C523" s="95"/>
      <c r="D523" s="95"/>
      <c r="E523" s="93"/>
      <c r="F523" s="93"/>
      <c r="G523" s="94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</row>
    <row r="524" spans="1:32" ht="13">
      <c r="A524" s="95"/>
      <c r="B524" s="95"/>
      <c r="C524" s="95"/>
      <c r="D524" s="95"/>
      <c r="E524" s="93"/>
      <c r="F524" s="93"/>
      <c r="G524" s="94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</row>
    <row r="525" spans="1:32" ht="13">
      <c r="A525" s="95"/>
      <c r="B525" s="95"/>
      <c r="C525" s="95"/>
      <c r="D525" s="95"/>
      <c r="E525" s="93"/>
      <c r="F525" s="93"/>
      <c r="G525" s="94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</row>
    <row r="526" spans="1:32" ht="13">
      <c r="A526" s="95"/>
      <c r="B526" s="95"/>
      <c r="C526" s="95"/>
      <c r="D526" s="95"/>
      <c r="E526" s="93"/>
      <c r="F526" s="93"/>
      <c r="G526" s="94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</row>
    <row r="527" spans="1:32" ht="13">
      <c r="A527" s="95"/>
      <c r="B527" s="95"/>
      <c r="C527" s="95"/>
      <c r="D527" s="95"/>
      <c r="E527" s="93"/>
      <c r="F527" s="93"/>
      <c r="G527" s="94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</row>
    <row r="528" spans="1:32" ht="13">
      <c r="A528" s="95"/>
      <c r="B528" s="95"/>
      <c r="C528" s="95"/>
      <c r="D528" s="95"/>
      <c r="E528" s="93"/>
      <c r="F528" s="93"/>
      <c r="G528" s="94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</row>
    <row r="529" spans="1:32" ht="13">
      <c r="A529" s="95"/>
      <c r="B529" s="95"/>
      <c r="C529" s="95"/>
      <c r="D529" s="95"/>
      <c r="E529" s="93"/>
      <c r="F529" s="93"/>
      <c r="G529" s="94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</row>
    <row r="530" spans="1:32" ht="13">
      <c r="A530" s="95"/>
      <c r="B530" s="95"/>
      <c r="C530" s="95"/>
      <c r="D530" s="95"/>
      <c r="E530" s="93"/>
      <c r="F530" s="93"/>
      <c r="G530" s="94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</row>
    <row r="531" spans="1:32" ht="13">
      <c r="A531" s="95"/>
      <c r="B531" s="95"/>
      <c r="C531" s="95"/>
      <c r="D531" s="95"/>
      <c r="E531" s="93"/>
      <c r="F531" s="93"/>
      <c r="G531" s="94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</row>
    <row r="532" spans="1:32" ht="13">
      <c r="A532" s="95"/>
      <c r="B532" s="95"/>
      <c r="C532" s="95"/>
      <c r="D532" s="95"/>
      <c r="E532" s="93"/>
      <c r="F532" s="93"/>
      <c r="G532" s="94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</row>
    <row r="533" spans="1:32" ht="13">
      <c r="A533" s="95"/>
      <c r="B533" s="95"/>
      <c r="C533" s="95"/>
      <c r="D533" s="95"/>
      <c r="E533" s="93"/>
      <c r="F533" s="93"/>
      <c r="G533" s="94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</row>
    <row r="534" spans="1:32" ht="13">
      <c r="A534" s="95"/>
      <c r="B534" s="95"/>
      <c r="C534" s="95"/>
      <c r="D534" s="95"/>
      <c r="E534" s="93"/>
      <c r="F534" s="93"/>
      <c r="G534" s="94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</row>
    <row r="535" spans="1:32" ht="13">
      <c r="A535" s="95"/>
      <c r="B535" s="95"/>
      <c r="C535" s="95"/>
      <c r="D535" s="95"/>
      <c r="E535" s="93"/>
      <c r="F535" s="93"/>
      <c r="G535" s="94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</row>
    <row r="536" spans="1:32" ht="13">
      <c r="A536" s="95"/>
      <c r="B536" s="95"/>
      <c r="C536" s="95"/>
      <c r="D536" s="95"/>
      <c r="E536" s="93"/>
      <c r="F536" s="93"/>
      <c r="G536" s="94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</row>
    <row r="537" spans="1:32" ht="13">
      <c r="A537" s="95"/>
      <c r="B537" s="95"/>
      <c r="C537" s="95"/>
      <c r="D537" s="95"/>
      <c r="E537" s="93"/>
      <c r="F537" s="93"/>
      <c r="G537" s="94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</row>
    <row r="538" spans="1:32" ht="13">
      <c r="A538" s="95"/>
      <c r="B538" s="95"/>
      <c r="C538" s="95"/>
      <c r="D538" s="95"/>
      <c r="E538" s="93"/>
      <c r="F538" s="93"/>
      <c r="G538" s="94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</row>
    <row r="539" spans="1:32" ht="13">
      <c r="A539" s="95"/>
      <c r="B539" s="95"/>
      <c r="C539" s="95"/>
      <c r="D539" s="95"/>
      <c r="E539" s="93"/>
      <c r="F539" s="93"/>
      <c r="G539" s="94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</row>
    <row r="540" spans="1:32" ht="13">
      <c r="A540" s="95"/>
      <c r="B540" s="95"/>
      <c r="C540" s="95"/>
      <c r="D540" s="95"/>
      <c r="E540" s="93"/>
      <c r="F540" s="93"/>
      <c r="G540" s="94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</row>
    <row r="541" spans="1:32" ht="13">
      <c r="A541" s="95"/>
      <c r="B541" s="95"/>
      <c r="C541" s="95"/>
      <c r="D541" s="95"/>
      <c r="E541" s="93"/>
      <c r="F541" s="93"/>
      <c r="G541" s="94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</row>
    <row r="542" spans="1:32" ht="13">
      <c r="A542" s="95"/>
      <c r="B542" s="95"/>
      <c r="C542" s="95"/>
      <c r="D542" s="95"/>
      <c r="E542" s="93"/>
      <c r="F542" s="93"/>
      <c r="G542" s="94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</row>
    <row r="543" spans="1:32" ht="13">
      <c r="A543" s="95"/>
      <c r="B543" s="95"/>
      <c r="C543" s="95"/>
      <c r="D543" s="95"/>
      <c r="E543" s="93"/>
      <c r="F543" s="93"/>
      <c r="G543" s="94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</row>
    <row r="544" spans="1:32" ht="13">
      <c r="A544" s="95"/>
      <c r="B544" s="95"/>
      <c r="C544" s="95"/>
      <c r="D544" s="95"/>
      <c r="E544" s="93"/>
      <c r="F544" s="93"/>
      <c r="G544" s="94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</row>
    <row r="545" spans="1:32" ht="13">
      <c r="A545" s="95"/>
      <c r="B545" s="95"/>
      <c r="C545" s="95"/>
      <c r="D545" s="95"/>
      <c r="E545" s="93"/>
      <c r="F545" s="93"/>
      <c r="G545" s="94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</row>
    <row r="546" spans="1:32" ht="13">
      <c r="A546" s="95"/>
      <c r="B546" s="95"/>
      <c r="C546" s="95"/>
      <c r="D546" s="95"/>
      <c r="E546" s="93"/>
      <c r="F546" s="93"/>
      <c r="G546" s="94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</row>
    <row r="547" spans="1:32" ht="13">
      <c r="A547" s="95"/>
      <c r="B547" s="95"/>
      <c r="C547" s="95"/>
      <c r="D547" s="95"/>
      <c r="E547" s="93"/>
      <c r="F547" s="93"/>
      <c r="G547" s="94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</row>
    <row r="548" spans="1:32" ht="13">
      <c r="A548" s="95"/>
      <c r="B548" s="95"/>
      <c r="C548" s="95"/>
      <c r="D548" s="95"/>
      <c r="E548" s="93"/>
      <c r="F548" s="93"/>
      <c r="G548" s="94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</row>
    <row r="549" spans="1:32" ht="13">
      <c r="A549" s="95"/>
      <c r="B549" s="95"/>
      <c r="C549" s="95"/>
      <c r="D549" s="95"/>
      <c r="E549" s="93"/>
      <c r="F549" s="93"/>
      <c r="G549" s="94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</row>
    <row r="550" spans="1:32" ht="13">
      <c r="A550" s="95"/>
      <c r="B550" s="95"/>
      <c r="C550" s="95"/>
      <c r="D550" s="95"/>
      <c r="E550" s="93"/>
      <c r="F550" s="93"/>
      <c r="G550" s="94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</row>
    <row r="551" spans="1:32" ht="13">
      <c r="A551" s="95"/>
      <c r="B551" s="95"/>
      <c r="C551" s="95"/>
      <c r="D551" s="95"/>
      <c r="E551" s="93"/>
      <c r="F551" s="93"/>
      <c r="G551" s="94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</row>
    <row r="552" spans="1:32" ht="13">
      <c r="A552" s="95"/>
      <c r="B552" s="95"/>
      <c r="C552" s="95"/>
      <c r="D552" s="95"/>
      <c r="E552" s="93"/>
      <c r="F552" s="93"/>
      <c r="G552" s="94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</row>
    <row r="553" spans="1:32" ht="13">
      <c r="A553" s="95"/>
      <c r="B553" s="95"/>
      <c r="C553" s="95"/>
      <c r="D553" s="95"/>
      <c r="E553" s="93"/>
      <c r="F553" s="93"/>
      <c r="G553" s="94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</row>
    <row r="554" spans="1:32" ht="13">
      <c r="A554" s="95"/>
      <c r="B554" s="95"/>
      <c r="C554" s="95"/>
      <c r="D554" s="95"/>
      <c r="E554" s="93"/>
      <c r="F554" s="93"/>
      <c r="G554" s="94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</row>
    <row r="555" spans="1:32" ht="13">
      <c r="A555" s="95"/>
      <c r="B555" s="95"/>
      <c r="C555" s="95"/>
      <c r="D555" s="95"/>
      <c r="E555" s="93"/>
      <c r="F555" s="93"/>
      <c r="G555" s="94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</row>
    <row r="556" spans="1:32" ht="13">
      <c r="A556" s="95"/>
      <c r="B556" s="95"/>
      <c r="C556" s="95"/>
      <c r="D556" s="95"/>
      <c r="E556" s="93"/>
      <c r="F556" s="93"/>
      <c r="G556" s="94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</row>
    <row r="557" spans="1:32" ht="13">
      <c r="A557" s="95"/>
      <c r="B557" s="95"/>
      <c r="C557" s="95"/>
      <c r="D557" s="95"/>
      <c r="E557" s="93"/>
      <c r="F557" s="93"/>
      <c r="G557" s="94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</row>
    <row r="558" spans="1:32" ht="13">
      <c r="A558" s="95"/>
      <c r="B558" s="95"/>
      <c r="C558" s="95"/>
      <c r="D558" s="95"/>
      <c r="E558" s="93"/>
      <c r="F558" s="93"/>
      <c r="G558" s="94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</row>
    <row r="559" spans="1:32" ht="13">
      <c r="A559" s="95"/>
      <c r="B559" s="95"/>
      <c r="C559" s="95"/>
      <c r="D559" s="95"/>
      <c r="E559" s="93"/>
      <c r="F559" s="93"/>
      <c r="G559" s="94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</row>
    <row r="560" spans="1:32" ht="13">
      <c r="A560" s="95"/>
      <c r="B560" s="95"/>
      <c r="C560" s="95"/>
      <c r="D560" s="95"/>
      <c r="E560" s="93"/>
      <c r="F560" s="93"/>
      <c r="G560" s="94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</row>
    <row r="561" spans="1:32" ht="13">
      <c r="A561" s="95"/>
      <c r="B561" s="95"/>
      <c r="C561" s="95"/>
      <c r="D561" s="95"/>
      <c r="E561" s="93"/>
      <c r="F561" s="93"/>
      <c r="G561" s="94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</row>
    <row r="562" spans="1:32" ht="13">
      <c r="A562" s="95"/>
      <c r="B562" s="95"/>
      <c r="C562" s="95"/>
      <c r="D562" s="95"/>
      <c r="E562" s="93"/>
      <c r="F562" s="93"/>
      <c r="G562" s="94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</row>
    <row r="563" spans="1:32" ht="13">
      <c r="A563" s="95"/>
      <c r="B563" s="95"/>
      <c r="C563" s="95"/>
      <c r="D563" s="95"/>
      <c r="E563" s="93"/>
      <c r="F563" s="93"/>
      <c r="G563" s="94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</row>
    <row r="564" spans="1:32" ht="13">
      <c r="A564" s="95"/>
      <c r="B564" s="95"/>
      <c r="C564" s="95"/>
      <c r="D564" s="95"/>
      <c r="E564" s="93"/>
      <c r="F564" s="93"/>
      <c r="G564" s="94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</row>
    <row r="565" spans="1:32" ht="13">
      <c r="A565" s="95"/>
      <c r="B565" s="95"/>
      <c r="C565" s="95"/>
      <c r="D565" s="95"/>
      <c r="E565" s="93"/>
      <c r="F565" s="93"/>
      <c r="G565" s="94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</row>
    <row r="566" spans="1:32" ht="13">
      <c r="A566" s="95"/>
      <c r="B566" s="95"/>
      <c r="C566" s="95"/>
      <c r="D566" s="95"/>
      <c r="E566" s="93"/>
      <c r="F566" s="93"/>
      <c r="G566" s="94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</row>
    <row r="567" spans="1:32" ht="13">
      <c r="A567" s="95"/>
      <c r="B567" s="95"/>
      <c r="C567" s="95"/>
      <c r="D567" s="95"/>
      <c r="E567" s="93"/>
      <c r="F567" s="93"/>
      <c r="G567" s="94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</row>
    <row r="568" spans="1:32" ht="13">
      <c r="A568" s="95"/>
      <c r="B568" s="95"/>
      <c r="C568" s="95"/>
      <c r="D568" s="95"/>
      <c r="E568" s="93"/>
      <c r="F568" s="93"/>
      <c r="G568" s="94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</row>
    <row r="569" spans="1:32" ht="13">
      <c r="A569" s="95"/>
      <c r="B569" s="95"/>
      <c r="C569" s="95"/>
      <c r="D569" s="95"/>
      <c r="E569" s="93"/>
      <c r="F569" s="93"/>
      <c r="G569" s="94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</row>
    <row r="570" spans="1:32" ht="13">
      <c r="A570" s="95"/>
      <c r="B570" s="95"/>
      <c r="C570" s="95"/>
      <c r="D570" s="95"/>
      <c r="E570" s="93"/>
      <c r="F570" s="93"/>
      <c r="G570" s="94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</row>
    <row r="571" spans="1:32" ht="13">
      <c r="A571" s="95"/>
      <c r="B571" s="95"/>
      <c r="C571" s="95"/>
      <c r="D571" s="95"/>
      <c r="E571" s="93"/>
      <c r="F571" s="93"/>
      <c r="G571" s="94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</row>
    <row r="572" spans="1:32" ht="13">
      <c r="A572" s="95"/>
      <c r="B572" s="95"/>
      <c r="C572" s="95"/>
      <c r="D572" s="95"/>
      <c r="E572" s="93"/>
      <c r="F572" s="93"/>
      <c r="G572" s="94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</row>
    <row r="573" spans="1:32" ht="13">
      <c r="A573" s="95"/>
      <c r="B573" s="95"/>
      <c r="C573" s="95"/>
      <c r="D573" s="95"/>
      <c r="E573" s="93"/>
      <c r="F573" s="93"/>
      <c r="G573" s="94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</row>
    <row r="574" spans="1:32" ht="13">
      <c r="A574" s="95"/>
      <c r="B574" s="95"/>
      <c r="C574" s="95"/>
      <c r="D574" s="95"/>
      <c r="E574" s="93"/>
      <c r="F574" s="93"/>
      <c r="G574" s="94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</row>
    <row r="575" spans="1:32" ht="13">
      <c r="A575" s="95"/>
      <c r="B575" s="95"/>
      <c r="C575" s="95"/>
      <c r="D575" s="95"/>
      <c r="E575" s="93"/>
      <c r="F575" s="93"/>
      <c r="G575" s="94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</row>
    <row r="576" spans="1:32" ht="13">
      <c r="A576" s="95"/>
      <c r="B576" s="95"/>
      <c r="C576" s="95"/>
      <c r="D576" s="95"/>
      <c r="E576" s="93"/>
      <c r="F576" s="93"/>
      <c r="G576" s="94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</row>
    <row r="577" spans="1:32" ht="13">
      <c r="A577" s="95"/>
      <c r="B577" s="95"/>
      <c r="C577" s="95"/>
      <c r="D577" s="95"/>
      <c r="E577" s="93"/>
      <c r="F577" s="93"/>
      <c r="G577" s="94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</row>
    <row r="578" spans="1:32" ht="13">
      <c r="A578" s="95"/>
      <c r="B578" s="95"/>
      <c r="C578" s="95"/>
      <c r="D578" s="95"/>
      <c r="E578" s="93"/>
      <c r="F578" s="93"/>
      <c r="G578" s="94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</row>
    <row r="579" spans="1:32" ht="13">
      <c r="A579" s="95"/>
      <c r="B579" s="95"/>
      <c r="C579" s="95"/>
      <c r="D579" s="95"/>
      <c r="E579" s="93"/>
      <c r="F579" s="93"/>
      <c r="G579" s="94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</row>
    <row r="580" spans="1:32" ht="13">
      <c r="A580" s="95"/>
      <c r="B580" s="95"/>
      <c r="C580" s="95"/>
      <c r="D580" s="95"/>
      <c r="E580" s="93"/>
      <c r="F580" s="93"/>
      <c r="G580" s="94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</row>
    <row r="581" spans="1:32" ht="13">
      <c r="A581" s="95"/>
      <c r="B581" s="95"/>
      <c r="C581" s="95"/>
      <c r="D581" s="95"/>
      <c r="E581" s="93"/>
      <c r="F581" s="93"/>
      <c r="G581" s="94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</row>
    <row r="582" spans="1:32" ht="13">
      <c r="A582" s="95"/>
      <c r="B582" s="95"/>
      <c r="C582" s="95"/>
      <c r="D582" s="95"/>
      <c r="E582" s="93"/>
      <c r="F582" s="93"/>
      <c r="G582" s="94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</row>
    <row r="583" spans="1:32" ht="13">
      <c r="A583" s="95"/>
      <c r="B583" s="95"/>
      <c r="C583" s="95"/>
      <c r="D583" s="95"/>
      <c r="E583" s="93"/>
      <c r="F583" s="93"/>
      <c r="G583" s="94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</row>
    <row r="584" spans="1:32" ht="13">
      <c r="A584" s="95"/>
      <c r="B584" s="95"/>
      <c r="C584" s="95"/>
      <c r="D584" s="95"/>
      <c r="E584" s="93"/>
      <c r="F584" s="93"/>
      <c r="G584" s="94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</row>
    <row r="585" spans="1:32" ht="13">
      <c r="A585" s="95"/>
      <c r="B585" s="95"/>
      <c r="C585" s="95"/>
      <c r="D585" s="95"/>
      <c r="E585" s="93"/>
      <c r="F585" s="93"/>
      <c r="G585" s="94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</row>
    <row r="586" spans="1:32" ht="13">
      <c r="A586" s="95"/>
      <c r="B586" s="95"/>
      <c r="C586" s="95"/>
      <c r="D586" s="95"/>
      <c r="E586" s="93"/>
      <c r="F586" s="93"/>
      <c r="G586" s="94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</row>
    <row r="587" spans="1:32" ht="13">
      <c r="A587" s="95"/>
      <c r="B587" s="95"/>
      <c r="C587" s="95"/>
      <c r="D587" s="95"/>
      <c r="E587" s="93"/>
      <c r="F587" s="93"/>
      <c r="G587" s="94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</row>
    <row r="588" spans="1:32" ht="13">
      <c r="A588" s="95"/>
      <c r="B588" s="95"/>
      <c r="C588" s="95"/>
      <c r="D588" s="95"/>
      <c r="E588" s="93"/>
      <c r="F588" s="93"/>
      <c r="G588" s="94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</row>
    <row r="589" spans="1:32" ht="13">
      <c r="A589" s="95"/>
      <c r="B589" s="95"/>
      <c r="C589" s="95"/>
      <c r="D589" s="95"/>
      <c r="E589" s="93"/>
      <c r="F589" s="93"/>
      <c r="G589" s="94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</row>
    <row r="590" spans="1:32" ht="13">
      <c r="A590" s="95"/>
      <c r="B590" s="95"/>
      <c r="C590" s="95"/>
      <c r="D590" s="95"/>
      <c r="E590" s="93"/>
      <c r="F590" s="93"/>
      <c r="G590" s="94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</row>
    <row r="591" spans="1:32" ht="13">
      <c r="A591" s="95"/>
      <c r="B591" s="95"/>
      <c r="C591" s="95"/>
      <c r="D591" s="95"/>
      <c r="E591" s="93"/>
      <c r="F591" s="93"/>
      <c r="G591" s="94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</row>
    <row r="592" spans="1:32" ht="13">
      <c r="A592" s="95"/>
      <c r="B592" s="95"/>
      <c r="C592" s="95"/>
      <c r="D592" s="95"/>
      <c r="E592" s="93"/>
      <c r="F592" s="93"/>
      <c r="G592" s="94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</row>
    <row r="593" spans="1:32" ht="13">
      <c r="A593" s="95"/>
      <c r="B593" s="95"/>
      <c r="C593" s="95"/>
      <c r="D593" s="95"/>
      <c r="E593" s="93"/>
      <c r="F593" s="93"/>
      <c r="G593" s="94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</row>
    <row r="594" spans="1:32" ht="13">
      <c r="A594" s="95"/>
      <c r="B594" s="95"/>
      <c r="C594" s="95"/>
      <c r="D594" s="95"/>
      <c r="E594" s="93"/>
      <c r="F594" s="93"/>
      <c r="G594" s="94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</row>
    <row r="595" spans="1:32" ht="13">
      <c r="A595" s="95"/>
      <c r="B595" s="95"/>
      <c r="C595" s="95"/>
      <c r="D595" s="95"/>
      <c r="E595" s="93"/>
      <c r="F595" s="93"/>
      <c r="G595" s="94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</row>
    <row r="596" spans="1:32" ht="13">
      <c r="A596" s="95"/>
      <c r="B596" s="95"/>
      <c r="C596" s="95"/>
      <c r="D596" s="95"/>
      <c r="E596" s="93"/>
      <c r="F596" s="93"/>
      <c r="G596" s="94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</row>
    <row r="597" spans="1:32" ht="13">
      <c r="A597" s="95"/>
      <c r="B597" s="95"/>
      <c r="C597" s="95"/>
      <c r="D597" s="95"/>
      <c r="E597" s="93"/>
      <c r="F597" s="93"/>
      <c r="G597" s="94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</row>
    <row r="598" spans="1:32" ht="13">
      <c r="A598" s="95"/>
      <c r="B598" s="95"/>
      <c r="C598" s="95"/>
      <c r="D598" s="95"/>
      <c r="E598" s="93"/>
      <c r="F598" s="93"/>
      <c r="G598" s="94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</row>
    <row r="599" spans="1:32" ht="13">
      <c r="A599" s="95"/>
      <c r="B599" s="95"/>
      <c r="C599" s="95"/>
      <c r="D599" s="95"/>
      <c r="E599" s="93"/>
      <c r="F599" s="93"/>
      <c r="G599" s="94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</row>
    <row r="600" spans="1:32" ht="13">
      <c r="A600" s="95"/>
      <c r="B600" s="95"/>
      <c r="C600" s="95"/>
      <c r="D600" s="95"/>
      <c r="E600" s="93"/>
      <c r="F600" s="93"/>
      <c r="G600" s="94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</row>
    <row r="601" spans="1:32" ht="13">
      <c r="A601" s="95"/>
      <c r="B601" s="95"/>
      <c r="C601" s="95"/>
      <c r="D601" s="95"/>
      <c r="E601" s="93"/>
      <c r="F601" s="93"/>
      <c r="G601" s="94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</row>
    <row r="602" spans="1:32" ht="13">
      <c r="A602" s="95"/>
      <c r="B602" s="95"/>
      <c r="C602" s="95"/>
      <c r="D602" s="95"/>
      <c r="E602" s="93"/>
      <c r="F602" s="93"/>
      <c r="G602" s="94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</row>
    <row r="603" spans="1:32" ht="13">
      <c r="A603" s="95"/>
      <c r="B603" s="95"/>
      <c r="C603" s="95"/>
      <c r="D603" s="95"/>
      <c r="E603" s="93"/>
      <c r="F603" s="93"/>
      <c r="G603" s="94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</row>
    <row r="604" spans="1:32" ht="13">
      <c r="A604" s="95"/>
      <c r="B604" s="95"/>
      <c r="C604" s="95"/>
      <c r="D604" s="95"/>
      <c r="E604" s="93"/>
      <c r="F604" s="93"/>
      <c r="G604" s="94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</row>
    <row r="605" spans="1:32" ht="13">
      <c r="A605" s="95"/>
      <c r="B605" s="95"/>
      <c r="C605" s="95"/>
      <c r="D605" s="95"/>
      <c r="E605" s="93"/>
      <c r="F605" s="93"/>
      <c r="G605" s="94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</row>
    <row r="606" spans="1:32" ht="13">
      <c r="A606" s="95"/>
      <c r="B606" s="95"/>
      <c r="C606" s="95"/>
      <c r="D606" s="95"/>
      <c r="E606" s="93"/>
      <c r="F606" s="93"/>
      <c r="G606" s="94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</row>
    <row r="607" spans="1:32" ht="13">
      <c r="A607" s="95"/>
      <c r="B607" s="95"/>
      <c r="C607" s="95"/>
      <c r="D607" s="95"/>
      <c r="E607" s="93"/>
      <c r="F607" s="93"/>
      <c r="G607" s="94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</row>
    <row r="608" spans="1:32" ht="13">
      <c r="A608" s="95"/>
      <c r="B608" s="95"/>
      <c r="C608" s="95"/>
      <c r="D608" s="95"/>
      <c r="E608" s="93"/>
      <c r="F608" s="93"/>
      <c r="G608" s="94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</row>
    <row r="609" spans="1:32" ht="13">
      <c r="A609" s="95"/>
      <c r="B609" s="95"/>
      <c r="C609" s="95"/>
      <c r="D609" s="95"/>
      <c r="E609" s="93"/>
      <c r="F609" s="93"/>
      <c r="G609" s="94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</row>
    <row r="610" spans="1:32" ht="13">
      <c r="A610" s="95"/>
      <c r="B610" s="95"/>
      <c r="C610" s="95"/>
      <c r="D610" s="95"/>
      <c r="E610" s="93"/>
      <c r="F610" s="93"/>
      <c r="G610" s="94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</row>
    <row r="611" spans="1:32" ht="13">
      <c r="A611" s="95"/>
      <c r="B611" s="95"/>
      <c r="C611" s="95"/>
      <c r="D611" s="95"/>
      <c r="E611" s="93"/>
      <c r="F611" s="93"/>
      <c r="G611" s="94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</row>
    <row r="612" spans="1:32" ht="13">
      <c r="A612" s="95"/>
      <c r="B612" s="95"/>
      <c r="C612" s="95"/>
      <c r="D612" s="95"/>
      <c r="E612" s="93"/>
      <c r="F612" s="93"/>
      <c r="G612" s="94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</row>
    <row r="613" spans="1:32" ht="13">
      <c r="A613" s="95"/>
      <c r="B613" s="95"/>
      <c r="C613" s="95"/>
      <c r="D613" s="95"/>
      <c r="E613" s="93"/>
      <c r="F613" s="93"/>
      <c r="G613" s="94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</row>
    <row r="614" spans="1:32" ht="13">
      <c r="A614" s="95"/>
      <c r="B614" s="95"/>
      <c r="C614" s="95"/>
      <c r="D614" s="95"/>
      <c r="E614" s="93"/>
      <c r="F614" s="93"/>
      <c r="G614" s="94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</row>
    <row r="615" spans="1:32" ht="13">
      <c r="A615" s="95"/>
      <c r="B615" s="95"/>
      <c r="C615" s="95"/>
      <c r="D615" s="95"/>
      <c r="E615" s="93"/>
      <c r="F615" s="93"/>
      <c r="G615" s="94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</row>
    <row r="616" spans="1:32" ht="13">
      <c r="A616" s="95"/>
      <c r="B616" s="95"/>
      <c r="C616" s="95"/>
      <c r="D616" s="95"/>
      <c r="E616" s="93"/>
      <c r="F616" s="93"/>
      <c r="G616" s="94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</row>
    <row r="617" spans="1:32" ht="13">
      <c r="A617" s="95"/>
      <c r="B617" s="95"/>
      <c r="C617" s="95"/>
      <c r="D617" s="95"/>
      <c r="E617" s="93"/>
      <c r="F617" s="93"/>
      <c r="G617" s="94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</row>
    <row r="618" spans="1:32" ht="13">
      <c r="A618" s="95"/>
      <c r="B618" s="95"/>
      <c r="C618" s="95"/>
      <c r="D618" s="95"/>
      <c r="E618" s="93"/>
      <c r="F618" s="93"/>
      <c r="G618" s="94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</row>
    <row r="619" spans="1:32" ht="13">
      <c r="A619" s="95"/>
      <c r="B619" s="95"/>
      <c r="C619" s="95"/>
      <c r="D619" s="95"/>
      <c r="E619" s="93"/>
      <c r="F619" s="93"/>
      <c r="G619" s="94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</row>
    <row r="620" spans="1:32" ht="13">
      <c r="A620" s="95"/>
      <c r="B620" s="95"/>
      <c r="C620" s="95"/>
      <c r="D620" s="95"/>
      <c r="E620" s="93"/>
      <c r="F620" s="93"/>
      <c r="G620" s="94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</row>
    <row r="621" spans="1:32" ht="13">
      <c r="A621" s="95"/>
      <c r="B621" s="95"/>
      <c r="C621" s="95"/>
      <c r="D621" s="95"/>
      <c r="E621" s="93"/>
      <c r="F621" s="93"/>
      <c r="G621" s="94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</row>
    <row r="622" spans="1:32" ht="13">
      <c r="A622" s="95"/>
      <c r="B622" s="95"/>
      <c r="C622" s="95"/>
      <c r="D622" s="95"/>
      <c r="E622" s="93"/>
      <c r="F622" s="93"/>
      <c r="G622" s="94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</row>
    <row r="623" spans="1:32" ht="13">
      <c r="A623" s="95"/>
      <c r="B623" s="95"/>
      <c r="C623" s="95"/>
      <c r="D623" s="95"/>
      <c r="E623" s="93"/>
      <c r="F623" s="93"/>
      <c r="G623" s="94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</row>
    <row r="624" spans="1:32" ht="13">
      <c r="A624" s="95"/>
      <c r="B624" s="95"/>
      <c r="C624" s="95"/>
      <c r="D624" s="95"/>
      <c r="E624" s="93"/>
      <c r="F624" s="93"/>
      <c r="G624" s="94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</row>
    <row r="625" spans="1:32" ht="13">
      <c r="A625" s="95"/>
      <c r="B625" s="95"/>
      <c r="C625" s="95"/>
      <c r="D625" s="95"/>
      <c r="E625" s="93"/>
      <c r="F625" s="93"/>
      <c r="G625" s="94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</row>
    <row r="626" spans="1:32" ht="13">
      <c r="A626" s="95"/>
      <c r="B626" s="95"/>
      <c r="C626" s="95"/>
      <c r="D626" s="95"/>
      <c r="E626" s="93"/>
      <c r="F626" s="93"/>
      <c r="G626" s="94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</row>
    <row r="627" spans="1:32" ht="13">
      <c r="A627" s="95"/>
      <c r="B627" s="95"/>
      <c r="C627" s="95"/>
      <c r="D627" s="95"/>
      <c r="E627" s="93"/>
      <c r="F627" s="93"/>
      <c r="G627" s="94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</row>
    <row r="628" spans="1:32" ht="13">
      <c r="A628" s="95"/>
      <c r="B628" s="95"/>
      <c r="C628" s="95"/>
      <c r="D628" s="95"/>
      <c r="E628" s="93"/>
      <c r="F628" s="93"/>
      <c r="G628" s="94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</row>
    <row r="629" spans="1:32" ht="13">
      <c r="A629" s="95"/>
      <c r="B629" s="95"/>
      <c r="C629" s="95"/>
      <c r="D629" s="95"/>
      <c r="E629" s="93"/>
      <c r="F629" s="93"/>
      <c r="G629" s="94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</row>
    <row r="630" spans="1:32" ht="13">
      <c r="A630" s="95"/>
      <c r="B630" s="95"/>
      <c r="C630" s="95"/>
      <c r="D630" s="95"/>
      <c r="E630" s="93"/>
      <c r="F630" s="93"/>
      <c r="G630" s="94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</row>
    <row r="631" spans="1:32" ht="13">
      <c r="A631" s="95"/>
      <c r="B631" s="95"/>
      <c r="C631" s="95"/>
      <c r="D631" s="95"/>
      <c r="E631" s="93"/>
      <c r="F631" s="93"/>
      <c r="G631" s="94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</row>
    <row r="632" spans="1:32" ht="13">
      <c r="A632" s="95"/>
      <c r="B632" s="95"/>
      <c r="C632" s="95"/>
      <c r="D632" s="95"/>
      <c r="E632" s="93"/>
      <c r="F632" s="93"/>
      <c r="G632" s="94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</row>
    <row r="633" spans="1:32" ht="13">
      <c r="A633" s="95"/>
      <c r="B633" s="95"/>
      <c r="C633" s="95"/>
      <c r="D633" s="95"/>
      <c r="E633" s="93"/>
      <c r="F633" s="93"/>
      <c r="G633" s="94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</row>
    <row r="634" spans="1:32" ht="13">
      <c r="A634" s="95"/>
      <c r="B634" s="95"/>
      <c r="C634" s="95"/>
      <c r="D634" s="95"/>
      <c r="E634" s="93"/>
      <c r="F634" s="93"/>
      <c r="G634" s="94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</row>
    <row r="635" spans="1:32" ht="13">
      <c r="A635" s="95"/>
      <c r="B635" s="95"/>
      <c r="C635" s="95"/>
      <c r="D635" s="95"/>
      <c r="E635" s="93"/>
      <c r="F635" s="93"/>
      <c r="G635" s="94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</row>
    <row r="636" spans="1:32" ht="13">
      <c r="A636" s="95"/>
      <c r="B636" s="95"/>
      <c r="C636" s="95"/>
      <c r="D636" s="95"/>
      <c r="E636" s="93"/>
      <c r="F636" s="93"/>
      <c r="G636" s="94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</row>
    <row r="637" spans="1:32" ht="13">
      <c r="A637" s="95"/>
      <c r="B637" s="95"/>
      <c r="C637" s="95"/>
      <c r="D637" s="95"/>
      <c r="E637" s="93"/>
      <c r="F637" s="93"/>
      <c r="G637" s="94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</row>
    <row r="638" spans="1:32" ht="13">
      <c r="A638" s="95"/>
      <c r="B638" s="95"/>
      <c r="C638" s="95"/>
      <c r="D638" s="95"/>
      <c r="E638" s="93"/>
      <c r="F638" s="93"/>
      <c r="G638" s="94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</row>
    <row r="639" spans="1:32" ht="13">
      <c r="A639" s="95"/>
      <c r="B639" s="95"/>
      <c r="C639" s="95"/>
      <c r="D639" s="95"/>
      <c r="E639" s="93"/>
      <c r="F639" s="93"/>
      <c r="G639" s="94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</row>
    <row r="640" spans="1:32" ht="13">
      <c r="A640" s="95"/>
      <c r="B640" s="95"/>
      <c r="C640" s="95"/>
      <c r="D640" s="95"/>
      <c r="E640" s="93"/>
      <c r="F640" s="93"/>
      <c r="G640" s="94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</row>
    <row r="641" spans="1:32" ht="13">
      <c r="A641" s="95"/>
      <c r="B641" s="95"/>
      <c r="C641" s="95"/>
      <c r="D641" s="95"/>
      <c r="E641" s="93"/>
      <c r="F641" s="93"/>
      <c r="G641" s="94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</row>
    <row r="642" spans="1:32" ht="13">
      <c r="A642" s="95"/>
      <c r="B642" s="95"/>
      <c r="C642" s="95"/>
      <c r="D642" s="95"/>
      <c r="E642" s="93"/>
      <c r="F642" s="93"/>
      <c r="G642" s="94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</row>
    <row r="643" spans="1:32" ht="13">
      <c r="A643" s="95"/>
      <c r="B643" s="95"/>
      <c r="C643" s="95"/>
      <c r="D643" s="95"/>
      <c r="E643" s="93"/>
      <c r="F643" s="93"/>
      <c r="G643" s="94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</row>
    <row r="644" spans="1:32" ht="13">
      <c r="A644" s="95"/>
      <c r="B644" s="95"/>
      <c r="C644" s="95"/>
      <c r="D644" s="95"/>
      <c r="E644" s="93"/>
      <c r="F644" s="93"/>
      <c r="G644" s="94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</row>
    <row r="645" spans="1:32" ht="13">
      <c r="A645" s="95"/>
      <c r="B645" s="95"/>
      <c r="C645" s="95"/>
      <c r="D645" s="95"/>
      <c r="E645" s="93"/>
      <c r="F645" s="93"/>
      <c r="G645" s="94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</row>
    <row r="646" spans="1:32" ht="13">
      <c r="A646" s="95"/>
      <c r="B646" s="95"/>
      <c r="C646" s="95"/>
      <c r="D646" s="95"/>
      <c r="E646" s="93"/>
      <c r="F646" s="93"/>
      <c r="G646" s="94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</row>
    <row r="647" spans="1:32" ht="13">
      <c r="A647" s="95"/>
      <c r="B647" s="95"/>
      <c r="C647" s="95"/>
      <c r="D647" s="95"/>
      <c r="E647" s="93"/>
      <c r="F647" s="93"/>
      <c r="G647" s="94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</row>
    <row r="648" spans="1:32" ht="13">
      <c r="A648" s="95"/>
      <c r="B648" s="95"/>
      <c r="C648" s="95"/>
      <c r="D648" s="95"/>
      <c r="E648" s="93"/>
      <c r="F648" s="93"/>
      <c r="G648" s="94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</row>
    <row r="649" spans="1:32" ht="13">
      <c r="A649" s="95"/>
      <c r="B649" s="95"/>
      <c r="C649" s="95"/>
      <c r="D649" s="95"/>
      <c r="E649" s="93"/>
      <c r="F649" s="93"/>
      <c r="G649" s="94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</row>
    <row r="650" spans="1:32" ht="13">
      <c r="A650" s="95"/>
      <c r="B650" s="95"/>
      <c r="C650" s="95"/>
      <c r="D650" s="95"/>
      <c r="E650" s="93"/>
      <c r="F650" s="93"/>
      <c r="G650" s="94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</row>
    <row r="651" spans="1:32" ht="13">
      <c r="A651" s="95"/>
      <c r="B651" s="95"/>
      <c r="C651" s="95"/>
      <c r="D651" s="95"/>
      <c r="E651" s="93"/>
      <c r="F651" s="93"/>
      <c r="G651" s="94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</row>
    <row r="652" spans="1:32" ht="13">
      <c r="A652" s="95"/>
      <c r="B652" s="95"/>
      <c r="C652" s="95"/>
      <c r="D652" s="95"/>
      <c r="E652" s="93"/>
      <c r="F652" s="93"/>
      <c r="G652" s="94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</row>
    <row r="653" spans="1:32" ht="13">
      <c r="A653" s="95"/>
      <c r="B653" s="95"/>
      <c r="C653" s="95"/>
      <c r="D653" s="95"/>
      <c r="E653" s="93"/>
      <c r="F653" s="93"/>
      <c r="G653" s="94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</row>
    <row r="654" spans="1:32" ht="13">
      <c r="A654" s="95"/>
      <c r="B654" s="95"/>
      <c r="C654" s="95"/>
      <c r="D654" s="95"/>
      <c r="E654" s="93"/>
      <c r="F654" s="93"/>
      <c r="G654" s="94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</row>
    <row r="655" spans="1:32" ht="13">
      <c r="A655" s="95"/>
      <c r="B655" s="95"/>
      <c r="C655" s="95"/>
      <c r="D655" s="95"/>
      <c r="E655" s="93"/>
      <c r="F655" s="93"/>
      <c r="G655" s="94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</row>
    <row r="656" spans="1:32" ht="13">
      <c r="A656" s="95"/>
      <c r="B656" s="95"/>
      <c r="C656" s="95"/>
      <c r="D656" s="95"/>
      <c r="E656" s="93"/>
      <c r="F656" s="93"/>
      <c r="G656" s="94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</row>
    <row r="657" spans="1:32" ht="13">
      <c r="A657" s="95"/>
      <c r="B657" s="95"/>
      <c r="C657" s="95"/>
      <c r="D657" s="95"/>
      <c r="E657" s="93"/>
      <c r="F657" s="93"/>
      <c r="G657" s="94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</row>
    <row r="658" spans="1:32" ht="13">
      <c r="A658" s="95"/>
      <c r="B658" s="95"/>
      <c r="C658" s="95"/>
      <c r="D658" s="95"/>
      <c r="E658" s="93"/>
      <c r="F658" s="93"/>
      <c r="G658" s="94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</row>
    <row r="659" spans="1:32" ht="13">
      <c r="A659" s="95"/>
      <c r="B659" s="95"/>
      <c r="C659" s="95"/>
      <c r="D659" s="95"/>
      <c r="E659" s="93"/>
      <c r="F659" s="93"/>
      <c r="G659" s="94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</row>
    <row r="660" spans="1:32" ht="13">
      <c r="A660" s="95"/>
      <c r="B660" s="95"/>
      <c r="C660" s="95"/>
      <c r="D660" s="95"/>
      <c r="E660" s="93"/>
      <c r="F660" s="93"/>
      <c r="G660" s="94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</row>
    <row r="661" spans="1:32" ht="13">
      <c r="A661" s="95"/>
      <c r="B661" s="95"/>
      <c r="C661" s="95"/>
      <c r="D661" s="95"/>
      <c r="E661" s="93"/>
      <c r="F661" s="93"/>
      <c r="G661" s="94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</row>
    <row r="662" spans="1:32" ht="13">
      <c r="A662" s="95"/>
      <c r="B662" s="95"/>
      <c r="C662" s="95"/>
      <c r="D662" s="95"/>
      <c r="E662" s="93"/>
      <c r="F662" s="93"/>
      <c r="G662" s="94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</row>
    <row r="663" spans="1:32" ht="13">
      <c r="A663" s="95"/>
      <c r="B663" s="95"/>
      <c r="C663" s="95"/>
      <c r="D663" s="95"/>
      <c r="E663" s="93"/>
      <c r="F663" s="93"/>
      <c r="G663" s="94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</row>
    <row r="664" spans="1:32" ht="13">
      <c r="A664" s="95"/>
      <c r="B664" s="95"/>
      <c r="C664" s="95"/>
      <c r="D664" s="95"/>
      <c r="E664" s="93"/>
      <c r="F664" s="93"/>
      <c r="G664" s="94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</row>
    <row r="665" spans="1:32" ht="13">
      <c r="A665" s="95"/>
      <c r="B665" s="95"/>
      <c r="C665" s="95"/>
      <c r="D665" s="95"/>
      <c r="E665" s="93"/>
      <c r="F665" s="93"/>
      <c r="G665" s="94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</row>
    <row r="666" spans="1:32" ht="13">
      <c r="A666" s="95"/>
      <c r="B666" s="95"/>
      <c r="C666" s="95"/>
      <c r="D666" s="95"/>
      <c r="E666" s="93"/>
      <c r="F666" s="93"/>
      <c r="G666" s="94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</row>
    <row r="667" spans="1:32" ht="13">
      <c r="A667" s="95"/>
      <c r="B667" s="95"/>
      <c r="C667" s="95"/>
      <c r="D667" s="95"/>
      <c r="E667" s="93"/>
      <c r="F667" s="93"/>
      <c r="G667" s="94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</row>
    <row r="668" spans="1:32" ht="13">
      <c r="A668" s="95"/>
      <c r="B668" s="95"/>
      <c r="C668" s="95"/>
      <c r="D668" s="95"/>
      <c r="E668" s="93"/>
      <c r="F668" s="93"/>
      <c r="G668" s="94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</row>
    <row r="669" spans="1:32" ht="13">
      <c r="A669" s="95"/>
      <c r="B669" s="95"/>
      <c r="C669" s="95"/>
      <c r="D669" s="95"/>
      <c r="E669" s="93"/>
      <c r="F669" s="93"/>
      <c r="G669" s="94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</row>
    <row r="670" spans="1:32" ht="13">
      <c r="A670" s="95"/>
      <c r="B670" s="95"/>
      <c r="C670" s="95"/>
      <c r="D670" s="95"/>
      <c r="E670" s="93"/>
      <c r="F670" s="93"/>
      <c r="G670" s="94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</row>
    <row r="671" spans="1:32" ht="13">
      <c r="A671" s="95"/>
      <c r="B671" s="95"/>
      <c r="C671" s="95"/>
      <c r="D671" s="95"/>
      <c r="E671" s="93"/>
      <c r="F671" s="93"/>
      <c r="G671" s="94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</row>
    <row r="672" spans="1:32" ht="13">
      <c r="A672" s="95"/>
      <c r="B672" s="95"/>
      <c r="C672" s="95"/>
      <c r="D672" s="95"/>
      <c r="E672" s="93"/>
      <c r="F672" s="93"/>
      <c r="G672" s="94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</row>
    <row r="673" spans="1:32" ht="13">
      <c r="A673" s="95"/>
      <c r="B673" s="95"/>
      <c r="C673" s="95"/>
      <c r="D673" s="95"/>
      <c r="E673" s="93"/>
      <c r="F673" s="93"/>
      <c r="G673" s="94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</row>
    <row r="674" spans="1:32" ht="13">
      <c r="A674" s="95"/>
      <c r="B674" s="95"/>
      <c r="C674" s="95"/>
      <c r="D674" s="95"/>
      <c r="E674" s="93"/>
      <c r="F674" s="93"/>
      <c r="G674" s="94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</row>
    <row r="675" spans="1:32" ht="13">
      <c r="A675" s="95"/>
      <c r="B675" s="95"/>
      <c r="C675" s="95"/>
      <c r="D675" s="95"/>
      <c r="E675" s="93"/>
      <c r="F675" s="93"/>
      <c r="G675" s="94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</row>
    <row r="676" spans="1:32" ht="13">
      <c r="A676" s="95"/>
      <c r="B676" s="95"/>
      <c r="C676" s="95"/>
      <c r="D676" s="95"/>
      <c r="E676" s="93"/>
      <c r="F676" s="93"/>
      <c r="G676" s="94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</row>
    <row r="677" spans="1:32" ht="13">
      <c r="A677" s="95"/>
      <c r="B677" s="95"/>
      <c r="C677" s="95"/>
      <c r="D677" s="95"/>
      <c r="E677" s="93"/>
      <c r="F677" s="93"/>
      <c r="G677" s="94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</row>
    <row r="678" spans="1:32" ht="13">
      <c r="A678" s="95"/>
      <c r="B678" s="95"/>
      <c r="C678" s="95"/>
      <c r="D678" s="95"/>
      <c r="E678" s="93"/>
      <c r="F678" s="93"/>
      <c r="G678" s="94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</row>
    <row r="679" spans="1:32" ht="13">
      <c r="A679" s="95"/>
      <c r="B679" s="95"/>
      <c r="C679" s="95"/>
      <c r="D679" s="95"/>
      <c r="E679" s="93"/>
      <c r="F679" s="93"/>
      <c r="G679" s="94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</row>
    <row r="680" spans="1:32" ht="13">
      <c r="A680" s="95"/>
      <c r="B680" s="95"/>
      <c r="C680" s="95"/>
      <c r="D680" s="95"/>
      <c r="E680" s="93"/>
      <c r="F680" s="93"/>
      <c r="G680" s="94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</row>
    <row r="681" spans="1:32" ht="13">
      <c r="A681" s="95"/>
      <c r="B681" s="95"/>
      <c r="C681" s="95"/>
      <c r="D681" s="95"/>
      <c r="E681" s="93"/>
      <c r="F681" s="93"/>
      <c r="G681" s="94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</row>
    <row r="682" spans="1:32" ht="13">
      <c r="A682" s="95"/>
      <c r="B682" s="95"/>
      <c r="C682" s="95"/>
      <c r="D682" s="95"/>
      <c r="E682" s="93"/>
      <c r="F682" s="93"/>
      <c r="G682" s="94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</row>
    <row r="683" spans="1:32" ht="13">
      <c r="A683" s="95"/>
      <c r="B683" s="95"/>
      <c r="C683" s="95"/>
      <c r="D683" s="95"/>
      <c r="E683" s="93"/>
      <c r="F683" s="93"/>
      <c r="G683" s="94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</row>
    <row r="684" spans="1:32" ht="13">
      <c r="A684" s="95"/>
      <c r="B684" s="95"/>
      <c r="C684" s="95"/>
      <c r="D684" s="95"/>
      <c r="E684" s="93"/>
      <c r="F684" s="93"/>
      <c r="G684" s="94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</row>
    <row r="685" spans="1:32" ht="13">
      <c r="A685" s="95"/>
      <c r="B685" s="95"/>
      <c r="C685" s="95"/>
      <c r="D685" s="95"/>
      <c r="E685" s="93"/>
      <c r="F685" s="93"/>
      <c r="G685" s="94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</row>
    <row r="686" spans="1:32" ht="13">
      <c r="A686" s="95"/>
      <c r="B686" s="95"/>
      <c r="C686" s="95"/>
      <c r="D686" s="95"/>
      <c r="E686" s="93"/>
      <c r="F686" s="93"/>
      <c r="G686" s="94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</row>
    <row r="687" spans="1:32" ht="13">
      <c r="A687" s="95"/>
      <c r="B687" s="95"/>
      <c r="C687" s="95"/>
      <c r="D687" s="95"/>
      <c r="E687" s="93"/>
      <c r="F687" s="93"/>
      <c r="G687" s="94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</row>
    <row r="688" spans="1:32" ht="13">
      <c r="A688" s="95"/>
      <c r="B688" s="95"/>
      <c r="C688" s="95"/>
      <c r="D688" s="95"/>
      <c r="E688" s="93"/>
      <c r="F688" s="93"/>
      <c r="G688" s="94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</row>
    <row r="689" spans="1:32" ht="13">
      <c r="A689" s="95"/>
      <c r="B689" s="95"/>
      <c r="C689" s="95"/>
      <c r="D689" s="95"/>
      <c r="E689" s="93"/>
      <c r="F689" s="93"/>
      <c r="G689" s="94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</row>
    <row r="690" spans="1:32" ht="13">
      <c r="A690" s="95"/>
      <c r="B690" s="95"/>
      <c r="C690" s="95"/>
      <c r="D690" s="95"/>
      <c r="E690" s="93"/>
      <c r="F690" s="93"/>
      <c r="G690" s="94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</row>
    <row r="691" spans="1:32" ht="13">
      <c r="A691" s="95"/>
      <c r="B691" s="95"/>
      <c r="C691" s="95"/>
      <c r="D691" s="95"/>
      <c r="E691" s="93"/>
      <c r="F691" s="93"/>
      <c r="G691" s="94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</row>
    <row r="692" spans="1:32" ht="13">
      <c r="A692" s="95"/>
      <c r="B692" s="95"/>
      <c r="C692" s="95"/>
      <c r="D692" s="95"/>
      <c r="E692" s="93"/>
      <c r="F692" s="93"/>
      <c r="G692" s="94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</row>
    <row r="693" spans="1:32" ht="13">
      <c r="A693" s="95"/>
      <c r="B693" s="95"/>
      <c r="C693" s="95"/>
      <c r="D693" s="95"/>
      <c r="E693" s="93"/>
      <c r="F693" s="93"/>
      <c r="G693" s="94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</row>
    <row r="694" spans="1:32" ht="13">
      <c r="A694" s="95"/>
      <c r="B694" s="95"/>
      <c r="C694" s="95"/>
      <c r="D694" s="95"/>
      <c r="E694" s="93"/>
      <c r="F694" s="93"/>
      <c r="G694" s="94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</row>
    <row r="695" spans="1:32" ht="13">
      <c r="A695" s="95"/>
      <c r="B695" s="95"/>
      <c r="C695" s="95"/>
      <c r="D695" s="95"/>
      <c r="E695" s="93"/>
      <c r="F695" s="93"/>
      <c r="G695" s="94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</row>
    <row r="696" spans="1:32" ht="13">
      <c r="A696" s="95"/>
      <c r="B696" s="95"/>
      <c r="C696" s="95"/>
      <c r="D696" s="95"/>
      <c r="E696" s="93"/>
      <c r="F696" s="93"/>
      <c r="G696" s="94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</row>
    <row r="697" spans="1:32" ht="13">
      <c r="A697" s="95"/>
      <c r="B697" s="95"/>
      <c r="C697" s="95"/>
      <c r="D697" s="95"/>
      <c r="E697" s="93"/>
      <c r="F697" s="93"/>
      <c r="G697" s="94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</row>
    <row r="698" spans="1:32" ht="13">
      <c r="A698" s="95"/>
      <c r="B698" s="95"/>
      <c r="C698" s="95"/>
      <c r="D698" s="95"/>
      <c r="E698" s="93"/>
      <c r="F698" s="93"/>
      <c r="G698" s="94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</row>
    <row r="699" spans="1:32" ht="13">
      <c r="A699" s="95"/>
      <c r="B699" s="95"/>
      <c r="C699" s="95"/>
      <c r="D699" s="95"/>
      <c r="E699" s="93"/>
      <c r="F699" s="93"/>
      <c r="G699" s="94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</row>
    <row r="700" spans="1:32" ht="13">
      <c r="A700" s="95"/>
      <c r="B700" s="95"/>
      <c r="C700" s="95"/>
      <c r="D700" s="95"/>
      <c r="E700" s="93"/>
      <c r="F700" s="93"/>
      <c r="G700" s="94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</row>
    <row r="701" spans="1:32" ht="13">
      <c r="A701" s="95"/>
      <c r="B701" s="95"/>
      <c r="C701" s="95"/>
      <c r="D701" s="95"/>
      <c r="E701" s="93"/>
      <c r="F701" s="93"/>
      <c r="G701" s="94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</row>
    <row r="702" spans="1:32" ht="13">
      <c r="A702" s="95"/>
      <c r="B702" s="95"/>
      <c r="C702" s="95"/>
      <c r="D702" s="95"/>
      <c r="E702" s="93"/>
      <c r="F702" s="93"/>
      <c r="G702" s="94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</row>
    <row r="703" spans="1:32" ht="13">
      <c r="A703" s="95"/>
      <c r="B703" s="95"/>
      <c r="C703" s="95"/>
      <c r="D703" s="95"/>
      <c r="E703" s="93"/>
      <c r="F703" s="93"/>
      <c r="G703" s="94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</row>
    <row r="704" spans="1:32" ht="13">
      <c r="A704" s="95"/>
      <c r="B704" s="95"/>
      <c r="C704" s="95"/>
      <c r="D704" s="95"/>
      <c r="E704" s="93"/>
      <c r="F704" s="93"/>
      <c r="G704" s="94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</row>
    <row r="705" spans="1:32" ht="13">
      <c r="A705" s="95"/>
      <c r="B705" s="95"/>
      <c r="C705" s="95"/>
      <c r="D705" s="95"/>
      <c r="E705" s="93"/>
      <c r="F705" s="93"/>
      <c r="G705" s="94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</row>
    <row r="706" spans="1:32" ht="13">
      <c r="A706" s="95"/>
      <c r="B706" s="95"/>
      <c r="C706" s="95"/>
      <c r="D706" s="95"/>
      <c r="E706" s="93"/>
      <c r="F706" s="93"/>
      <c r="G706" s="94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</row>
    <row r="707" spans="1:32" ht="13">
      <c r="A707" s="95"/>
      <c r="B707" s="95"/>
      <c r="C707" s="95"/>
      <c r="D707" s="95"/>
      <c r="E707" s="93"/>
      <c r="F707" s="93"/>
      <c r="G707" s="94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</row>
    <row r="708" spans="1:32" ht="13">
      <c r="A708" s="95"/>
      <c r="B708" s="95"/>
      <c r="C708" s="95"/>
      <c r="D708" s="95"/>
      <c r="E708" s="93"/>
      <c r="F708" s="93"/>
      <c r="G708" s="94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</row>
    <row r="709" spans="1:32" ht="13">
      <c r="A709" s="95"/>
      <c r="B709" s="95"/>
      <c r="C709" s="95"/>
      <c r="D709" s="95"/>
      <c r="E709" s="93"/>
      <c r="F709" s="93"/>
      <c r="G709" s="94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</row>
    <row r="710" spans="1:32" ht="13">
      <c r="A710" s="95"/>
      <c r="B710" s="95"/>
      <c r="C710" s="95"/>
      <c r="D710" s="95"/>
      <c r="E710" s="93"/>
      <c r="F710" s="93"/>
      <c r="G710" s="94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</row>
    <row r="711" spans="1:32" ht="13">
      <c r="A711" s="95"/>
      <c r="B711" s="95"/>
      <c r="C711" s="95"/>
      <c r="D711" s="95"/>
      <c r="E711" s="93"/>
      <c r="F711" s="93"/>
      <c r="G711" s="94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</row>
    <row r="712" spans="1:32" ht="13">
      <c r="A712" s="95"/>
      <c r="B712" s="95"/>
      <c r="C712" s="95"/>
      <c r="D712" s="95"/>
      <c r="E712" s="93"/>
      <c r="F712" s="93"/>
      <c r="G712" s="94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</row>
    <row r="713" spans="1:32" ht="13">
      <c r="A713" s="95"/>
      <c r="B713" s="95"/>
      <c r="C713" s="95"/>
      <c r="D713" s="95"/>
      <c r="E713" s="93"/>
      <c r="F713" s="93"/>
      <c r="G713" s="94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</row>
    <row r="714" spans="1:32" ht="13">
      <c r="A714" s="95"/>
      <c r="B714" s="95"/>
      <c r="C714" s="95"/>
      <c r="D714" s="95"/>
      <c r="E714" s="93"/>
      <c r="F714" s="93"/>
      <c r="G714" s="94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</row>
    <row r="715" spans="1:32" ht="13">
      <c r="A715" s="95"/>
      <c r="B715" s="95"/>
      <c r="C715" s="95"/>
      <c r="D715" s="95"/>
      <c r="E715" s="93"/>
      <c r="F715" s="93"/>
      <c r="G715" s="94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</row>
    <row r="716" spans="1:32" ht="13">
      <c r="A716" s="95"/>
      <c r="B716" s="95"/>
      <c r="C716" s="95"/>
      <c r="D716" s="95"/>
      <c r="E716" s="93"/>
      <c r="F716" s="93"/>
      <c r="G716" s="94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</row>
    <row r="717" spans="1:32" ht="13">
      <c r="A717" s="95"/>
      <c r="B717" s="95"/>
      <c r="C717" s="95"/>
      <c r="D717" s="95"/>
      <c r="E717" s="93"/>
      <c r="F717" s="93"/>
      <c r="G717" s="94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</row>
    <row r="718" spans="1:32" ht="13">
      <c r="A718" s="95"/>
      <c r="B718" s="95"/>
      <c r="C718" s="95"/>
      <c r="D718" s="95"/>
      <c r="E718" s="93"/>
      <c r="F718" s="93"/>
      <c r="G718" s="94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</row>
    <row r="719" spans="1:32" ht="13">
      <c r="A719" s="95"/>
      <c r="B719" s="95"/>
      <c r="C719" s="95"/>
      <c r="D719" s="95"/>
      <c r="E719" s="93"/>
      <c r="F719" s="93"/>
      <c r="G719" s="94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</row>
    <row r="720" spans="1:32" ht="13">
      <c r="A720" s="95"/>
      <c r="B720" s="95"/>
      <c r="C720" s="95"/>
      <c r="D720" s="95"/>
      <c r="E720" s="93"/>
      <c r="F720" s="93"/>
      <c r="G720" s="94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</row>
    <row r="721" spans="1:32" ht="13">
      <c r="A721" s="95"/>
      <c r="B721" s="95"/>
      <c r="C721" s="95"/>
      <c r="D721" s="95"/>
      <c r="E721" s="93"/>
      <c r="F721" s="93"/>
      <c r="G721" s="94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</row>
    <row r="722" spans="1:32" ht="13">
      <c r="A722" s="95"/>
      <c r="B722" s="95"/>
      <c r="C722" s="95"/>
      <c r="D722" s="95"/>
      <c r="E722" s="93"/>
      <c r="F722" s="93"/>
      <c r="G722" s="94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</row>
    <row r="723" spans="1:32" ht="13">
      <c r="A723" s="95"/>
      <c r="B723" s="95"/>
      <c r="C723" s="95"/>
      <c r="D723" s="95"/>
      <c r="E723" s="93"/>
      <c r="F723" s="93"/>
      <c r="G723" s="94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</row>
    <row r="724" spans="1:32" ht="13">
      <c r="A724" s="95"/>
      <c r="B724" s="95"/>
      <c r="C724" s="95"/>
      <c r="D724" s="95"/>
      <c r="E724" s="93"/>
      <c r="F724" s="93"/>
      <c r="G724" s="94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</row>
    <row r="725" spans="1:32" ht="13">
      <c r="A725" s="95"/>
      <c r="B725" s="95"/>
      <c r="C725" s="95"/>
      <c r="D725" s="95"/>
      <c r="E725" s="93"/>
      <c r="F725" s="93"/>
      <c r="G725" s="94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</row>
    <row r="726" spans="1:32" ht="13">
      <c r="A726" s="95"/>
      <c r="B726" s="95"/>
      <c r="C726" s="95"/>
      <c r="D726" s="95"/>
      <c r="E726" s="93"/>
      <c r="F726" s="93"/>
      <c r="G726" s="94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</row>
    <row r="727" spans="1:32" ht="13">
      <c r="A727" s="95"/>
      <c r="B727" s="95"/>
      <c r="C727" s="95"/>
      <c r="D727" s="95"/>
      <c r="E727" s="93"/>
      <c r="F727" s="93"/>
      <c r="G727" s="94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</row>
    <row r="728" spans="1:32" ht="13">
      <c r="A728" s="95"/>
      <c r="B728" s="95"/>
      <c r="C728" s="95"/>
      <c r="D728" s="95"/>
      <c r="E728" s="93"/>
      <c r="F728" s="93"/>
      <c r="G728" s="94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</row>
    <row r="729" spans="1:32" ht="13">
      <c r="A729" s="95"/>
      <c r="B729" s="95"/>
      <c r="C729" s="95"/>
      <c r="D729" s="95"/>
      <c r="E729" s="93"/>
      <c r="F729" s="93"/>
      <c r="G729" s="94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</row>
    <row r="730" spans="1:32" ht="13">
      <c r="A730" s="95"/>
      <c r="B730" s="95"/>
      <c r="C730" s="95"/>
      <c r="D730" s="95"/>
      <c r="E730" s="93"/>
      <c r="F730" s="93"/>
      <c r="G730" s="94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</row>
    <row r="731" spans="1:32" ht="13">
      <c r="A731" s="95"/>
      <c r="B731" s="95"/>
      <c r="C731" s="95"/>
      <c r="D731" s="95"/>
      <c r="E731" s="93"/>
      <c r="F731" s="93"/>
      <c r="G731" s="94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</row>
    <row r="732" spans="1:32" ht="13">
      <c r="A732" s="95"/>
      <c r="B732" s="95"/>
      <c r="C732" s="95"/>
      <c r="D732" s="95"/>
      <c r="E732" s="93"/>
      <c r="F732" s="93"/>
      <c r="G732" s="94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</row>
    <row r="733" spans="1:32" ht="13">
      <c r="A733" s="95"/>
      <c r="B733" s="95"/>
      <c r="C733" s="95"/>
      <c r="D733" s="95"/>
      <c r="E733" s="93"/>
      <c r="F733" s="93"/>
      <c r="G733" s="94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</row>
    <row r="734" spans="1:32" ht="13">
      <c r="A734" s="95"/>
      <c r="B734" s="95"/>
      <c r="C734" s="95"/>
      <c r="D734" s="95"/>
      <c r="E734" s="93"/>
      <c r="F734" s="93"/>
      <c r="G734" s="94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</row>
    <row r="735" spans="1:32" ht="13">
      <c r="A735" s="95"/>
      <c r="B735" s="95"/>
      <c r="C735" s="95"/>
      <c r="D735" s="95"/>
      <c r="E735" s="93"/>
      <c r="F735" s="93"/>
      <c r="G735" s="94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</row>
    <row r="736" spans="1:32" ht="13">
      <c r="A736" s="95"/>
      <c r="B736" s="95"/>
      <c r="C736" s="95"/>
      <c r="D736" s="95"/>
      <c r="E736" s="93"/>
      <c r="F736" s="93"/>
      <c r="G736" s="94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</row>
    <row r="737" spans="1:32" ht="13">
      <c r="A737" s="95"/>
      <c r="B737" s="95"/>
      <c r="C737" s="95"/>
      <c r="D737" s="95"/>
      <c r="E737" s="93"/>
      <c r="F737" s="93"/>
      <c r="G737" s="94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</row>
    <row r="738" spans="1:32" ht="13">
      <c r="A738" s="95"/>
      <c r="B738" s="95"/>
      <c r="C738" s="95"/>
      <c r="D738" s="95"/>
      <c r="E738" s="93"/>
      <c r="F738" s="93"/>
      <c r="G738" s="94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</row>
    <row r="739" spans="1:32" ht="13">
      <c r="A739" s="95"/>
      <c r="B739" s="95"/>
      <c r="C739" s="95"/>
      <c r="D739" s="95"/>
      <c r="E739" s="93"/>
      <c r="F739" s="93"/>
      <c r="G739" s="94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</row>
    <row r="740" spans="1:32" ht="13">
      <c r="A740" s="95"/>
      <c r="B740" s="95"/>
      <c r="C740" s="95"/>
      <c r="D740" s="95"/>
      <c r="E740" s="93"/>
      <c r="F740" s="93"/>
      <c r="G740" s="94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</row>
    <row r="741" spans="1:32" ht="13">
      <c r="A741" s="95"/>
      <c r="B741" s="95"/>
      <c r="C741" s="95"/>
      <c r="D741" s="95"/>
      <c r="E741" s="93"/>
      <c r="F741" s="93"/>
      <c r="G741" s="94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</row>
    <row r="742" spans="1:32" ht="13">
      <c r="A742" s="95"/>
      <c r="B742" s="95"/>
      <c r="C742" s="95"/>
      <c r="D742" s="95"/>
      <c r="E742" s="93"/>
      <c r="F742" s="93"/>
      <c r="G742" s="94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</row>
    <row r="743" spans="1:32" ht="13">
      <c r="A743" s="95"/>
      <c r="B743" s="95"/>
      <c r="C743" s="95"/>
      <c r="D743" s="95"/>
      <c r="E743" s="93"/>
      <c r="F743" s="93"/>
      <c r="G743" s="94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</row>
    <row r="744" spans="1:32" ht="13">
      <c r="A744" s="95"/>
      <c r="B744" s="95"/>
      <c r="C744" s="95"/>
      <c r="D744" s="95"/>
      <c r="E744" s="93"/>
      <c r="F744" s="93"/>
      <c r="G744" s="94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</row>
    <row r="745" spans="1:32" ht="13">
      <c r="A745" s="95"/>
      <c r="B745" s="95"/>
      <c r="C745" s="95"/>
      <c r="D745" s="95"/>
      <c r="E745" s="93"/>
      <c r="F745" s="93"/>
      <c r="G745" s="94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</row>
    <row r="746" spans="1:32" ht="13">
      <c r="A746" s="95"/>
      <c r="B746" s="95"/>
      <c r="C746" s="95"/>
      <c r="D746" s="95"/>
      <c r="E746" s="93"/>
      <c r="F746" s="93"/>
      <c r="G746" s="94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</row>
    <row r="747" spans="1:32" ht="13">
      <c r="A747" s="95"/>
      <c r="B747" s="95"/>
      <c r="C747" s="95"/>
      <c r="D747" s="95"/>
      <c r="E747" s="93"/>
      <c r="F747" s="93"/>
      <c r="G747" s="94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</row>
    <row r="748" spans="1:32" ht="13">
      <c r="A748" s="95"/>
      <c r="B748" s="95"/>
      <c r="C748" s="95"/>
      <c r="D748" s="95"/>
      <c r="E748" s="93"/>
      <c r="F748" s="93"/>
      <c r="G748" s="94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</row>
    <row r="749" spans="1:32" ht="13">
      <c r="A749" s="95"/>
      <c r="B749" s="95"/>
      <c r="C749" s="95"/>
      <c r="D749" s="95"/>
      <c r="E749" s="93"/>
      <c r="F749" s="93"/>
      <c r="G749" s="94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</row>
    <row r="750" spans="1:32" ht="13">
      <c r="A750" s="95"/>
      <c r="B750" s="95"/>
      <c r="C750" s="95"/>
      <c r="D750" s="95"/>
      <c r="E750" s="93"/>
      <c r="F750" s="93"/>
      <c r="G750" s="94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</row>
    <row r="751" spans="1:32" ht="13">
      <c r="A751" s="95"/>
      <c r="B751" s="95"/>
      <c r="C751" s="95"/>
      <c r="D751" s="95"/>
      <c r="E751" s="93"/>
      <c r="F751" s="93"/>
      <c r="G751" s="94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</row>
    <row r="752" spans="1:32" ht="13">
      <c r="A752" s="95"/>
      <c r="B752" s="95"/>
      <c r="C752" s="95"/>
      <c r="D752" s="95"/>
      <c r="E752" s="93"/>
      <c r="F752" s="93"/>
      <c r="G752" s="94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</row>
    <row r="753" spans="1:32" ht="13">
      <c r="A753" s="95"/>
      <c r="B753" s="95"/>
      <c r="C753" s="95"/>
      <c r="D753" s="95"/>
      <c r="E753" s="93"/>
      <c r="F753" s="93"/>
      <c r="G753" s="94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</row>
    <row r="754" spans="1:32" ht="13">
      <c r="A754" s="95"/>
      <c r="B754" s="95"/>
      <c r="C754" s="95"/>
      <c r="D754" s="95"/>
      <c r="E754" s="93"/>
      <c r="F754" s="93"/>
      <c r="G754" s="94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</row>
    <row r="755" spans="1:32" ht="13">
      <c r="A755" s="95"/>
      <c r="B755" s="95"/>
      <c r="C755" s="95"/>
      <c r="D755" s="95"/>
      <c r="E755" s="93"/>
      <c r="F755" s="93"/>
      <c r="G755" s="94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</row>
    <row r="756" spans="1:32" ht="13">
      <c r="A756" s="95"/>
      <c r="B756" s="95"/>
      <c r="C756" s="95"/>
      <c r="D756" s="95"/>
      <c r="E756" s="93"/>
      <c r="F756" s="93"/>
      <c r="G756" s="94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</row>
    <row r="757" spans="1:32" ht="13">
      <c r="A757" s="95"/>
      <c r="B757" s="95"/>
      <c r="C757" s="95"/>
      <c r="D757" s="95"/>
      <c r="E757" s="93"/>
      <c r="F757" s="93"/>
      <c r="G757" s="94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</row>
    <row r="758" spans="1:32" ht="13">
      <c r="A758" s="95"/>
      <c r="B758" s="95"/>
      <c r="C758" s="95"/>
      <c r="D758" s="95"/>
      <c r="E758" s="93"/>
      <c r="F758" s="93"/>
      <c r="G758" s="94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</row>
    <row r="759" spans="1:32" ht="13">
      <c r="A759" s="95"/>
      <c r="B759" s="95"/>
      <c r="C759" s="95"/>
      <c r="D759" s="95"/>
      <c r="E759" s="93"/>
      <c r="F759" s="93"/>
      <c r="G759" s="94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</row>
    <row r="760" spans="1:32" ht="13">
      <c r="A760" s="95"/>
      <c r="B760" s="95"/>
      <c r="C760" s="95"/>
      <c r="D760" s="95"/>
      <c r="E760" s="93"/>
      <c r="F760" s="93"/>
      <c r="G760" s="94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</row>
    <row r="761" spans="1:32" ht="13">
      <c r="A761" s="95"/>
      <c r="B761" s="95"/>
      <c r="C761" s="95"/>
      <c r="D761" s="95"/>
      <c r="E761" s="93"/>
      <c r="F761" s="93"/>
      <c r="G761" s="94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</row>
    <row r="762" spans="1:32" ht="13">
      <c r="A762" s="95"/>
      <c r="B762" s="95"/>
      <c r="C762" s="95"/>
      <c r="D762" s="95"/>
      <c r="E762" s="93"/>
      <c r="F762" s="93"/>
      <c r="G762" s="94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</row>
    <row r="763" spans="1:32" ht="13">
      <c r="A763" s="95"/>
      <c r="B763" s="95"/>
      <c r="C763" s="95"/>
      <c r="D763" s="95"/>
      <c r="E763" s="93"/>
      <c r="F763" s="93"/>
      <c r="G763" s="94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</row>
    <row r="764" spans="1:32" ht="13">
      <c r="A764" s="95"/>
      <c r="B764" s="95"/>
      <c r="C764" s="95"/>
      <c r="D764" s="95"/>
      <c r="E764" s="93"/>
      <c r="F764" s="93"/>
      <c r="G764" s="94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</row>
    <row r="765" spans="1:32" ht="13">
      <c r="A765" s="95"/>
      <c r="B765" s="95"/>
      <c r="C765" s="95"/>
      <c r="D765" s="95"/>
      <c r="E765" s="93"/>
      <c r="F765" s="93"/>
      <c r="G765" s="94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</row>
    <row r="766" spans="1:32" ht="13">
      <c r="A766" s="95"/>
      <c r="B766" s="95"/>
      <c r="C766" s="95"/>
      <c r="D766" s="95"/>
      <c r="E766" s="93"/>
      <c r="F766" s="93"/>
      <c r="G766" s="94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</row>
    <row r="767" spans="1:32" ht="13">
      <c r="A767" s="95"/>
      <c r="B767" s="95"/>
      <c r="C767" s="95"/>
      <c r="D767" s="95"/>
      <c r="E767" s="93"/>
      <c r="F767" s="93"/>
      <c r="G767" s="94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</row>
    <row r="768" spans="1:32" ht="13">
      <c r="A768" s="95"/>
      <c r="B768" s="95"/>
      <c r="C768" s="95"/>
      <c r="D768" s="95"/>
      <c r="E768" s="93"/>
      <c r="F768" s="93"/>
      <c r="G768" s="94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</row>
    <row r="769" spans="1:32" ht="13">
      <c r="A769" s="95"/>
      <c r="B769" s="95"/>
      <c r="C769" s="95"/>
      <c r="D769" s="95"/>
      <c r="E769" s="93"/>
      <c r="F769" s="93"/>
      <c r="G769" s="94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</row>
    <row r="770" spans="1:32" ht="13">
      <c r="A770" s="95"/>
      <c r="B770" s="95"/>
      <c r="C770" s="95"/>
      <c r="D770" s="95"/>
      <c r="E770" s="93"/>
      <c r="F770" s="93"/>
      <c r="G770" s="94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</row>
    <row r="771" spans="1:32" ht="13">
      <c r="A771" s="95"/>
      <c r="B771" s="95"/>
      <c r="C771" s="95"/>
      <c r="D771" s="95"/>
      <c r="E771" s="93"/>
      <c r="F771" s="93"/>
      <c r="G771" s="94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</row>
    <row r="772" spans="1:32" ht="13">
      <c r="A772" s="95"/>
      <c r="B772" s="95"/>
      <c r="C772" s="95"/>
      <c r="D772" s="95"/>
      <c r="E772" s="93"/>
      <c r="F772" s="93"/>
      <c r="G772" s="94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</row>
    <row r="773" spans="1:32" ht="13">
      <c r="A773" s="95"/>
      <c r="B773" s="95"/>
      <c r="C773" s="95"/>
      <c r="D773" s="95"/>
      <c r="E773" s="93"/>
      <c r="F773" s="93"/>
      <c r="G773" s="94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</row>
    <row r="774" spans="1:32" ht="13">
      <c r="A774" s="95"/>
      <c r="B774" s="95"/>
      <c r="C774" s="95"/>
      <c r="D774" s="95"/>
      <c r="E774" s="93"/>
      <c r="F774" s="93"/>
      <c r="G774" s="94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</row>
    <row r="775" spans="1:32" ht="13">
      <c r="A775" s="95"/>
      <c r="B775" s="95"/>
      <c r="C775" s="95"/>
      <c r="D775" s="95"/>
      <c r="E775" s="93"/>
      <c r="F775" s="93"/>
      <c r="G775" s="94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</row>
    <row r="776" spans="1:32" ht="13">
      <c r="A776" s="95"/>
      <c r="B776" s="95"/>
      <c r="C776" s="95"/>
      <c r="D776" s="95"/>
      <c r="E776" s="93"/>
      <c r="F776" s="93"/>
      <c r="G776" s="94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</row>
    <row r="777" spans="1:32" ht="13">
      <c r="A777" s="95"/>
      <c r="B777" s="95"/>
      <c r="C777" s="95"/>
      <c r="D777" s="95"/>
      <c r="E777" s="93"/>
      <c r="F777" s="93"/>
      <c r="G777" s="94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</row>
    <row r="778" spans="1:32" ht="13">
      <c r="A778" s="95"/>
      <c r="B778" s="95"/>
      <c r="C778" s="95"/>
      <c r="D778" s="95"/>
      <c r="E778" s="93"/>
      <c r="F778" s="93"/>
      <c r="G778" s="94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</row>
    <row r="779" spans="1:32" ht="13">
      <c r="A779" s="95"/>
      <c r="B779" s="95"/>
      <c r="C779" s="95"/>
      <c r="D779" s="95"/>
      <c r="E779" s="93"/>
      <c r="F779" s="93"/>
      <c r="G779" s="94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</row>
    <row r="780" spans="1:32" ht="13">
      <c r="A780" s="95"/>
      <c r="B780" s="95"/>
      <c r="C780" s="95"/>
      <c r="D780" s="95"/>
      <c r="E780" s="93"/>
      <c r="F780" s="93"/>
      <c r="G780" s="94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</row>
    <row r="781" spans="1:32" ht="13">
      <c r="A781" s="95"/>
      <c r="B781" s="95"/>
      <c r="C781" s="95"/>
      <c r="D781" s="95"/>
      <c r="E781" s="93"/>
      <c r="F781" s="93"/>
      <c r="G781" s="94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</row>
    <row r="782" spans="1:32" ht="13">
      <c r="A782" s="95"/>
      <c r="B782" s="95"/>
      <c r="C782" s="95"/>
      <c r="D782" s="95"/>
      <c r="E782" s="93"/>
      <c r="F782" s="93"/>
      <c r="G782" s="94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</row>
    <row r="783" spans="1:32" ht="13">
      <c r="A783" s="95"/>
      <c r="B783" s="95"/>
      <c r="C783" s="95"/>
      <c r="D783" s="95"/>
      <c r="E783" s="93"/>
      <c r="F783" s="93"/>
      <c r="G783" s="94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</row>
    <row r="784" spans="1:32" ht="13">
      <c r="A784" s="95"/>
      <c r="B784" s="95"/>
      <c r="C784" s="95"/>
      <c r="D784" s="95"/>
      <c r="E784" s="93"/>
      <c r="F784" s="93"/>
      <c r="G784" s="94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</row>
    <row r="785" spans="1:32" ht="13">
      <c r="A785" s="95"/>
      <c r="B785" s="95"/>
      <c r="C785" s="95"/>
      <c r="D785" s="95"/>
      <c r="E785" s="93"/>
      <c r="F785" s="93"/>
      <c r="G785" s="94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</row>
    <row r="786" spans="1:32" ht="13">
      <c r="A786" s="95"/>
      <c r="B786" s="95"/>
      <c r="C786" s="95"/>
      <c r="D786" s="95"/>
      <c r="E786" s="93"/>
      <c r="F786" s="93"/>
      <c r="G786" s="94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</row>
    <row r="787" spans="1:32" ht="13">
      <c r="A787" s="95"/>
      <c r="B787" s="95"/>
      <c r="C787" s="95"/>
      <c r="D787" s="95"/>
      <c r="E787" s="93"/>
      <c r="F787" s="93"/>
      <c r="G787" s="94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</row>
    <row r="788" spans="1:32" ht="13">
      <c r="A788" s="95"/>
      <c r="B788" s="95"/>
      <c r="C788" s="95"/>
      <c r="D788" s="95"/>
      <c r="E788" s="93"/>
      <c r="F788" s="93"/>
      <c r="G788" s="94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</row>
    <row r="789" spans="1:32" ht="13">
      <c r="A789" s="95"/>
      <c r="B789" s="95"/>
      <c r="C789" s="95"/>
      <c r="D789" s="95"/>
      <c r="E789" s="93"/>
      <c r="F789" s="93"/>
      <c r="G789" s="94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</row>
    <row r="790" spans="1:32" ht="13">
      <c r="A790" s="95"/>
      <c r="B790" s="95"/>
      <c r="C790" s="95"/>
      <c r="D790" s="95"/>
      <c r="E790" s="93"/>
      <c r="F790" s="93"/>
      <c r="G790" s="94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</row>
    <row r="791" spans="1:32" ht="13">
      <c r="A791" s="95"/>
      <c r="B791" s="95"/>
      <c r="C791" s="95"/>
      <c r="D791" s="95"/>
      <c r="E791" s="93"/>
      <c r="F791" s="93"/>
      <c r="G791" s="94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</row>
    <row r="792" spans="1:32" ht="13">
      <c r="A792" s="95"/>
      <c r="B792" s="95"/>
      <c r="C792" s="95"/>
      <c r="D792" s="95"/>
      <c r="E792" s="93"/>
      <c r="F792" s="93"/>
      <c r="G792" s="94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</row>
    <row r="793" spans="1:32" ht="13">
      <c r="A793" s="95"/>
      <c r="B793" s="95"/>
      <c r="C793" s="95"/>
      <c r="D793" s="95"/>
      <c r="E793" s="93"/>
      <c r="F793" s="93"/>
      <c r="G793" s="94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</row>
    <row r="794" spans="1:32" ht="13">
      <c r="A794" s="95"/>
      <c r="B794" s="95"/>
      <c r="C794" s="95"/>
      <c r="D794" s="95"/>
      <c r="E794" s="93"/>
      <c r="F794" s="93"/>
      <c r="G794" s="94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</row>
    <row r="795" spans="1:32" ht="13">
      <c r="A795" s="95"/>
      <c r="B795" s="95"/>
      <c r="C795" s="95"/>
      <c r="D795" s="95"/>
      <c r="E795" s="93"/>
      <c r="F795" s="93"/>
      <c r="G795" s="94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</row>
    <row r="796" spans="1:32" ht="13">
      <c r="A796" s="95"/>
      <c r="B796" s="95"/>
      <c r="C796" s="95"/>
      <c r="D796" s="95"/>
      <c r="E796" s="93"/>
      <c r="F796" s="93"/>
      <c r="G796" s="94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</row>
    <row r="797" spans="1:32" ht="13">
      <c r="A797" s="95"/>
      <c r="B797" s="95"/>
      <c r="C797" s="95"/>
      <c r="D797" s="95"/>
      <c r="E797" s="93"/>
      <c r="F797" s="93"/>
      <c r="G797" s="94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</row>
    <row r="798" spans="1:32" ht="13">
      <c r="A798" s="95"/>
      <c r="B798" s="95"/>
      <c r="C798" s="95"/>
      <c r="D798" s="95"/>
      <c r="E798" s="93"/>
      <c r="F798" s="93"/>
      <c r="G798" s="94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</row>
    <row r="799" spans="1:32" ht="13">
      <c r="A799" s="95"/>
      <c r="B799" s="95"/>
      <c r="C799" s="95"/>
      <c r="D799" s="95"/>
      <c r="E799" s="93"/>
      <c r="F799" s="93"/>
      <c r="G799" s="94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</row>
    <row r="800" spans="1:32" ht="13">
      <c r="A800" s="95"/>
      <c r="B800" s="95"/>
      <c r="C800" s="95"/>
      <c r="D800" s="95"/>
      <c r="E800" s="93"/>
      <c r="F800" s="93"/>
      <c r="G800" s="94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</row>
    <row r="801" spans="1:32" ht="13">
      <c r="A801" s="95"/>
      <c r="B801" s="95"/>
      <c r="C801" s="95"/>
      <c r="D801" s="95"/>
      <c r="E801" s="93"/>
      <c r="F801" s="93"/>
      <c r="G801" s="94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</row>
    <row r="802" spans="1:32" ht="13">
      <c r="A802" s="95"/>
      <c r="B802" s="95"/>
      <c r="C802" s="95"/>
      <c r="D802" s="95"/>
      <c r="E802" s="93"/>
      <c r="F802" s="93"/>
      <c r="G802" s="94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</row>
    <row r="803" spans="1:32" ht="13">
      <c r="A803" s="95"/>
      <c r="B803" s="95"/>
      <c r="C803" s="95"/>
      <c r="D803" s="95"/>
      <c r="E803" s="93"/>
      <c r="F803" s="93"/>
      <c r="G803" s="94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</row>
    <row r="804" spans="1:32" ht="13">
      <c r="A804" s="95"/>
      <c r="B804" s="95"/>
      <c r="C804" s="95"/>
      <c r="D804" s="95"/>
      <c r="E804" s="93"/>
      <c r="F804" s="93"/>
      <c r="G804" s="94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</row>
    <row r="805" spans="1:32" ht="13">
      <c r="A805" s="95"/>
      <c r="B805" s="95"/>
      <c r="C805" s="95"/>
      <c r="D805" s="95"/>
      <c r="E805" s="93"/>
      <c r="F805" s="93"/>
      <c r="G805" s="94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</row>
    <row r="806" spans="1:32" ht="13">
      <c r="A806" s="95"/>
      <c r="B806" s="95"/>
      <c r="C806" s="95"/>
      <c r="D806" s="95"/>
      <c r="E806" s="93"/>
      <c r="F806" s="93"/>
      <c r="G806" s="94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</row>
    <row r="807" spans="1:32" ht="13">
      <c r="A807" s="95"/>
      <c r="B807" s="95"/>
      <c r="C807" s="95"/>
      <c r="D807" s="95"/>
      <c r="E807" s="93"/>
      <c r="F807" s="93"/>
      <c r="G807" s="94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</row>
    <row r="808" spans="1:32" ht="13">
      <c r="A808" s="95"/>
      <c r="B808" s="95"/>
      <c r="C808" s="95"/>
      <c r="D808" s="95"/>
      <c r="E808" s="93"/>
      <c r="F808" s="93"/>
      <c r="G808" s="94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</row>
    <row r="809" spans="1:32" ht="13">
      <c r="A809" s="95"/>
      <c r="B809" s="95"/>
      <c r="C809" s="95"/>
      <c r="D809" s="95"/>
      <c r="E809" s="93"/>
      <c r="F809" s="93"/>
      <c r="G809" s="94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</row>
    <row r="810" spans="1:32" ht="13">
      <c r="A810" s="95"/>
      <c r="B810" s="95"/>
      <c r="C810" s="95"/>
      <c r="D810" s="95"/>
      <c r="E810" s="93"/>
      <c r="F810" s="93"/>
      <c r="G810" s="94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</row>
    <row r="811" spans="1:32" ht="13">
      <c r="A811" s="95"/>
      <c r="B811" s="95"/>
      <c r="C811" s="95"/>
      <c r="D811" s="95"/>
      <c r="E811" s="93"/>
      <c r="F811" s="93"/>
      <c r="G811" s="94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</row>
    <row r="812" spans="1:32" ht="13">
      <c r="A812" s="95"/>
      <c r="B812" s="95"/>
      <c r="C812" s="95"/>
      <c r="D812" s="95"/>
      <c r="E812" s="93"/>
      <c r="F812" s="93"/>
      <c r="G812" s="94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</row>
    <row r="813" spans="1:32" ht="13">
      <c r="A813" s="95"/>
      <c r="B813" s="95"/>
      <c r="C813" s="95"/>
      <c r="D813" s="95"/>
      <c r="E813" s="93"/>
      <c r="F813" s="93"/>
      <c r="G813" s="94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</row>
    <row r="814" spans="1:32" ht="13">
      <c r="A814" s="95"/>
      <c r="B814" s="95"/>
      <c r="C814" s="95"/>
      <c r="D814" s="95"/>
      <c r="E814" s="93"/>
      <c r="F814" s="93"/>
      <c r="G814" s="94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</row>
    <row r="815" spans="1:32" ht="13">
      <c r="A815" s="95"/>
      <c r="B815" s="95"/>
      <c r="C815" s="95"/>
      <c r="D815" s="95"/>
      <c r="E815" s="93"/>
      <c r="F815" s="93"/>
      <c r="G815" s="94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</row>
    <row r="816" spans="1:32" ht="13">
      <c r="A816" s="95"/>
      <c r="B816" s="95"/>
      <c r="C816" s="95"/>
      <c r="D816" s="95"/>
      <c r="E816" s="93"/>
      <c r="F816" s="93"/>
      <c r="G816" s="94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</row>
    <row r="817" spans="1:32" ht="13">
      <c r="A817" s="95"/>
      <c r="B817" s="95"/>
      <c r="C817" s="95"/>
      <c r="D817" s="95"/>
      <c r="E817" s="93"/>
      <c r="F817" s="93"/>
      <c r="G817" s="94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</row>
    <row r="818" spans="1:32" ht="13">
      <c r="A818" s="95"/>
      <c r="B818" s="95"/>
      <c r="C818" s="95"/>
      <c r="D818" s="95"/>
      <c r="E818" s="93"/>
      <c r="F818" s="93"/>
      <c r="G818" s="94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</row>
    <row r="819" spans="1:32" ht="13">
      <c r="A819" s="95"/>
      <c r="B819" s="95"/>
      <c r="C819" s="95"/>
      <c r="D819" s="95"/>
      <c r="E819" s="93"/>
      <c r="F819" s="93"/>
      <c r="G819" s="94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</row>
    <row r="820" spans="1:32" ht="13">
      <c r="A820" s="95"/>
      <c r="B820" s="95"/>
      <c r="C820" s="95"/>
      <c r="D820" s="95"/>
      <c r="E820" s="93"/>
      <c r="F820" s="93"/>
      <c r="G820" s="94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</row>
    <row r="821" spans="1:32" ht="13">
      <c r="A821" s="95"/>
      <c r="B821" s="95"/>
      <c r="C821" s="95"/>
      <c r="D821" s="95"/>
      <c r="E821" s="93"/>
      <c r="F821" s="93"/>
      <c r="G821" s="94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</row>
    <row r="822" spans="1:32" ht="13">
      <c r="A822" s="95"/>
      <c r="B822" s="95"/>
      <c r="C822" s="95"/>
      <c r="D822" s="95"/>
      <c r="E822" s="93"/>
      <c r="F822" s="93"/>
      <c r="G822" s="94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</row>
    <row r="823" spans="1:32" ht="13">
      <c r="A823" s="95"/>
      <c r="B823" s="95"/>
      <c r="C823" s="95"/>
      <c r="D823" s="95"/>
      <c r="E823" s="93"/>
      <c r="F823" s="93"/>
      <c r="G823" s="94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</row>
    <row r="824" spans="1:32" ht="13">
      <c r="A824" s="95"/>
      <c r="B824" s="95"/>
      <c r="C824" s="95"/>
      <c r="D824" s="95"/>
      <c r="E824" s="93"/>
      <c r="F824" s="93"/>
      <c r="G824" s="94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</row>
    <row r="825" spans="1:32" ht="13">
      <c r="A825" s="95"/>
      <c r="B825" s="95"/>
      <c r="C825" s="95"/>
      <c r="D825" s="95"/>
      <c r="E825" s="93"/>
      <c r="F825" s="93"/>
      <c r="G825" s="94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</row>
    <row r="826" spans="1:32" ht="13">
      <c r="A826" s="95"/>
      <c r="B826" s="95"/>
      <c r="C826" s="95"/>
      <c r="D826" s="95"/>
      <c r="E826" s="93"/>
      <c r="F826" s="93"/>
      <c r="G826" s="94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</row>
    <row r="827" spans="1:32" ht="13">
      <c r="A827" s="95"/>
      <c r="B827" s="95"/>
      <c r="C827" s="95"/>
      <c r="D827" s="95"/>
      <c r="E827" s="93"/>
      <c r="F827" s="93"/>
      <c r="G827" s="94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</row>
    <row r="828" spans="1:32" ht="13">
      <c r="A828" s="95"/>
      <c r="B828" s="95"/>
      <c r="C828" s="95"/>
      <c r="D828" s="95"/>
      <c r="E828" s="93"/>
      <c r="F828" s="93"/>
      <c r="G828" s="94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</row>
    <row r="829" spans="1:32" ht="13">
      <c r="A829" s="95"/>
      <c r="B829" s="95"/>
      <c r="C829" s="95"/>
      <c r="D829" s="95"/>
      <c r="E829" s="93"/>
      <c r="F829" s="93"/>
      <c r="G829" s="94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</row>
    <row r="830" spans="1:32" ht="13">
      <c r="A830" s="95"/>
      <c r="B830" s="95"/>
      <c r="C830" s="95"/>
      <c r="D830" s="95"/>
      <c r="E830" s="93"/>
      <c r="F830" s="93"/>
      <c r="G830" s="94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</row>
    <row r="831" spans="1:32" ht="13">
      <c r="A831" s="95"/>
      <c r="B831" s="95"/>
      <c r="C831" s="95"/>
      <c r="D831" s="95"/>
      <c r="E831" s="93"/>
      <c r="F831" s="93"/>
      <c r="G831" s="94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</row>
    <row r="832" spans="1:32" ht="13">
      <c r="A832" s="95"/>
      <c r="B832" s="95"/>
      <c r="C832" s="95"/>
      <c r="D832" s="95"/>
      <c r="E832" s="93"/>
      <c r="F832" s="93"/>
      <c r="G832" s="94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</row>
    <row r="833" spans="1:32" ht="13">
      <c r="A833" s="95"/>
      <c r="B833" s="95"/>
      <c r="C833" s="95"/>
      <c r="D833" s="95"/>
      <c r="E833" s="93"/>
      <c r="F833" s="93"/>
      <c r="G833" s="94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</row>
    <row r="834" spans="1:32" ht="13">
      <c r="A834" s="95"/>
      <c r="B834" s="95"/>
      <c r="C834" s="95"/>
      <c r="D834" s="95"/>
      <c r="E834" s="93"/>
      <c r="F834" s="93"/>
      <c r="G834" s="94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</row>
    <row r="835" spans="1:32" ht="13">
      <c r="A835" s="95"/>
      <c r="B835" s="95"/>
      <c r="C835" s="95"/>
      <c r="D835" s="95"/>
      <c r="E835" s="93"/>
      <c r="F835" s="93"/>
      <c r="G835" s="94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</row>
    <row r="836" spans="1:32" ht="13">
      <c r="A836" s="95"/>
      <c r="B836" s="95"/>
      <c r="C836" s="95"/>
      <c r="D836" s="95"/>
      <c r="E836" s="93"/>
      <c r="F836" s="93"/>
      <c r="G836" s="94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</row>
    <row r="837" spans="1:32" ht="13">
      <c r="A837" s="95"/>
      <c r="B837" s="95"/>
      <c r="C837" s="95"/>
      <c r="D837" s="95"/>
      <c r="E837" s="93"/>
      <c r="F837" s="93"/>
      <c r="G837" s="94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</row>
    <row r="838" spans="1:32" ht="13">
      <c r="A838" s="95"/>
      <c r="B838" s="95"/>
      <c r="C838" s="95"/>
      <c r="D838" s="95"/>
      <c r="E838" s="93"/>
      <c r="F838" s="93"/>
      <c r="G838" s="94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</row>
    <row r="839" spans="1:32" ht="13">
      <c r="A839" s="95"/>
      <c r="B839" s="95"/>
      <c r="C839" s="95"/>
      <c r="D839" s="95"/>
      <c r="E839" s="93"/>
      <c r="F839" s="93"/>
      <c r="G839" s="94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</row>
    <row r="840" spans="1:32" ht="13">
      <c r="A840" s="95"/>
      <c r="B840" s="95"/>
      <c r="C840" s="95"/>
      <c r="D840" s="95"/>
      <c r="E840" s="93"/>
      <c r="F840" s="93"/>
      <c r="G840" s="94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</row>
    <row r="841" spans="1:32" ht="13">
      <c r="A841" s="95"/>
      <c r="B841" s="95"/>
      <c r="C841" s="95"/>
      <c r="D841" s="95"/>
      <c r="E841" s="93"/>
      <c r="F841" s="93"/>
      <c r="G841" s="94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</row>
    <row r="842" spans="1:32" ht="13">
      <c r="A842" s="95"/>
      <c r="B842" s="95"/>
      <c r="C842" s="95"/>
      <c r="D842" s="95"/>
      <c r="E842" s="93"/>
      <c r="F842" s="93"/>
      <c r="G842" s="94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</row>
    <row r="843" spans="1:32" ht="13">
      <c r="A843" s="95"/>
      <c r="B843" s="95"/>
      <c r="C843" s="95"/>
      <c r="D843" s="95"/>
      <c r="E843" s="93"/>
      <c r="F843" s="93"/>
      <c r="G843" s="94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</row>
    <row r="844" spans="1:32" ht="13">
      <c r="A844" s="95"/>
      <c r="B844" s="95"/>
      <c r="C844" s="95"/>
      <c r="D844" s="95"/>
      <c r="E844" s="93"/>
      <c r="F844" s="93"/>
      <c r="G844" s="94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</row>
    <row r="845" spans="1:32" ht="13">
      <c r="A845" s="95"/>
      <c r="B845" s="95"/>
      <c r="C845" s="95"/>
      <c r="D845" s="95"/>
      <c r="E845" s="93"/>
      <c r="F845" s="93"/>
      <c r="G845" s="94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</row>
    <row r="846" spans="1:32" ht="13">
      <c r="A846" s="95"/>
      <c r="B846" s="95"/>
      <c r="C846" s="95"/>
      <c r="D846" s="95"/>
      <c r="E846" s="93"/>
      <c r="F846" s="93"/>
      <c r="G846" s="94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</row>
    <row r="847" spans="1:32" ht="13">
      <c r="A847" s="95"/>
      <c r="B847" s="95"/>
      <c r="C847" s="95"/>
      <c r="D847" s="95"/>
      <c r="E847" s="93"/>
      <c r="F847" s="93"/>
      <c r="G847" s="94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</row>
    <row r="848" spans="1:32" ht="13">
      <c r="A848" s="95"/>
      <c r="B848" s="95"/>
      <c r="C848" s="95"/>
      <c r="D848" s="95"/>
      <c r="E848" s="93"/>
      <c r="F848" s="93"/>
      <c r="G848" s="94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</row>
    <row r="849" spans="1:32" ht="13">
      <c r="A849" s="95"/>
      <c r="B849" s="95"/>
      <c r="C849" s="95"/>
      <c r="D849" s="95"/>
      <c r="E849" s="93"/>
      <c r="F849" s="93"/>
      <c r="G849" s="94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</row>
    <row r="850" spans="1:32" ht="13">
      <c r="A850" s="95"/>
      <c r="B850" s="95"/>
      <c r="C850" s="95"/>
      <c r="D850" s="95"/>
      <c r="E850" s="93"/>
      <c r="F850" s="93"/>
      <c r="G850" s="94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</row>
    <row r="851" spans="1:32" ht="13">
      <c r="A851" s="95"/>
      <c r="B851" s="95"/>
      <c r="C851" s="95"/>
      <c r="D851" s="95"/>
      <c r="E851" s="93"/>
      <c r="F851" s="93"/>
      <c r="G851" s="94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</row>
    <row r="852" spans="1:32" ht="13">
      <c r="A852" s="95"/>
      <c r="B852" s="95"/>
      <c r="C852" s="95"/>
      <c r="D852" s="95"/>
      <c r="E852" s="93"/>
      <c r="F852" s="93"/>
      <c r="G852" s="94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</row>
    <row r="853" spans="1:32" ht="13">
      <c r="A853" s="95"/>
      <c r="B853" s="95"/>
      <c r="C853" s="95"/>
      <c r="D853" s="95"/>
      <c r="E853" s="93"/>
      <c r="F853" s="93"/>
      <c r="G853" s="94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</row>
    <row r="854" spans="1:32" ht="13">
      <c r="A854" s="95"/>
      <c r="B854" s="95"/>
      <c r="C854" s="95"/>
      <c r="D854" s="95"/>
      <c r="E854" s="93"/>
      <c r="F854" s="93"/>
      <c r="G854" s="94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</row>
    <row r="855" spans="1:32" ht="13">
      <c r="A855" s="95"/>
      <c r="B855" s="95"/>
      <c r="C855" s="95"/>
      <c r="D855" s="95"/>
      <c r="E855" s="93"/>
      <c r="F855" s="93"/>
      <c r="G855" s="94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</row>
    <row r="856" spans="1:32" ht="13">
      <c r="A856" s="95"/>
      <c r="B856" s="95"/>
      <c r="C856" s="95"/>
      <c r="D856" s="95"/>
      <c r="E856" s="93"/>
      <c r="F856" s="93"/>
      <c r="G856" s="94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</row>
    <row r="857" spans="1:32" ht="13">
      <c r="A857" s="95"/>
      <c r="B857" s="95"/>
      <c r="C857" s="95"/>
      <c r="D857" s="95"/>
      <c r="E857" s="93"/>
      <c r="F857" s="93"/>
      <c r="G857" s="94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</row>
    <row r="858" spans="1:32" ht="13">
      <c r="A858" s="95"/>
      <c r="B858" s="95"/>
      <c r="C858" s="95"/>
      <c r="D858" s="95"/>
      <c r="E858" s="93"/>
      <c r="F858" s="93"/>
      <c r="G858" s="94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</row>
    <row r="859" spans="1:32" ht="13">
      <c r="A859" s="95"/>
      <c r="B859" s="95"/>
      <c r="C859" s="95"/>
      <c r="D859" s="95"/>
      <c r="E859" s="93"/>
      <c r="F859" s="93"/>
      <c r="G859" s="94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</row>
    <row r="860" spans="1:32" ht="13">
      <c r="A860" s="95"/>
      <c r="B860" s="95"/>
      <c r="C860" s="95"/>
      <c r="D860" s="95"/>
      <c r="E860" s="93"/>
      <c r="F860" s="93"/>
      <c r="G860" s="94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</row>
    <row r="861" spans="1:32" ht="13">
      <c r="A861" s="95"/>
      <c r="B861" s="95"/>
      <c r="C861" s="95"/>
      <c r="D861" s="95"/>
      <c r="E861" s="93"/>
      <c r="F861" s="93"/>
      <c r="G861" s="94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</row>
    <row r="862" spans="1:32" ht="13">
      <c r="A862" s="95"/>
      <c r="B862" s="95"/>
      <c r="C862" s="95"/>
      <c r="D862" s="95"/>
      <c r="E862" s="93"/>
      <c r="F862" s="93"/>
      <c r="G862" s="94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</row>
    <row r="863" spans="1:32" ht="13">
      <c r="A863" s="95"/>
      <c r="B863" s="95"/>
      <c r="C863" s="95"/>
      <c r="D863" s="95"/>
      <c r="E863" s="93"/>
      <c r="F863" s="93"/>
      <c r="G863" s="94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</row>
    <row r="864" spans="1:32" ht="13">
      <c r="A864" s="95"/>
      <c r="B864" s="95"/>
      <c r="C864" s="95"/>
      <c r="D864" s="95"/>
      <c r="E864" s="93"/>
      <c r="F864" s="93"/>
      <c r="G864" s="94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</row>
    <row r="865" spans="1:32" ht="13">
      <c r="A865" s="95"/>
      <c r="B865" s="95"/>
      <c r="C865" s="95"/>
      <c r="D865" s="95"/>
      <c r="E865" s="93"/>
      <c r="F865" s="93"/>
      <c r="G865" s="94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</row>
    <row r="866" spans="1:32" ht="13">
      <c r="A866" s="95"/>
      <c r="B866" s="95"/>
      <c r="C866" s="95"/>
      <c r="D866" s="95"/>
      <c r="E866" s="93"/>
      <c r="F866" s="93"/>
      <c r="G866" s="94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</row>
    <row r="867" spans="1:32" ht="13">
      <c r="A867" s="95"/>
      <c r="B867" s="95"/>
      <c r="C867" s="95"/>
      <c r="D867" s="95"/>
      <c r="E867" s="93"/>
      <c r="F867" s="93"/>
      <c r="G867" s="94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</row>
    <row r="868" spans="1:32" ht="13">
      <c r="A868" s="95"/>
      <c r="B868" s="95"/>
      <c r="C868" s="95"/>
      <c r="D868" s="95"/>
      <c r="E868" s="93"/>
      <c r="F868" s="93"/>
      <c r="G868" s="94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</row>
    <row r="869" spans="1:32" ht="13">
      <c r="A869" s="95"/>
      <c r="B869" s="95"/>
      <c r="C869" s="95"/>
      <c r="D869" s="95"/>
      <c r="E869" s="93"/>
      <c r="F869" s="93"/>
      <c r="G869" s="94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</row>
    <row r="870" spans="1:32" ht="13">
      <c r="A870" s="95"/>
      <c r="B870" s="95"/>
      <c r="C870" s="95"/>
      <c r="D870" s="95"/>
      <c r="E870" s="93"/>
      <c r="F870" s="93"/>
      <c r="G870" s="94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</row>
    <row r="871" spans="1:32" ht="13">
      <c r="A871" s="95"/>
      <c r="B871" s="95"/>
      <c r="C871" s="95"/>
      <c r="D871" s="95"/>
      <c r="E871" s="93"/>
      <c r="F871" s="93"/>
      <c r="G871" s="94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</row>
    <row r="872" spans="1:32" ht="13">
      <c r="A872" s="95"/>
      <c r="B872" s="95"/>
      <c r="C872" s="95"/>
      <c r="D872" s="95"/>
      <c r="E872" s="93"/>
      <c r="F872" s="93"/>
      <c r="G872" s="94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</row>
    <row r="873" spans="1:32" ht="13">
      <c r="A873" s="95"/>
      <c r="B873" s="95"/>
      <c r="C873" s="95"/>
      <c r="D873" s="95"/>
      <c r="E873" s="93"/>
      <c r="F873" s="93"/>
      <c r="G873" s="94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</row>
    <row r="874" spans="1:32" ht="13">
      <c r="A874" s="95"/>
      <c r="B874" s="95"/>
      <c r="C874" s="95"/>
      <c r="D874" s="95"/>
      <c r="E874" s="93"/>
      <c r="F874" s="93"/>
      <c r="G874" s="94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</row>
    <row r="875" spans="1:32" ht="13">
      <c r="A875" s="95"/>
      <c r="B875" s="95"/>
      <c r="C875" s="95"/>
      <c r="D875" s="95"/>
      <c r="E875" s="93"/>
      <c r="F875" s="93"/>
      <c r="G875" s="94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</row>
    <row r="876" spans="1:32" ht="13">
      <c r="A876" s="95"/>
      <c r="B876" s="95"/>
      <c r="C876" s="95"/>
      <c r="D876" s="95"/>
      <c r="E876" s="93"/>
      <c r="F876" s="93"/>
      <c r="G876" s="94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</row>
    <row r="877" spans="1:32" ht="13">
      <c r="A877" s="95"/>
      <c r="B877" s="95"/>
      <c r="C877" s="95"/>
      <c r="D877" s="95"/>
      <c r="E877" s="93"/>
      <c r="F877" s="93"/>
      <c r="G877" s="94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</row>
    <row r="878" spans="1:32" ht="13">
      <c r="A878" s="95"/>
      <c r="B878" s="95"/>
      <c r="C878" s="95"/>
      <c r="D878" s="95"/>
      <c r="E878" s="93"/>
      <c r="F878" s="93"/>
      <c r="G878" s="94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</row>
    <row r="879" spans="1:32" ht="13">
      <c r="A879" s="95"/>
      <c r="B879" s="95"/>
      <c r="C879" s="95"/>
      <c r="D879" s="95"/>
      <c r="E879" s="93"/>
      <c r="F879" s="93"/>
      <c r="G879" s="94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</row>
    <row r="880" spans="1:32" ht="13">
      <c r="A880" s="95"/>
      <c r="B880" s="95"/>
      <c r="C880" s="95"/>
      <c r="D880" s="95"/>
      <c r="E880" s="93"/>
      <c r="F880" s="93"/>
      <c r="G880" s="94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</row>
    <row r="881" spans="1:32" ht="13">
      <c r="A881" s="95"/>
      <c r="B881" s="95"/>
      <c r="C881" s="95"/>
      <c r="D881" s="95"/>
      <c r="E881" s="93"/>
      <c r="F881" s="93"/>
      <c r="G881" s="94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</row>
    <row r="882" spans="1:32" ht="13">
      <c r="A882" s="95"/>
      <c r="B882" s="95"/>
      <c r="C882" s="95"/>
      <c r="D882" s="95"/>
      <c r="E882" s="93"/>
      <c r="F882" s="93"/>
      <c r="G882" s="94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</row>
    <row r="883" spans="1:32" ht="13">
      <c r="A883" s="95"/>
      <c r="B883" s="95"/>
      <c r="C883" s="95"/>
      <c r="D883" s="95"/>
      <c r="E883" s="93"/>
      <c r="F883" s="93"/>
      <c r="G883" s="94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</row>
    <row r="884" spans="1:32" ht="13">
      <c r="A884" s="95"/>
      <c r="B884" s="95"/>
      <c r="C884" s="95"/>
      <c r="D884" s="95"/>
      <c r="E884" s="93"/>
      <c r="F884" s="93"/>
      <c r="G884" s="94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</row>
    <row r="885" spans="1:32" ht="13">
      <c r="A885" s="95"/>
      <c r="B885" s="95"/>
      <c r="C885" s="95"/>
      <c r="D885" s="95"/>
      <c r="E885" s="93"/>
      <c r="F885" s="93"/>
      <c r="G885" s="94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</row>
    <row r="886" spans="1:32" ht="13">
      <c r="A886" s="95"/>
      <c r="B886" s="95"/>
      <c r="C886" s="95"/>
      <c r="D886" s="95"/>
      <c r="E886" s="93"/>
      <c r="F886" s="93"/>
      <c r="G886" s="94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</row>
    <row r="887" spans="1:32" ht="13">
      <c r="A887" s="95"/>
      <c r="B887" s="95"/>
      <c r="C887" s="95"/>
      <c r="D887" s="95"/>
      <c r="E887" s="93"/>
      <c r="F887" s="93"/>
      <c r="G887" s="94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</row>
    <row r="888" spans="1:32" ht="13">
      <c r="A888" s="95"/>
      <c r="B888" s="95"/>
      <c r="C888" s="95"/>
      <c r="D888" s="95"/>
      <c r="E888" s="93"/>
      <c r="F888" s="93"/>
      <c r="G888" s="94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</row>
    <row r="889" spans="1:32" ht="13">
      <c r="A889" s="95"/>
      <c r="B889" s="95"/>
      <c r="C889" s="95"/>
      <c r="D889" s="95"/>
      <c r="E889" s="93"/>
      <c r="F889" s="93"/>
      <c r="G889" s="94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</row>
    <row r="890" spans="1:32" ht="13">
      <c r="A890" s="95"/>
      <c r="B890" s="95"/>
      <c r="C890" s="95"/>
      <c r="D890" s="95"/>
      <c r="E890" s="93"/>
      <c r="F890" s="93"/>
      <c r="G890" s="94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</row>
    <row r="891" spans="1:32" ht="13">
      <c r="A891" s="95"/>
      <c r="B891" s="95"/>
      <c r="C891" s="95"/>
      <c r="D891" s="95"/>
      <c r="E891" s="93"/>
      <c r="F891" s="93"/>
      <c r="G891" s="94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</row>
    <row r="892" spans="1:32" ht="13">
      <c r="A892" s="95"/>
      <c r="B892" s="95"/>
      <c r="C892" s="95"/>
      <c r="D892" s="95"/>
      <c r="E892" s="93"/>
      <c r="F892" s="93"/>
      <c r="G892" s="94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</row>
    <row r="893" spans="1:32" ht="13">
      <c r="A893" s="95"/>
      <c r="B893" s="95"/>
      <c r="C893" s="95"/>
      <c r="D893" s="95"/>
      <c r="E893" s="93"/>
      <c r="F893" s="93"/>
      <c r="G893" s="94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</row>
    <row r="894" spans="1:32" ht="13">
      <c r="A894" s="95"/>
      <c r="B894" s="95"/>
      <c r="C894" s="95"/>
      <c r="D894" s="95"/>
      <c r="E894" s="93"/>
      <c r="F894" s="93"/>
      <c r="G894" s="94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</row>
    <row r="895" spans="1:32" ht="13">
      <c r="A895" s="95"/>
      <c r="B895" s="95"/>
      <c r="C895" s="95"/>
      <c r="D895" s="95"/>
      <c r="E895" s="93"/>
      <c r="F895" s="93"/>
      <c r="G895" s="94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</row>
    <row r="896" spans="1:32" ht="13">
      <c r="A896" s="95"/>
      <c r="B896" s="95"/>
      <c r="C896" s="95"/>
      <c r="D896" s="95"/>
      <c r="E896" s="93"/>
      <c r="F896" s="93"/>
      <c r="G896" s="94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</row>
    <row r="897" spans="1:32" ht="13">
      <c r="A897" s="95"/>
      <c r="B897" s="95"/>
      <c r="C897" s="95"/>
      <c r="D897" s="95"/>
      <c r="E897" s="93"/>
      <c r="F897" s="93"/>
      <c r="G897" s="94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</row>
    <row r="898" spans="1:32" ht="13">
      <c r="A898" s="95"/>
      <c r="B898" s="95"/>
      <c r="C898" s="95"/>
      <c r="D898" s="95"/>
      <c r="E898" s="93"/>
      <c r="F898" s="93"/>
      <c r="G898" s="94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</row>
    <row r="899" spans="1:32" ht="13">
      <c r="A899" s="95"/>
      <c r="B899" s="95"/>
      <c r="C899" s="95"/>
      <c r="D899" s="95"/>
      <c r="E899" s="93"/>
      <c r="F899" s="93"/>
      <c r="G899" s="94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</row>
    <row r="900" spans="1:32" ht="13">
      <c r="A900" s="95"/>
      <c r="B900" s="95"/>
      <c r="C900" s="95"/>
      <c r="D900" s="95"/>
      <c r="E900" s="93"/>
      <c r="F900" s="93"/>
      <c r="G900" s="94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</row>
    <row r="901" spans="1:32" ht="13">
      <c r="A901" s="95"/>
      <c r="B901" s="95"/>
      <c r="C901" s="95"/>
      <c r="D901" s="95"/>
      <c r="E901" s="93"/>
      <c r="F901" s="93"/>
      <c r="G901" s="94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</row>
    <row r="902" spans="1:32" ht="13">
      <c r="A902" s="95"/>
      <c r="B902" s="95"/>
      <c r="C902" s="95"/>
      <c r="D902" s="95"/>
      <c r="E902" s="93"/>
      <c r="F902" s="93"/>
      <c r="G902" s="94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</row>
    <row r="903" spans="1:32" ht="13">
      <c r="A903" s="95"/>
      <c r="B903" s="95"/>
      <c r="C903" s="95"/>
      <c r="D903" s="95"/>
      <c r="E903" s="93"/>
      <c r="F903" s="93"/>
      <c r="G903" s="94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</row>
    <row r="904" spans="1:32" ht="13">
      <c r="A904" s="95"/>
      <c r="B904" s="95"/>
      <c r="C904" s="95"/>
      <c r="D904" s="95"/>
      <c r="E904" s="93"/>
      <c r="F904" s="93"/>
      <c r="G904" s="94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</row>
    <row r="905" spans="1:32" ht="13">
      <c r="A905" s="95"/>
      <c r="B905" s="95"/>
      <c r="C905" s="95"/>
      <c r="D905" s="95"/>
      <c r="E905" s="93"/>
      <c r="F905" s="93"/>
      <c r="G905" s="94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</row>
    <row r="906" spans="1:32" ht="13">
      <c r="A906" s="95"/>
      <c r="B906" s="95"/>
      <c r="C906" s="95"/>
      <c r="D906" s="95"/>
      <c r="E906" s="93"/>
      <c r="F906" s="93"/>
      <c r="G906" s="94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</row>
    <row r="907" spans="1:32" ht="13">
      <c r="A907" s="95"/>
      <c r="B907" s="95"/>
      <c r="C907" s="95"/>
      <c r="D907" s="95"/>
      <c r="E907" s="93"/>
      <c r="F907" s="93"/>
      <c r="G907" s="94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</row>
    <row r="908" spans="1:32" ht="13">
      <c r="A908" s="95"/>
      <c r="B908" s="95"/>
      <c r="C908" s="95"/>
      <c r="D908" s="95"/>
      <c r="E908" s="93"/>
      <c r="F908" s="93"/>
      <c r="G908" s="94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</row>
    <row r="909" spans="1:32" ht="13">
      <c r="A909" s="95"/>
      <c r="B909" s="95"/>
      <c r="C909" s="95"/>
      <c r="D909" s="95"/>
      <c r="E909" s="93"/>
      <c r="F909" s="93"/>
      <c r="G909" s="94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</row>
    <row r="910" spans="1:32" ht="13">
      <c r="A910" s="95"/>
      <c r="B910" s="95"/>
      <c r="C910" s="95"/>
      <c r="D910" s="95"/>
      <c r="E910" s="93"/>
      <c r="F910" s="93"/>
      <c r="G910" s="94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</row>
    <row r="911" spans="1:32" ht="13">
      <c r="A911" s="95"/>
      <c r="B911" s="95"/>
      <c r="C911" s="95"/>
      <c r="D911" s="95"/>
      <c r="E911" s="93"/>
      <c r="F911" s="93"/>
      <c r="G911" s="94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</row>
    <row r="912" spans="1:32" ht="13">
      <c r="A912" s="95"/>
      <c r="B912" s="95"/>
      <c r="C912" s="95"/>
      <c r="D912" s="95"/>
      <c r="E912" s="93"/>
      <c r="F912" s="93"/>
      <c r="G912" s="94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</row>
  </sheetData>
  <mergeCells count="8">
    <mergeCell ref="U1:X1"/>
    <mergeCell ref="Y1:AB1"/>
    <mergeCell ref="AC1:AF1"/>
    <mergeCell ref="B1:D1"/>
    <mergeCell ref="E1:H1"/>
    <mergeCell ref="I1:L1"/>
    <mergeCell ref="M1:P1"/>
    <mergeCell ref="Q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HE84"/>
  <sheetViews>
    <sheetView showGridLines="0" tabSelected="1" workbookViewId="0">
      <pane xSplit="4" ySplit="4" topLeftCell="E13" activePane="bottomRight" state="frozen"/>
      <selection pane="topRight" activeCell="E1" sqref="E1"/>
      <selection pane="bottomLeft" activeCell="A5" sqref="A5"/>
      <selection pane="bottomRight" activeCell="H34" sqref="H34"/>
    </sheetView>
  </sheetViews>
  <sheetFormatPr baseColWidth="10" defaultColWidth="12.6640625" defaultRowHeight="15.75" customHeight="1"/>
  <cols>
    <col min="1" max="1" width="2.1640625" customWidth="1"/>
    <col min="2" max="2" width="35.1640625" bestFit="1" customWidth="1"/>
    <col min="3" max="3" width="4" customWidth="1"/>
    <col min="4" max="4" width="8.6640625" bestFit="1" customWidth="1"/>
    <col min="5" max="5" width="12.33203125" bestFit="1" customWidth="1"/>
    <col min="6" max="11" width="11.1640625" bestFit="1" customWidth="1"/>
    <col min="12" max="12" width="11.5" bestFit="1" customWidth="1"/>
    <col min="13" max="16" width="11.1640625" bestFit="1" customWidth="1"/>
    <col min="17" max="17" width="12.5" bestFit="1" customWidth="1"/>
    <col min="18" max="18" width="12.1640625" bestFit="1" customWidth="1"/>
    <col min="19" max="19" width="11.83203125" bestFit="1" customWidth="1"/>
    <col min="20" max="20" width="12.5" bestFit="1" customWidth="1"/>
    <col min="21" max="22" width="11.6640625" bestFit="1" customWidth="1"/>
    <col min="23" max="23" width="12.1640625" bestFit="1" customWidth="1"/>
    <col min="24" max="24" width="11.83203125" bestFit="1" customWidth="1"/>
    <col min="25" max="27" width="11.6640625" bestFit="1" customWidth="1"/>
    <col min="28" max="28" width="12.1640625" bestFit="1" customWidth="1"/>
    <col min="29" max="29" width="12.5" bestFit="1" customWidth="1"/>
    <col min="30" max="30" width="11.6640625" bestFit="1" customWidth="1"/>
    <col min="31" max="31" width="12.1640625" bestFit="1" customWidth="1"/>
    <col min="32" max="32" width="11.83203125" bestFit="1" customWidth="1"/>
    <col min="33" max="33" width="11.6640625" bestFit="1" customWidth="1"/>
    <col min="34" max="34" width="11.83203125" bestFit="1" customWidth="1"/>
    <col min="35" max="35" width="12.5" bestFit="1" customWidth="1"/>
    <col min="36" max="36" width="11.83203125" bestFit="1" customWidth="1"/>
    <col min="37" max="37" width="12.33203125" bestFit="1" customWidth="1"/>
    <col min="38" max="38" width="11.83203125" bestFit="1" customWidth="1"/>
    <col min="39" max="39" width="11.6640625" bestFit="1" customWidth="1"/>
    <col min="40" max="40" width="12.1640625" bestFit="1" customWidth="1"/>
    <col min="41" max="41" width="12.5" bestFit="1" customWidth="1"/>
    <col min="42" max="43" width="12.33203125" bestFit="1" customWidth="1"/>
    <col min="44" max="45" width="12.6640625" bestFit="1" customWidth="1"/>
    <col min="46" max="46" width="12.83203125" bestFit="1" customWidth="1"/>
    <col min="47" max="50" width="12.33203125" bestFit="1" customWidth="1"/>
    <col min="51" max="51" width="12.5" bestFit="1" customWidth="1"/>
    <col min="52" max="52" width="12.33203125" bestFit="1" customWidth="1"/>
    <col min="53" max="53" width="13.5" bestFit="1" customWidth="1"/>
    <col min="54" max="54" width="12.6640625" bestFit="1" customWidth="1"/>
    <col min="55" max="55" width="12.5" bestFit="1" customWidth="1"/>
    <col min="56" max="56" width="12.6640625" bestFit="1" customWidth="1"/>
    <col min="57" max="57" width="12.5" bestFit="1" customWidth="1"/>
    <col min="58" max="58" width="12.33203125" bestFit="1" customWidth="1"/>
    <col min="59" max="59" width="12.6640625" bestFit="1" customWidth="1"/>
    <col min="60" max="60" width="13" bestFit="1" customWidth="1"/>
    <col min="61" max="61" width="13.33203125" bestFit="1" customWidth="1"/>
    <col min="62" max="62" width="12.33203125" bestFit="1" customWidth="1"/>
    <col min="63" max="63" width="12.6640625" bestFit="1" customWidth="1"/>
    <col min="64" max="64" width="12.83203125" bestFit="1" customWidth="1"/>
    <col min="65" max="65" width="12.6640625" bestFit="1" customWidth="1"/>
    <col min="66" max="66" width="12.5" bestFit="1" customWidth="1"/>
    <col min="67" max="69" width="13.33203125" bestFit="1" customWidth="1"/>
    <col min="70" max="70" width="12.33203125" bestFit="1" customWidth="1"/>
    <col min="71" max="72" width="13" bestFit="1" customWidth="1"/>
    <col min="73" max="75" width="13.1640625" bestFit="1" customWidth="1"/>
    <col min="76" max="77" width="13.5" bestFit="1" customWidth="1"/>
    <col min="78" max="78" width="13.1640625" bestFit="1" customWidth="1"/>
    <col min="79" max="79" width="13" bestFit="1" customWidth="1"/>
    <col min="80" max="80" width="13.1640625" bestFit="1" customWidth="1"/>
    <col min="81" max="81" width="12.83203125" bestFit="1" customWidth="1"/>
    <col min="82" max="82" width="13.33203125" bestFit="1" customWidth="1"/>
    <col min="83" max="83" width="13.5" bestFit="1" customWidth="1"/>
    <col min="84" max="84" width="13" bestFit="1" customWidth="1"/>
    <col min="85" max="85" width="13.1640625" bestFit="1" customWidth="1"/>
    <col min="86" max="86" width="12.83203125" bestFit="1" customWidth="1"/>
    <col min="87" max="88" width="13.5" bestFit="1" customWidth="1"/>
  </cols>
  <sheetData>
    <row r="1" spans="1:889" ht="13">
      <c r="A1" s="12"/>
      <c r="B1" s="17" t="s">
        <v>12</v>
      </c>
      <c r="C1" s="12"/>
      <c r="D1" s="12"/>
      <c r="E1" s="18">
        <v>1</v>
      </c>
      <c r="F1" s="18">
        <v>1</v>
      </c>
      <c r="G1" s="18">
        <v>1</v>
      </c>
      <c r="H1" s="18">
        <v>1</v>
      </c>
      <c r="I1" s="18">
        <v>1</v>
      </c>
      <c r="J1" s="18">
        <v>1</v>
      </c>
      <c r="K1" s="18">
        <v>1</v>
      </c>
      <c r="L1" s="18">
        <v>1</v>
      </c>
      <c r="M1" s="18">
        <v>1</v>
      </c>
      <c r="N1" s="18">
        <v>1</v>
      </c>
      <c r="O1" s="18">
        <v>1</v>
      </c>
      <c r="P1" s="18">
        <v>1</v>
      </c>
      <c r="Q1" s="18">
        <v>2</v>
      </c>
      <c r="R1" s="18">
        <v>2</v>
      </c>
      <c r="S1" s="18">
        <v>2</v>
      </c>
      <c r="T1" s="18">
        <v>2</v>
      </c>
      <c r="U1" s="18">
        <v>2</v>
      </c>
      <c r="V1" s="18">
        <v>2</v>
      </c>
      <c r="W1" s="18">
        <v>2</v>
      </c>
      <c r="X1" s="18">
        <v>2</v>
      </c>
      <c r="Y1" s="18">
        <v>2</v>
      </c>
      <c r="Z1" s="18">
        <v>2</v>
      </c>
      <c r="AA1" s="18">
        <v>2</v>
      </c>
      <c r="AB1" s="18">
        <v>2</v>
      </c>
      <c r="AC1" s="18">
        <v>3</v>
      </c>
      <c r="AD1" s="18">
        <v>3</v>
      </c>
      <c r="AE1" s="18">
        <v>3</v>
      </c>
      <c r="AF1" s="18">
        <v>3</v>
      </c>
      <c r="AG1" s="18">
        <v>3</v>
      </c>
      <c r="AH1" s="18">
        <v>3</v>
      </c>
      <c r="AI1" s="18">
        <v>3</v>
      </c>
      <c r="AJ1" s="18">
        <v>3</v>
      </c>
      <c r="AK1" s="18">
        <v>3</v>
      </c>
      <c r="AL1" s="18">
        <v>3</v>
      </c>
      <c r="AM1" s="18">
        <v>3</v>
      </c>
      <c r="AN1" s="18">
        <v>3</v>
      </c>
      <c r="AO1" s="18">
        <v>4</v>
      </c>
      <c r="AP1" s="18">
        <v>4</v>
      </c>
      <c r="AQ1" s="18">
        <v>4</v>
      </c>
      <c r="AR1" s="18">
        <v>4</v>
      </c>
      <c r="AS1" s="18">
        <v>4</v>
      </c>
      <c r="AT1" s="18">
        <v>4</v>
      </c>
      <c r="AU1" s="18">
        <v>4</v>
      </c>
      <c r="AV1" s="18">
        <v>4</v>
      </c>
      <c r="AW1" s="18">
        <v>4</v>
      </c>
      <c r="AX1" s="18">
        <v>4</v>
      </c>
      <c r="AY1" s="18">
        <v>4</v>
      </c>
      <c r="AZ1" s="18">
        <v>4</v>
      </c>
      <c r="BA1" s="18">
        <v>5</v>
      </c>
      <c r="BB1" s="18">
        <v>5</v>
      </c>
      <c r="BC1" s="18">
        <v>5</v>
      </c>
      <c r="BD1" s="18">
        <v>5</v>
      </c>
      <c r="BE1" s="18">
        <v>5</v>
      </c>
      <c r="BF1" s="18">
        <v>5</v>
      </c>
      <c r="BG1" s="18">
        <v>5</v>
      </c>
      <c r="BH1" s="18">
        <v>5</v>
      </c>
      <c r="BI1" s="18">
        <v>5</v>
      </c>
      <c r="BJ1" s="18">
        <v>5</v>
      </c>
      <c r="BK1" s="18">
        <v>5</v>
      </c>
      <c r="BL1" s="18">
        <v>5</v>
      </c>
      <c r="BM1" s="18">
        <v>6</v>
      </c>
      <c r="BN1" s="18">
        <v>6</v>
      </c>
      <c r="BO1" s="18">
        <v>6</v>
      </c>
      <c r="BP1" s="18">
        <v>6</v>
      </c>
      <c r="BQ1" s="18">
        <v>6</v>
      </c>
      <c r="BR1" s="18">
        <v>6</v>
      </c>
      <c r="BS1" s="18">
        <v>6</v>
      </c>
      <c r="BT1" s="18">
        <v>6</v>
      </c>
      <c r="BU1" s="18">
        <v>6</v>
      </c>
      <c r="BV1" s="18">
        <v>6</v>
      </c>
      <c r="BW1" s="18">
        <v>6</v>
      </c>
      <c r="BX1" s="18">
        <v>6</v>
      </c>
      <c r="BY1" s="18">
        <v>7</v>
      </c>
      <c r="BZ1" s="18">
        <v>7</v>
      </c>
      <c r="CA1" s="18">
        <v>7</v>
      </c>
      <c r="CB1" s="18">
        <v>7</v>
      </c>
      <c r="CC1" s="18">
        <v>7</v>
      </c>
      <c r="CD1" s="18">
        <v>7</v>
      </c>
      <c r="CE1" s="18">
        <v>7</v>
      </c>
      <c r="CF1" s="18">
        <v>7</v>
      </c>
      <c r="CG1" s="18">
        <v>7</v>
      </c>
      <c r="CH1" s="18">
        <v>7</v>
      </c>
      <c r="CI1" s="18">
        <v>7</v>
      </c>
      <c r="CJ1" s="18">
        <v>7</v>
      </c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1"/>
      <c r="IT1" s="21"/>
      <c r="IU1" s="21"/>
      <c r="IV1" s="21"/>
      <c r="IW1" s="21"/>
      <c r="IX1" s="21"/>
      <c r="IY1" s="21"/>
      <c r="IZ1" s="21"/>
      <c r="JA1" s="21"/>
      <c r="JB1" s="21"/>
      <c r="JC1" s="21"/>
      <c r="JD1" s="21"/>
      <c r="JE1" s="21"/>
      <c r="JF1" s="21"/>
      <c r="JG1" s="21"/>
      <c r="JH1" s="21"/>
      <c r="JI1" s="21"/>
      <c r="JJ1" s="21"/>
      <c r="JK1" s="21"/>
      <c r="JL1" s="21"/>
      <c r="JM1" s="21"/>
      <c r="JN1" s="21"/>
      <c r="JO1" s="21"/>
      <c r="JP1" s="21"/>
      <c r="JQ1" s="21"/>
      <c r="JR1" s="21"/>
      <c r="JS1" s="21"/>
      <c r="JT1" s="21"/>
      <c r="JU1" s="21"/>
      <c r="JV1" s="21"/>
      <c r="JW1" s="21"/>
      <c r="JX1" s="21"/>
      <c r="JY1" s="21"/>
      <c r="JZ1" s="21"/>
      <c r="KA1" s="21"/>
      <c r="KB1" s="21"/>
      <c r="KC1" s="21"/>
      <c r="KD1" s="21"/>
      <c r="KE1" s="21"/>
      <c r="KF1" s="21"/>
      <c r="KG1" s="21"/>
      <c r="KH1" s="21"/>
      <c r="KI1" s="21"/>
      <c r="KJ1" s="21"/>
      <c r="KK1" s="21"/>
      <c r="KL1" s="21"/>
      <c r="KM1" s="21"/>
      <c r="KN1" s="21"/>
      <c r="KO1" s="21"/>
      <c r="KP1" s="21"/>
      <c r="KQ1" s="21"/>
      <c r="KR1" s="21"/>
      <c r="KS1" s="21"/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J1" s="21"/>
      <c r="LK1" s="21"/>
      <c r="LL1" s="21"/>
      <c r="LM1" s="21"/>
      <c r="LN1" s="21"/>
      <c r="LO1" s="21"/>
      <c r="LP1" s="21"/>
      <c r="LQ1" s="21"/>
      <c r="LR1" s="21"/>
      <c r="LS1" s="21"/>
      <c r="LT1" s="21"/>
      <c r="LU1" s="21"/>
      <c r="LV1" s="21"/>
      <c r="LW1" s="21"/>
      <c r="LX1" s="21"/>
      <c r="LY1" s="21"/>
      <c r="LZ1" s="21"/>
      <c r="MA1" s="21"/>
      <c r="MB1" s="21"/>
      <c r="MC1" s="21"/>
      <c r="MD1" s="21"/>
      <c r="ME1" s="21"/>
      <c r="MF1" s="21"/>
      <c r="MG1" s="21"/>
      <c r="MH1" s="21"/>
      <c r="MI1" s="21"/>
      <c r="MJ1" s="21"/>
      <c r="MK1" s="21"/>
      <c r="ML1" s="21"/>
      <c r="MM1" s="21"/>
      <c r="MN1" s="21"/>
      <c r="MO1" s="21"/>
      <c r="MP1" s="21"/>
      <c r="MQ1" s="21"/>
      <c r="MR1" s="21"/>
      <c r="MS1" s="21"/>
      <c r="MT1" s="21"/>
      <c r="MU1" s="21"/>
      <c r="MV1" s="21"/>
      <c r="MW1" s="21"/>
      <c r="MX1" s="21"/>
      <c r="MY1" s="21"/>
      <c r="MZ1" s="21"/>
      <c r="NA1" s="21"/>
      <c r="NB1" s="21"/>
      <c r="NC1" s="21"/>
      <c r="ND1" s="21"/>
      <c r="NE1" s="21"/>
      <c r="NF1" s="21"/>
      <c r="NG1" s="21"/>
      <c r="NH1" s="21"/>
      <c r="NI1" s="21"/>
      <c r="NJ1" s="21"/>
      <c r="NK1" s="21"/>
      <c r="NL1" s="21"/>
      <c r="NM1" s="21"/>
      <c r="NN1" s="21"/>
      <c r="NO1" s="21"/>
      <c r="NP1" s="21"/>
      <c r="NQ1" s="21"/>
      <c r="NR1" s="21"/>
      <c r="NS1" s="21"/>
      <c r="NT1" s="21"/>
      <c r="NU1" s="21"/>
      <c r="NV1" s="21"/>
      <c r="NW1" s="21"/>
      <c r="NX1" s="21"/>
      <c r="NY1" s="21"/>
      <c r="NZ1" s="21"/>
      <c r="OA1" s="21"/>
      <c r="OB1" s="21"/>
      <c r="OC1" s="21"/>
      <c r="OD1" s="21"/>
      <c r="OE1" s="21"/>
      <c r="OF1" s="21"/>
      <c r="OG1" s="21"/>
      <c r="OH1" s="21"/>
      <c r="OI1" s="21"/>
      <c r="OJ1" s="21"/>
      <c r="OK1" s="21"/>
      <c r="OL1" s="21"/>
      <c r="OM1" s="21"/>
      <c r="ON1" s="21"/>
      <c r="OO1" s="21"/>
      <c r="OP1" s="21"/>
      <c r="OQ1" s="21"/>
      <c r="OR1" s="21"/>
      <c r="OS1" s="21"/>
      <c r="OT1" s="21"/>
      <c r="OU1" s="21"/>
      <c r="OV1" s="21"/>
      <c r="OW1" s="21"/>
      <c r="OX1" s="21"/>
      <c r="OY1" s="21"/>
      <c r="OZ1" s="21"/>
      <c r="PA1" s="21"/>
      <c r="PB1" s="21"/>
      <c r="PC1" s="21"/>
      <c r="PD1" s="21"/>
      <c r="PE1" s="21"/>
      <c r="PF1" s="21"/>
      <c r="PG1" s="21"/>
      <c r="PH1" s="21"/>
      <c r="PI1" s="21"/>
      <c r="PJ1" s="21"/>
      <c r="PK1" s="21"/>
      <c r="PL1" s="21"/>
      <c r="PM1" s="21"/>
      <c r="PN1" s="21"/>
      <c r="PO1" s="21"/>
      <c r="PP1" s="21"/>
      <c r="PQ1" s="21"/>
      <c r="PR1" s="21"/>
      <c r="PS1" s="21"/>
      <c r="PT1" s="21"/>
      <c r="PU1" s="21"/>
      <c r="PV1" s="21"/>
      <c r="PW1" s="21"/>
      <c r="PX1" s="21"/>
      <c r="PY1" s="21"/>
      <c r="PZ1" s="21"/>
      <c r="QA1" s="21"/>
      <c r="QB1" s="21"/>
      <c r="QC1" s="21"/>
      <c r="QD1" s="21"/>
      <c r="QE1" s="21"/>
      <c r="QF1" s="21"/>
      <c r="QG1" s="21"/>
      <c r="QH1" s="21"/>
      <c r="QI1" s="21"/>
      <c r="QJ1" s="21"/>
      <c r="QK1" s="21"/>
      <c r="QL1" s="21"/>
      <c r="QM1" s="21"/>
      <c r="QN1" s="21"/>
      <c r="QO1" s="21"/>
      <c r="QP1" s="21"/>
      <c r="QQ1" s="21"/>
      <c r="QR1" s="21"/>
      <c r="QS1" s="21"/>
      <c r="QT1" s="21"/>
      <c r="QU1" s="21"/>
      <c r="QV1" s="21"/>
      <c r="QW1" s="21"/>
      <c r="QX1" s="21"/>
      <c r="QY1" s="21"/>
      <c r="QZ1" s="21"/>
      <c r="RA1" s="21"/>
      <c r="RB1" s="21"/>
      <c r="RC1" s="21"/>
      <c r="RD1" s="21"/>
      <c r="RE1" s="21"/>
      <c r="RF1" s="21"/>
      <c r="RG1" s="21"/>
      <c r="RH1" s="21"/>
      <c r="RI1" s="21"/>
      <c r="RJ1" s="21"/>
      <c r="RK1" s="21"/>
      <c r="RL1" s="21"/>
      <c r="RM1" s="21"/>
      <c r="RN1" s="21"/>
      <c r="RO1" s="21"/>
      <c r="RP1" s="21"/>
      <c r="RQ1" s="21"/>
      <c r="RR1" s="21"/>
      <c r="RS1" s="21"/>
      <c r="RT1" s="21"/>
      <c r="RU1" s="21"/>
      <c r="RV1" s="21"/>
      <c r="RW1" s="21"/>
      <c r="RX1" s="21"/>
      <c r="RY1" s="21"/>
      <c r="RZ1" s="21"/>
      <c r="SA1" s="21"/>
      <c r="SB1" s="21"/>
      <c r="SC1" s="21"/>
      <c r="SD1" s="21"/>
      <c r="SE1" s="21"/>
      <c r="SF1" s="21"/>
      <c r="SG1" s="21"/>
      <c r="SH1" s="21"/>
      <c r="SI1" s="21"/>
      <c r="SJ1" s="21"/>
      <c r="SK1" s="21"/>
      <c r="SL1" s="21"/>
      <c r="SM1" s="21"/>
      <c r="SN1" s="21"/>
      <c r="SO1" s="21"/>
      <c r="SP1" s="21"/>
      <c r="SQ1" s="21"/>
      <c r="SR1" s="21"/>
      <c r="SS1" s="21"/>
      <c r="ST1" s="21"/>
      <c r="SU1" s="21"/>
      <c r="SV1" s="21"/>
      <c r="SW1" s="21"/>
      <c r="SX1" s="21"/>
      <c r="SY1" s="21"/>
      <c r="SZ1" s="21"/>
      <c r="TA1" s="21"/>
      <c r="TB1" s="21"/>
      <c r="TC1" s="21"/>
      <c r="TD1" s="21"/>
      <c r="TE1" s="21"/>
      <c r="TF1" s="21"/>
      <c r="TG1" s="21"/>
      <c r="TH1" s="21"/>
      <c r="TI1" s="21"/>
      <c r="TJ1" s="21"/>
      <c r="TK1" s="21"/>
      <c r="TL1" s="21"/>
      <c r="TM1" s="21"/>
      <c r="TN1" s="21"/>
      <c r="TO1" s="21"/>
      <c r="TP1" s="21"/>
      <c r="TQ1" s="21"/>
      <c r="TR1" s="21"/>
      <c r="TS1" s="21"/>
      <c r="TT1" s="21"/>
      <c r="TU1" s="21"/>
      <c r="TV1" s="21"/>
      <c r="TW1" s="21"/>
      <c r="TX1" s="21"/>
      <c r="TY1" s="21"/>
      <c r="TZ1" s="21"/>
      <c r="UA1" s="21"/>
      <c r="UB1" s="21"/>
      <c r="UC1" s="21"/>
      <c r="UD1" s="21"/>
      <c r="UE1" s="21"/>
      <c r="UF1" s="21"/>
      <c r="UG1" s="21"/>
      <c r="UH1" s="21"/>
      <c r="UI1" s="21"/>
      <c r="UJ1" s="21"/>
      <c r="UK1" s="21"/>
      <c r="UL1" s="21"/>
      <c r="UM1" s="21"/>
      <c r="UN1" s="21"/>
      <c r="UO1" s="21"/>
      <c r="UP1" s="21"/>
      <c r="UQ1" s="21"/>
      <c r="UR1" s="21"/>
      <c r="US1" s="21"/>
      <c r="UT1" s="21"/>
      <c r="UU1" s="21"/>
      <c r="UV1" s="21"/>
      <c r="UW1" s="21"/>
      <c r="UX1" s="21"/>
      <c r="UY1" s="21"/>
      <c r="UZ1" s="21"/>
      <c r="VA1" s="21"/>
      <c r="VB1" s="21"/>
      <c r="VC1" s="21"/>
      <c r="VD1" s="21"/>
      <c r="VE1" s="21"/>
      <c r="VF1" s="21"/>
      <c r="VG1" s="21"/>
      <c r="VH1" s="21"/>
      <c r="VI1" s="21"/>
      <c r="VJ1" s="21"/>
      <c r="VK1" s="21"/>
      <c r="VL1" s="21"/>
      <c r="VM1" s="21"/>
      <c r="VN1" s="21"/>
      <c r="VO1" s="21"/>
      <c r="VP1" s="21"/>
      <c r="VQ1" s="21"/>
      <c r="VR1" s="21"/>
      <c r="VS1" s="21"/>
      <c r="VT1" s="21"/>
      <c r="VU1" s="21"/>
      <c r="VV1" s="21"/>
      <c r="VW1" s="21"/>
      <c r="VX1" s="21"/>
      <c r="VY1" s="21"/>
      <c r="VZ1" s="21"/>
      <c r="WA1" s="21"/>
      <c r="WB1" s="21"/>
      <c r="WC1" s="21"/>
      <c r="WD1" s="21"/>
      <c r="WE1" s="21"/>
      <c r="WF1" s="21"/>
      <c r="WG1" s="21"/>
      <c r="WH1" s="21"/>
      <c r="WI1" s="21"/>
      <c r="WJ1" s="21"/>
      <c r="WK1" s="21"/>
      <c r="WL1" s="21"/>
      <c r="WM1" s="21"/>
      <c r="WN1" s="21"/>
      <c r="WO1" s="21"/>
      <c r="WP1" s="21"/>
      <c r="WQ1" s="21"/>
      <c r="WR1" s="21"/>
      <c r="WS1" s="21"/>
      <c r="WT1" s="21"/>
      <c r="WU1" s="21"/>
      <c r="WV1" s="21"/>
      <c r="WW1" s="21"/>
      <c r="WX1" s="21"/>
      <c r="WY1" s="21"/>
      <c r="WZ1" s="21"/>
      <c r="XA1" s="21"/>
      <c r="XB1" s="21"/>
      <c r="XC1" s="21"/>
      <c r="XD1" s="21"/>
      <c r="XE1" s="21"/>
      <c r="XF1" s="21"/>
      <c r="XG1" s="21"/>
      <c r="XH1" s="21"/>
      <c r="XI1" s="21"/>
      <c r="XJ1" s="21"/>
      <c r="XK1" s="21"/>
      <c r="XL1" s="21"/>
      <c r="XM1" s="21"/>
      <c r="XN1" s="21"/>
      <c r="XO1" s="21"/>
      <c r="XP1" s="21"/>
      <c r="XQ1" s="21"/>
      <c r="XR1" s="21"/>
      <c r="XS1" s="21"/>
      <c r="XT1" s="21"/>
      <c r="XU1" s="21"/>
      <c r="XV1" s="21"/>
      <c r="XW1" s="21"/>
      <c r="XX1" s="21"/>
      <c r="XY1" s="21"/>
      <c r="XZ1" s="21"/>
      <c r="YA1" s="21"/>
      <c r="YB1" s="21"/>
      <c r="YC1" s="21"/>
      <c r="YD1" s="21"/>
      <c r="YE1" s="21"/>
      <c r="YF1" s="21"/>
      <c r="YG1" s="21"/>
      <c r="YH1" s="21"/>
      <c r="YI1" s="21"/>
      <c r="YJ1" s="21"/>
      <c r="YK1" s="21"/>
      <c r="YL1" s="21"/>
      <c r="YM1" s="21"/>
      <c r="YN1" s="21"/>
      <c r="YO1" s="21"/>
      <c r="YP1" s="21"/>
      <c r="YQ1" s="21"/>
      <c r="YR1" s="21"/>
      <c r="YS1" s="21"/>
      <c r="YT1" s="21"/>
      <c r="YU1" s="21"/>
      <c r="YV1" s="21"/>
      <c r="YW1" s="21"/>
      <c r="YX1" s="21"/>
      <c r="YY1" s="21"/>
      <c r="YZ1" s="21"/>
      <c r="ZA1" s="21"/>
      <c r="ZB1" s="21"/>
      <c r="ZC1" s="21"/>
      <c r="ZD1" s="21"/>
      <c r="ZE1" s="21"/>
      <c r="ZF1" s="21"/>
      <c r="ZG1" s="21"/>
      <c r="ZH1" s="21"/>
      <c r="ZI1" s="21"/>
      <c r="ZJ1" s="21"/>
      <c r="ZK1" s="21"/>
      <c r="ZL1" s="21"/>
      <c r="ZM1" s="21"/>
      <c r="ZN1" s="21"/>
      <c r="ZO1" s="21"/>
      <c r="ZP1" s="21"/>
      <c r="ZQ1" s="21"/>
      <c r="ZR1" s="21"/>
      <c r="ZS1" s="21"/>
      <c r="ZT1" s="21"/>
      <c r="ZU1" s="21"/>
      <c r="ZV1" s="21"/>
      <c r="ZW1" s="21"/>
      <c r="ZX1" s="21"/>
      <c r="ZY1" s="21"/>
      <c r="ZZ1" s="21"/>
      <c r="AAA1" s="21"/>
      <c r="AAB1" s="21"/>
      <c r="AAC1" s="21"/>
      <c r="AAD1" s="21"/>
      <c r="AAE1" s="21"/>
      <c r="AAF1" s="21"/>
      <c r="AAG1" s="21"/>
      <c r="AAH1" s="21"/>
      <c r="AAI1" s="21"/>
      <c r="AAJ1" s="21"/>
      <c r="AAK1" s="21"/>
      <c r="AAL1" s="21"/>
      <c r="AAM1" s="21"/>
      <c r="AAN1" s="21"/>
      <c r="AAO1" s="21"/>
      <c r="AAP1" s="21"/>
      <c r="AAQ1" s="21"/>
      <c r="AAR1" s="21"/>
      <c r="AAS1" s="21"/>
      <c r="AAT1" s="21"/>
      <c r="AAU1" s="21"/>
      <c r="AAV1" s="21"/>
      <c r="AAW1" s="21"/>
      <c r="AAX1" s="21"/>
      <c r="AAY1" s="21"/>
      <c r="AAZ1" s="21"/>
      <c r="ABA1" s="21"/>
      <c r="ABB1" s="21"/>
      <c r="ABC1" s="21"/>
      <c r="ABD1" s="21"/>
      <c r="ABE1" s="21"/>
      <c r="ABF1" s="21"/>
      <c r="ABG1" s="21"/>
      <c r="ABH1" s="21"/>
      <c r="ABI1" s="21"/>
      <c r="ABJ1" s="21"/>
      <c r="ABK1" s="21"/>
      <c r="ABL1" s="21"/>
      <c r="ABM1" s="21"/>
      <c r="ABN1" s="21"/>
      <c r="ABO1" s="21"/>
      <c r="ABP1" s="21"/>
      <c r="ABQ1" s="21"/>
      <c r="ABR1" s="21"/>
      <c r="ABS1" s="21"/>
      <c r="ABT1" s="21"/>
      <c r="ABU1" s="21"/>
      <c r="ABV1" s="21"/>
      <c r="ABW1" s="21"/>
      <c r="ABX1" s="21"/>
      <c r="ABY1" s="21"/>
      <c r="ABZ1" s="21"/>
      <c r="ACA1" s="21"/>
      <c r="ACB1" s="21"/>
      <c r="ACC1" s="21"/>
      <c r="ACD1" s="21"/>
      <c r="ACE1" s="21"/>
      <c r="ACF1" s="21"/>
      <c r="ACG1" s="21"/>
      <c r="ACH1" s="21"/>
      <c r="ACI1" s="21"/>
      <c r="ACJ1" s="21"/>
      <c r="ACK1" s="21"/>
      <c r="ACL1" s="21"/>
      <c r="ACM1" s="21"/>
      <c r="ACN1" s="21"/>
      <c r="ACO1" s="21"/>
      <c r="ACP1" s="21"/>
      <c r="ACQ1" s="21"/>
      <c r="ACR1" s="21"/>
      <c r="ACS1" s="21"/>
      <c r="ACT1" s="21"/>
      <c r="ACU1" s="21"/>
      <c r="ACV1" s="21"/>
      <c r="ACW1" s="21"/>
      <c r="ACX1" s="21"/>
      <c r="ACY1" s="21"/>
      <c r="ACZ1" s="21"/>
      <c r="ADA1" s="21"/>
      <c r="ADB1" s="21"/>
      <c r="ADC1" s="21"/>
      <c r="ADD1" s="21"/>
      <c r="ADE1" s="21"/>
      <c r="ADF1" s="21"/>
      <c r="ADG1" s="21"/>
      <c r="ADH1" s="21"/>
      <c r="ADI1" s="21"/>
      <c r="ADJ1" s="21"/>
      <c r="ADK1" s="21"/>
      <c r="ADL1" s="21"/>
      <c r="ADM1" s="21"/>
      <c r="ADN1" s="21"/>
      <c r="ADO1" s="21"/>
      <c r="ADP1" s="21"/>
      <c r="ADQ1" s="21"/>
      <c r="ADR1" s="21"/>
      <c r="ADS1" s="21"/>
      <c r="ADT1" s="21"/>
      <c r="ADU1" s="21"/>
      <c r="ADV1" s="21"/>
      <c r="ADW1" s="21"/>
      <c r="ADX1" s="21"/>
      <c r="ADY1" s="21"/>
      <c r="ADZ1" s="21"/>
      <c r="AEA1" s="21"/>
      <c r="AEB1" s="21"/>
      <c r="AEC1" s="21"/>
      <c r="AED1" s="21"/>
      <c r="AEE1" s="21"/>
      <c r="AEF1" s="21"/>
      <c r="AEG1" s="21"/>
      <c r="AEH1" s="21"/>
      <c r="AEI1" s="21"/>
      <c r="AEJ1" s="21"/>
      <c r="AEK1" s="21"/>
      <c r="AEL1" s="21"/>
      <c r="AEM1" s="21"/>
      <c r="AEN1" s="21"/>
      <c r="AEO1" s="21"/>
      <c r="AEP1" s="21"/>
      <c r="AEQ1" s="21"/>
      <c r="AER1" s="21"/>
      <c r="AES1" s="21"/>
      <c r="AET1" s="21"/>
      <c r="AEU1" s="21"/>
      <c r="AEV1" s="21"/>
      <c r="AEW1" s="21"/>
      <c r="AEX1" s="21"/>
      <c r="AEY1" s="21"/>
      <c r="AEZ1" s="21"/>
      <c r="AFA1" s="21"/>
      <c r="AFB1" s="21"/>
      <c r="AFC1" s="21"/>
      <c r="AFD1" s="21"/>
      <c r="AFE1" s="21"/>
      <c r="AFF1" s="21"/>
      <c r="AFG1" s="21"/>
      <c r="AFH1" s="21"/>
      <c r="AFI1" s="21"/>
      <c r="AFJ1" s="21"/>
      <c r="AFK1" s="21"/>
      <c r="AFL1" s="21"/>
      <c r="AFM1" s="21"/>
      <c r="AFN1" s="21"/>
      <c r="AFO1" s="21"/>
      <c r="AFP1" s="21"/>
      <c r="AFQ1" s="21"/>
      <c r="AFR1" s="21"/>
      <c r="AFS1" s="21"/>
      <c r="AFT1" s="21"/>
      <c r="AFU1" s="21"/>
      <c r="AFV1" s="21"/>
      <c r="AFW1" s="21"/>
      <c r="AFX1" s="21"/>
      <c r="AFY1" s="21"/>
      <c r="AFZ1" s="21"/>
      <c r="AGA1" s="21"/>
      <c r="AGB1" s="21"/>
      <c r="AGC1" s="21"/>
      <c r="AGD1" s="21"/>
      <c r="AGE1" s="21"/>
      <c r="AGF1" s="21"/>
      <c r="AGG1" s="21"/>
      <c r="AGH1" s="21"/>
      <c r="AGI1" s="21"/>
      <c r="AGJ1" s="21"/>
      <c r="AGK1" s="21"/>
      <c r="AGL1" s="21"/>
      <c r="AGM1" s="21"/>
      <c r="AGN1" s="21"/>
      <c r="AGO1" s="21"/>
      <c r="AGP1" s="21"/>
      <c r="AGQ1" s="21"/>
      <c r="AGR1" s="21"/>
      <c r="AGS1" s="21"/>
      <c r="AGT1" s="21"/>
      <c r="AGU1" s="21"/>
      <c r="AGV1" s="21"/>
      <c r="AGW1" s="21"/>
      <c r="AGX1" s="21"/>
      <c r="AGY1" s="21"/>
      <c r="AGZ1" s="21"/>
      <c r="AHA1" s="21"/>
      <c r="AHB1" s="21"/>
      <c r="AHC1" s="21"/>
      <c r="AHD1" s="21"/>
      <c r="AHE1" s="21"/>
    </row>
    <row r="2" spans="1:889" ht="13">
      <c r="A2" s="12"/>
      <c r="B2" s="17" t="s">
        <v>13</v>
      </c>
      <c r="C2" s="12"/>
      <c r="D2" s="12"/>
      <c r="E2" s="18">
        <f t="shared" ref="E2:CJ2" si="0">2024+E1</f>
        <v>2025</v>
      </c>
      <c r="F2" s="18">
        <f t="shared" si="0"/>
        <v>2025</v>
      </c>
      <c r="G2" s="18">
        <f t="shared" si="0"/>
        <v>2025</v>
      </c>
      <c r="H2" s="18">
        <f t="shared" si="0"/>
        <v>2025</v>
      </c>
      <c r="I2" s="18">
        <f t="shared" si="0"/>
        <v>2025</v>
      </c>
      <c r="J2" s="18">
        <f t="shared" si="0"/>
        <v>2025</v>
      </c>
      <c r="K2" s="18">
        <f t="shared" si="0"/>
        <v>2025</v>
      </c>
      <c r="L2" s="18">
        <f t="shared" si="0"/>
        <v>2025</v>
      </c>
      <c r="M2" s="18">
        <f t="shared" si="0"/>
        <v>2025</v>
      </c>
      <c r="N2" s="18">
        <f t="shared" si="0"/>
        <v>2025</v>
      </c>
      <c r="O2" s="18">
        <f t="shared" si="0"/>
        <v>2025</v>
      </c>
      <c r="P2" s="18">
        <f t="shared" si="0"/>
        <v>2025</v>
      </c>
      <c r="Q2" s="18">
        <f t="shared" si="0"/>
        <v>2026</v>
      </c>
      <c r="R2" s="18">
        <f t="shared" si="0"/>
        <v>2026</v>
      </c>
      <c r="S2" s="18">
        <f t="shared" si="0"/>
        <v>2026</v>
      </c>
      <c r="T2" s="18">
        <f t="shared" si="0"/>
        <v>2026</v>
      </c>
      <c r="U2" s="18">
        <f t="shared" si="0"/>
        <v>2026</v>
      </c>
      <c r="V2" s="18">
        <f t="shared" si="0"/>
        <v>2026</v>
      </c>
      <c r="W2" s="18">
        <f t="shared" si="0"/>
        <v>2026</v>
      </c>
      <c r="X2" s="18">
        <f t="shared" si="0"/>
        <v>2026</v>
      </c>
      <c r="Y2" s="18">
        <f t="shared" si="0"/>
        <v>2026</v>
      </c>
      <c r="Z2" s="18">
        <f t="shared" si="0"/>
        <v>2026</v>
      </c>
      <c r="AA2" s="18">
        <f t="shared" si="0"/>
        <v>2026</v>
      </c>
      <c r="AB2" s="18">
        <f t="shared" si="0"/>
        <v>2026</v>
      </c>
      <c r="AC2" s="18">
        <f t="shared" si="0"/>
        <v>2027</v>
      </c>
      <c r="AD2" s="18">
        <f t="shared" si="0"/>
        <v>2027</v>
      </c>
      <c r="AE2" s="18">
        <f t="shared" si="0"/>
        <v>2027</v>
      </c>
      <c r="AF2" s="18">
        <f t="shared" si="0"/>
        <v>2027</v>
      </c>
      <c r="AG2" s="18">
        <f t="shared" si="0"/>
        <v>2027</v>
      </c>
      <c r="AH2" s="18">
        <f t="shared" si="0"/>
        <v>2027</v>
      </c>
      <c r="AI2" s="18">
        <f t="shared" si="0"/>
        <v>2027</v>
      </c>
      <c r="AJ2" s="18">
        <f t="shared" si="0"/>
        <v>2027</v>
      </c>
      <c r="AK2" s="18">
        <f t="shared" si="0"/>
        <v>2027</v>
      </c>
      <c r="AL2" s="18">
        <f t="shared" si="0"/>
        <v>2027</v>
      </c>
      <c r="AM2" s="18">
        <f t="shared" si="0"/>
        <v>2027</v>
      </c>
      <c r="AN2" s="18">
        <f t="shared" si="0"/>
        <v>2027</v>
      </c>
      <c r="AO2" s="18">
        <f t="shared" si="0"/>
        <v>2028</v>
      </c>
      <c r="AP2" s="18">
        <f t="shared" si="0"/>
        <v>2028</v>
      </c>
      <c r="AQ2" s="18">
        <f t="shared" si="0"/>
        <v>2028</v>
      </c>
      <c r="AR2" s="18">
        <f t="shared" si="0"/>
        <v>2028</v>
      </c>
      <c r="AS2" s="18">
        <f t="shared" si="0"/>
        <v>2028</v>
      </c>
      <c r="AT2" s="18">
        <f t="shared" si="0"/>
        <v>2028</v>
      </c>
      <c r="AU2" s="18">
        <f t="shared" si="0"/>
        <v>2028</v>
      </c>
      <c r="AV2" s="18">
        <f t="shared" si="0"/>
        <v>2028</v>
      </c>
      <c r="AW2" s="18">
        <f t="shared" si="0"/>
        <v>2028</v>
      </c>
      <c r="AX2" s="18">
        <f t="shared" si="0"/>
        <v>2028</v>
      </c>
      <c r="AY2" s="18">
        <f t="shared" si="0"/>
        <v>2028</v>
      </c>
      <c r="AZ2" s="18">
        <f t="shared" si="0"/>
        <v>2028</v>
      </c>
      <c r="BA2" s="18">
        <f t="shared" si="0"/>
        <v>2029</v>
      </c>
      <c r="BB2" s="18">
        <f t="shared" si="0"/>
        <v>2029</v>
      </c>
      <c r="BC2" s="18">
        <f t="shared" si="0"/>
        <v>2029</v>
      </c>
      <c r="BD2" s="18">
        <f t="shared" si="0"/>
        <v>2029</v>
      </c>
      <c r="BE2" s="18">
        <f t="shared" si="0"/>
        <v>2029</v>
      </c>
      <c r="BF2" s="18">
        <f t="shared" si="0"/>
        <v>2029</v>
      </c>
      <c r="BG2" s="18">
        <f t="shared" si="0"/>
        <v>2029</v>
      </c>
      <c r="BH2" s="18">
        <f t="shared" si="0"/>
        <v>2029</v>
      </c>
      <c r="BI2" s="18">
        <f t="shared" si="0"/>
        <v>2029</v>
      </c>
      <c r="BJ2" s="18">
        <f t="shared" si="0"/>
        <v>2029</v>
      </c>
      <c r="BK2" s="18">
        <f t="shared" si="0"/>
        <v>2029</v>
      </c>
      <c r="BL2" s="18">
        <f t="shared" si="0"/>
        <v>2029</v>
      </c>
      <c r="BM2" s="18">
        <f t="shared" si="0"/>
        <v>2030</v>
      </c>
      <c r="BN2" s="18">
        <f t="shared" si="0"/>
        <v>2030</v>
      </c>
      <c r="BO2" s="18">
        <f t="shared" si="0"/>
        <v>2030</v>
      </c>
      <c r="BP2" s="18">
        <f t="shared" si="0"/>
        <v>2030</v>
      </c>
      <c r="BQ2" s="18">
        <f t="shared" si="0"/>
        <v>2030</v>
      </c>
      <c r="BR2" s="18">
        <f t="shared" si="0"/>
        <v>2030</v>
      </c>
      <c r="BS2" s="18">
        <f t="shared" si="0"/>
        <v>2030</v>
      </c>
      <c r="BT2" s="18">
        <f t="shared" si="0"/>
        <v>2030</v>
      </c>
      <c r="BU2" s="18">
        <f t="shared" si="0"/>
        <v>2030</v>
      </c>
      <c r="BV2" s="18">
        <f t="shared" si="0"/>
        <v>2030</v>
      </c>
      <c r="BW2" s="18">
        <f t="shared" si="0"/>
        <v>2030</v>
      </c>
      <c r="BX2" s="18">
        <f t="shared" si="0"/>
        <v>2030</v>
      </c>
      <c r="BY2" s="18">
        <f t="shared" si="0"/>
        <v>2031</v>
      </c>
      <c r="BZ2" s="18">
        <f t="shared" si="0"/>
        <v>2031</v>
      </c>
      <c r="CA2" s="18">
        <f t="shared" si="0"/>
        <v>2031</v>
      </c>
      <c r="CB2" s="18">
        <f t="shared" si="0"/>
        <v>2031</v>
      </c>
      <c r="CC2" s="18">
        <f t="shared" si="0"/>
        <v>2031</v>
      </c>
      <c r="CD2" s="18">
        <f t="shared" si="0"/>
        <v>2031</v>
      </c>
      <c r="CE2" s="18">
        <f t="shared" si="0"/>
        <v>2031</v>
      </c>
      <c r="CF2" s="18">
        <f t="shared" si="0"/>
        <v>2031</v>
      </c>
      <c r="CG2" s="18">
        <f t="shared" si="0"/>
        <v>2031</v>
      </c>
      <c r="CH2" s="18">
        <f t="shared" si="0"/>
        <v>2031</v>
      </c>
      <c r="CI2" s="18">
        <f t="shared" si="0"/>
        <v>2031</v>
      </c>
      <c r="CJ2" s="18">
        <f t="shared" si="0"/>
        <v>2031</v>
      </c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  <c r="IG2" s="21"/>
      <c r="IH2" s="21"/>
      <c r="II2" s="21"/>
      <c r="IJ2" s="21"/>
      <c r="IK2" s="21"/>
      <c r="IL2" s="21"/>
      <c r="IM2" s="21"/>
      <c r="IN2" s="21"/>
      <c r="IO2" s="21"/>
      <c r="IP2" s="21"/>
      <c r="IQ2" s="21"/>
      <c r="IR2" s="21"/>
      <c r="IS2" s="21"/>
      <c r="IT2" s="21"/>
      <c r="IU2" s="21"/>
      <c r="IV2" s="21"/>
      <c r="IW2" s="21"/>
      <c r="IX2" s="21"/>
      <c r="IY2" s="21"/>
      <c r="IZ2" s="21"/>
      <c r="JA2" s="21"/>
      <c r="JB2" s="21"/>
      <c r="JC2" s="21"/>
      <c r="JD2" s="21"/>
      <c r="JE2" s="21"/>
      <c r="JF2" s="21"/>
      <c r="JG2" s="21"/>
      <c r="JH2" s="21"/>
      <c r="JI2" s="21"/>
      <c r="JJ2" s="21"/>
      <c r="JK2" s="21"/>
      <c r="JL2" s="21"/>
      <c r="JM2" s="21"/>
      <c r="JN2" s="21"/>
      <c r="JO2" s="21"/>
      <c r="JP2" s="21"/>
      <c r="JQ2" s="21"/>
      <c r="JR2" s="21"/>
      <c r="JS2" s="21"/>
      <c r="JT2" s="21"/>
      <c r="JU2" s="21"/>
      <c r="JV2" s="21"/>
      <c r="JW2" s="21"/>
      <c r="JX2" s="21"/>
      <c r="JY2" s="21"/>
      <c r="JZ2" s="21"/>
      <c r="KA2" s="21"/>
      <c r="KB2" s="21"/>
      <c r="KC2" s="21"/>
      <c r="KD2" s="21"/>
      <c r="KE2" s="21"/>
      <c r="KF2" s="21"/>
      <c r="KG2" s="21"/>
      <c r="KH2" s="21"/>
      <c r="KI2" s="21"/>
      <c r="KJ2" s="21"/>
      <c r="KK2" s="21"/>
      <c r="KL2" s="21"/>
      <c r="KM2" s="21"/>
      <c r="KN2" s="21"/>
      <c r="KO2" s="21"/>
      <c r="KP2" s="21"/>
      <c r="KQ2" s="21"/>
      <c r="KR2" s="21"/>
      <c r="KS2" s="21"/>
      <c r="KT2" s="21"/>
      <c r="KU2" s="21"/>
      <c r="KV2" s="21"/>
      <c r="KW2" s="21"/>
      <c r="KX2" s="21"/>
      <c r="KY2" s="21"/>
      <c r="KZ2" s="21"/>
      <c r="LA2" s="21"/>
      <c r="LB2" s="21"/>
      <c r="LC2" s="21"/>
      <c r="LD2" s="21"/>
      <c r="LE2" s="21"/>
      <c r="LF2" s="21"/>
      <c r="LG2" s="21"/>
      <c r="LH2" s="21"/>
      <c r="LI2" s="21"/>
      <c r="LJ2" s="21"/>
      <c r="LK2" s="21"/>
      <c r="LL2" s="21"/>
      <c r="LM2" s="21"/>
      <c r="LN2" s="21"/>
      <c r="LO2" s="21"/>
      <c r="LP2" s="21"/>
      <c r="LQ2" s="21"/>
      <c r="LR2" s="21"/>
      <c r="LS2" s="21"/>
      <c r="LT2" s="21"/>
      <c r="LU2" s="21"/>
      <c r="LV2" s="21"/>
      <c r="LW2" s="21"/>
      <c r="LX2" s="21"/>
      <c r="LY2" s="21"/>
      <c r="LZ2" s="21"/>
      <c r="MA2" s="21"/>
      <c r="MB2" s="21"/>
      <c r="MC2" s="21"/>
      <c r="MD2" s="21"/>
      <c r="ME2" s="21"/>
      <c r="MF2" s="21"/>
      <c r="MG2" s="21"/>
      <c r="MH2" s="21"/>
      <c r="MI2" s="21"/>
      <c r="MJ2" s="21"/>
      <c r="MK2" s="21"/>
      <c r="ML2" s="21"/>
      <c r="MM2" s="21"/>
      <c r="MN2" s="21"/>
      <c r="MO2" s="21"/>
      <c r="MP2" s="21"/>
      <c r="MQ2" s="21"/>
      <c r="MR2" s="21"/>
      <c r="MS2" s="21"/>
      <c r="MT2" s="21"/>
      <c r="MU2" s="21"/>
      <c r="MV2" s="21"/>
      <c r="MW2" s="21"/>
      <c r="MX2" s="21"/>
      <c r="MY2" s="21"/>
      <c r="MZ2" s="21"/>
      <c r="NA2" s="21"/>
      <c r="NB2" s="21"/>
      <c r="NC2" s="21"/>
      <c r="ND2" s="21"/>
      <c r="NE2" s="21"/>
      <c r="NF2" s="21"/>
      <c r="NG2" s="21"/>
      <c r="NH2" s="21"/>
      <c r="NI2" s="21"/>
      <c r="NJ2" s="21"/>
      <c r="NK2" s="21"/>
      <c r="NL2" s="21"/>
      <c r="NM2" s="21"/>
      <c r="NN2" s="21"/>
      <c r="NO2" s="21"/>
      <c r="NP2" s="21"/>
      <c r="NQ2" s="21"/>
      <c r="NR2" s="21"/>
      <c r="NS2" s="21"/>
      <c r="NT2" s="21"/>
      <c r="NU2" s="21"/>
      <c r="NV2" s="21"/>
      <c r="NW2" s="21"/>
      <c r="NX2" s="21"/>
      <c r="NY2" s="21"/>
      <c r="NZ2" s="21"/>
      <c r="OA2" s="21"/>
      <c r="OB2" s="21"/>
      <c r="OC2" s="21"/>
      <c r="OD2" s="21"/>
      <c r="OE2" s="21"/>
      <c r="OF2" s="21"/>
      <c r="OG2" s="21"/>
      <c r="OH2" s="21"/>
      <c r="OI2" s="21"/>
      <c r="OJ2" s="21"/>
      <c r="OK2" s="21"/>
      <c r="OL2" s="21"/>
      <c r="OM2" s="21"/>
      <c r="ON2" s="21"/>
      <c r="OO2" s="21"/>
      <c r="OP2" s="21"/>
      <c r="OQ2" s="21"/>
      <c r="OR2" s="21"/>
      <c r="OS2" s="21"/>
      <c r="OT2" s="21"/>
      <c r="OU2" s="21"/>
      <c r="OV2" s="21"/>
      <c r="OW2" s="21"/>
      <c r="OX2" s="21"/>
      <c r="OY2" s="21"/>
      <c r="OZ2" s="21"/>
      <c r="PA2" s="21"/>
      <c r="PB2" s="21"/>
      <c r="PC2" s="21"/>
      <c r="PD2" s="21"/>
      <c r="PE2" s="21"/>
      <c r="PF2" s="21"/>
      <c r="PG2" s="21"/>
      <c r="PH2" s="21"/>
      <c r="PI2" s="21"/>
      <c r="PJ2" s="21"/>
      <c r="PK2" s="21"/>
      <c r="PL2" s="21"/>
      <c r="PM2" s="21"/>
      <c r="PN2" s="21"/>
      <c r="PO2" s="21"/>
      <c r="PP2" s="21"/>
      <c r="PQ2" s="21"/>
      <c r="PR2" s="21"/>
      <c r="PS2" s="21"/>
      <c r="PT2" s="21"/>
      <c r="PU2" s="21"/>
      <c r="PV2" s="21"/>
      <c r="PW2" s="21"/>
      <c r="PX2" s="21"/>
      <c r="PY2" s="21"/>
      <c r="PZ2" s="21"/>
      <c r="QA2" s="21"/>
      <c r="QB2" s="21"/>
      <c r="QC2" s="21"/>
      <c r="QD2" s="21"/>
      <c r="QE2" s="21"/>
      <c r="QF2" s="21"/>
      <c r="QG2" s="21"/>
      <c r="QH2" s="21"/>
      <c r="QI2" s="21"/>
      <c r="QJ2" s="21"/>
      <c r="QK2" s="21"/>
      <c r="QL2" s="21"/>
      <c r="QM2" s="21"/>
      <c r="QN2" s="21"/>
      <c r="QO2" s="21"/>
      <c r="QP2" s="21"/>
      <c r="QQ2" s="21"/>
      <c r="QR2" s="21"/>
      <c r="QS2" s="21"/>
      <c r="QT2" s="21"/>
      <c r="QU2" s="21"/>
      <c r="QV2" s="21"/>
      <c r="QW2" s="21"/>
      <c r="QX2" s="21"/>
      <c r="QY2" s="21"/>
      <c r="QZ2" s="21"/>
      <c r="RA2" s="21"/>
      <c r="RB2" s="21"/>
      <c r="RC2" s="21"/>
      <c r="RD2" s="21"/>
      <c r="RE2" s="21"/>
      <c r="RF2" s="21"/>
      <c r="RG2" s="21"/>
      <c r="RH2" s="21"/>
      <c r="RI2" s="21"/>
      <c r="RJ2" s="21"/>
      <c r="RK2" s="21"/>
      <c r="RL2" s="21"/>
      <c r="RM2" s="21"/>
      <c r="RN2" s="21"/>
      <c r="RO2" s="21"/>
      <c r="RP2" s="21"/>
      <c r="RQ2" s="21"/>
      <c r="RR2" s="21"/>
      <c r="RS2" s="21"/>
      <c r="RT2" s="21"/>
      <c r="RU2" s="21"/>
      <c r="RV2" s="21"/>
      <c r="RW2" s="21"/>
      <c r="RX2" s="21"/>
      <c r="RY2" s="21"/>
      <c r="RZ2" s="21"/>
      <c r="SA2" s="21"/>
      <c r="SB2" s="21"/>
      <c r="SC2" s="21"/>
      <c r="SD2" s="21"/>
      <c r="SE2" s="21"/>
      <c r="SF2" s="21"/>
      <c r="SG2" s="21"/>
      <c r="SH2" s="21"/>
      <c r="SI2" s="21"/>
      <c r="SJ2" s="21"/>
      <c r="SK2" s="21"/>
      <c r="SL2" s="21"/>
      <c r="SM2" s="21"/>
      <c r="SN2" s="21"/>
      <c r="SO2" s="21"/>
      <c r="SP2" s="21"/>
      <c r="SQ2" s="21"/>
      <c r="SR2" s="21"/>
      <c r="SS2" s="21"/>
      <c r="ST2" s="21"/>
      <c r="SU2" s="21"/>
      <c r="SV2" s="21"/>
      <c r="SW2" s="21"/>
      <c r="SX2" s="21"/>
      <c r="SY2" s="21"/>
      <c r="SZ2" s="21"/>
      <c r="TA2" s="21"/>
      <c r="TB2" s="21"/>
      <c r="TC2" s="21"/>
      <c r="TD2" s="21"/>
      <c r="TE2" s="21"/>
      <c r="TF2" s="21"/>
      <c r="TG2" s="21"/>
      <c r="TH2" s="21"/>
      <c r="TI2" s="21"/>
      <c r="TJ2" s="21"/>
      <c r="TK2" s="21"/>
      <c r="TL2" s="21"/>
      <c r="TM2" s="21"/>
      <c r="TN2" s="21"/>
      <c r="TO2" s="21"/>
      <c r="TP2" s="21"/>
      <c r="TQ2" s="21"/>
      <c r="TR2" s="21"/>
      <c r="TS2" s="21"/>
      <c r="TT2" s="21"/>
      <c r="TU2" s="21"/>
      <c r="TV2" s="21"/>
      <c r="TW2" s="21"/>
      <c r="TX2" s="21"/>
      <c r="TY2" s="21"/>
      <c r="TZ2" s="21"/>
      <c r="UA2" s="21"/>
      <c r="UB2" s="21"/>
      <c r="UC2" s="21"/>
      <c r="UD2" s="21"/>
      <c r="UE2" s="21"/>
      <c r="UF2" s="21"/>
      <c r="UG2" s="21"/>
      <c r="UH2" s="21"/>
      <c r="UI2" s="21"/>
      <c r="UJ2" s="21"/>
      <c r="UK2" s="21"/>
      <c r="UL2" s="21"/>
      <c r="UM2" s="21"/>
      <c r="UN2" s="21"/>
      <c r="UO2" s="21"/>
      <c r="UP2" s="21"/>
      <c r="UQ2" s="21"/>
      <c r="UR2" s="21"/>
      <c r="US2" s="21"/>
      <c r="UT2" s="21"/>
      <c r="UU2" s="21"/>
      <c r="UV2" s="21"/>
      <c r="UW2" s="21"/>
      <c r="UX2" s="21"/>
      <c r="UY2" s="21"/>
      <c r="UZ2" s="21"/>
      <c r="VA2" s="21"/>
      <c r="VB2" s="21"/>
      <c r="VC2" s="21"/>
      <c r="VD2" s="21"/>
      <c r="VE2" s="21"/>
      <c r="VF2" s="21"/>
      <c r="VG2" s="21"/>
      <c r="VH2" s="21"/>
      <c r="VI2" s="21"/>
      <c r="VJ2" s="21"/>
      <c r="VK2" s="21"/>
      <c r="VL2" s="21"/>
      <c r="VM2" s="21"/>
      <c r="VN2" s="21"/>
      <c r="VO2" s="21"/>
      <c r="VP2" s="21"/>
      <c r="VQ2" s="21"/>
      <c r="VR2" s="21"/>
      <c r="VS2" s="21"/>
      <c r="VT2" s="21"/>
      <c r="VU2" s="21"/>
      <c r="VV2" s="21"/>
      <c r="VW2" s="21"/>
      <c r="VX2" s="21"/>
      <c r="VY2" s="21"/>
      <c r="VZ2" s="21"/>
      <c r="WA2" s="21"/>
      <c r="WB2" s="21"/>
      <c r="WC2" s="21"/>
      <c r="WD2" s="21"/>
      <c r="WE2" s="21"/>
      <c r="WF2" s="21"/>
      <c r="WG2" s="21"/>
      <c r="WH2" s="21"/>
      <c r="WI2" s="21"/>
      <c r="WJ2" s="21"/>
      <c r="WK2" s="21"/>
      <c r="WL2" s="21"/>
      <c r="WM2" s="21"/>
      <c r="WN2" s="21"/>
      <c r="WO2" s="21"/>
      <c r="WP2" s="21"/>
      <c r="WQ2" s="21"/>
      <c r="WR2" s="21"/>
      <c r="WS2" s="21"/>
      <c r="WT2" s="21"/>
      <c r="WU2" s="21"/>
      <c r="WV2" s="21"/>
      <c r="WW2" s="21"/>
      <c r="WX2" s="21"/>
      <c r="WY2" s="21"/>
      <c r="WZ2" s="21"/>
      <c r="XA2" s="21"/>
      <c r="XB2" s="21"/>
      <c r="XC2" s="21"/>
      <c r="XD2" s="21"/>
      <c r="XE2" s="21"/>
      <c r="XF2" s="21"/>
      <c r="XG2" s="21"/>
      <c r="XH2" s="21"/>
      <c r="XI2" s="21"/>
      <c r="XJ2" s="21"/>
      <c r="XK2" s="21"/>
      <c r="XL2" s="21"/>
      <c r="XM2" s="21"/>
      <c r="XN2" s="21"/>
      <c r="XO2" s="21"/>
      <c r="XP2" s="21"/>
      <c r="XQ2" s="21"/>
      <c r="XR2" s="21"/>
      <c r="XS2" s="21"/>
      <c r="XT2" s="21"/>
      <c r="XU2" s="21"/>
      <c r="XV2" s="21"/>
      <c r="XW2" s="21"/>
      <c r="XX2" s="21"/>
      <c r="XY2" s="21"/>
      <c r="XZ2" s="21"/>
      <c r="YA2" s="21"/>
      <c r="YB2" s="21"/>
      <c r="YC2" s="21"/>
      <c r="YD2" s="21"/>
      <c r="YE2" s="21"/>
      <c r="YF2" s="21"/>
      <c r="YG2" s="21"/>
      <c r="YH2" s="21"/>
      <c r="YI2" s="21"/>
      <c r="YJ2" s="21"/>
      <c r="YK2" s="21"/>
      <c r="YL2" s="21"/>
      <c r="YM2" s="21"/>
      <c r="YN2" s="21"/>
      <c r="YO2" s="21"/>
      <c r="YP2" s="21"/>
      <c r="YQ2" s="21"/>
      <c r="YR2" s="21"/>
      <c r="YS2" s="21"/>
      <c r="YT2" s="21"/>
      <c r="YU2" s="21"/>
      <c r="YV2" s="21"/>
      <c r="YW2" s="21"/>
      <c r="YX2" s="21"/>
      <c r="YY2" s="21"/>
      <c r="YZ2" s="21"/>
      <c r="ZA2" s="21"/>
      <c r="ZB2" s="21"/>
      <c r="ZC2" s="21"/>
      <c r="ZD2" s="21"/>
      <c r="ZE2" s="21"/>
      <c r="ZF2" s="21"/>
      <c r="ZG2" s="21"/>
      <c r="ZH2" s="21"/>
      <c r="ZI2" s="21"/>
      <c r="ZJ2" s="21"/>
      <c r="ZK2" s="21"/>
      <c r="ZL2" s="21"/>
      <c r="ZM2" s="21"/>
      <c r="ZN2" s="21"/>
      <c r="ZO2" s="21"/>
      <c r="ZP2" s="21"/>
      <c r="ZQ2" s="21"/>
      <c r="ZR2" s="21"/>
      <c r="ZS2" s="21"/>
      <c r="ZT2" s="21"/>
      <c r="ZU2" s="21"/>
      <c r="ZV2" s="21"/>
      <c r="ZW2" s="21"/>
      <c r="ZX2" s="21"/>
      <c r="ZY2" s="21"/>
      <c r="ZZ2" s="21"/>
      <c r="AAA2" s="21"/>
      <c r="AAB2" s="21"/>
      <c r="AAC2" s="21"/>
      <c r="AAD2" s="21"/>
      <c r="AAE2" s="21"/>
      <c r="AAF2" s="21"/>
      <c r="AAG2" s="21"/>
      <c r="AAH2" s="21"/>
      <c r="AAI2" s="21"/>
      <c r="AAJ2" s="21"/>
      <c r="AAK2" s="21"/>
      <c r="AAL2" s="21"/>
      <c r="AAM2" s="21"/>
      <c r="AAN2" s="21"/>
      <c r="AAO2" s="21"/>
      <c r="AAP2" s="21"/>
      <c r="AAQ2" s="21"/>
      <c r="AAR2" s="21"/>
      <c r="AAS2" s="21"/>
      <c r="AAT2" s="21"/>
      <c r="AAU2" s="21"/>
      <c r="AAV2" s="21"/>
      <c r="AAW2" s="21"/>
      <c r="AAX2" s="21"/>
      <c r="AAY2" s="21"/>
      <c r="AAZ2" s="21"/>
      <c r="ABA2" s="21"/>
      <c r="ABB2" s="21"/>
      <c r="ABC2" s="21"/>
      <c r="ABD2" s="21"/>
      <c r="ABE2" s="21"/>
      <c r="ABF2" s="21"/>
      <c r="ABG2" s="21"/>
      <c r="ABH2" s="21"/>
      <c r="ABI2" s="21"/>
      <c r="ABJ2" s="21"/>
      <c r="ABK2" s="21"/>
      <c r="ABL2" s="21"/>
      <c r="ABM2" s="21"/>
      <c r="ABN2" s="21"/>
      <c r="ABO2" s="21"/>
      <c r="ABP2" s="21"/>
      <c r="ABQ2" s="21"/>
      <c r="ABR2" s="21"/>
      <c r="ABS2" s="21"/>
      <c r="ABT2" s="21"/>
      <c r="ABU2" s="21"/>
      <c r="ABV2" s="21"/>
      <c r="ABW2" s="21"/>
      <c r="ABX2" s="21"/>
      <c r="ABY2" s="21"/>
      <c r="ABZ2" s="21"/>
      <c r="ACA2" s="21"/>
      <c r="ACB2" s="21"/>
      <c r="ACC2" s="21"/>
      <c r="ACD2" s="21"/>
      <c r="ACE2" s="21"/>
      <c r="ACF2" s="21"/>
      <c r="ACG2" s="21"/>
      <c r="ACH2" s="21"/>
      <c r="ACI2" s="21"/>
      <c r="ACJ2" s="21"/>
      <c r="ACK2" s="21"/>
      <c r="ACL2" s="21"/>
      <c r="ACM2" s="21"/>
      <c r="ACN2" s="21"/>
      <c r="ACO2" s="21"/>
      <c r="ACP2" s="21"/>
      <c r="ACQ2" s="21"/>
      <c r="ACR2" s="21"/>
      <c r="ACS2" s="21"/>
      <c r="ACT2" s="21"/>
      <c r="ACU2" s="21"/>
      <c r="ACV2" s="21"/>
      <c r="ACW2" s="21"/>
      <c r="ACX2" s="21"/>
      <c r="ACY2" s="21"/>
      <c r="ACZ2" s="21"/>
      <c r="ADA2" s="21"/>
      <c r="ADB2" s="21"/>
      <c r="ADC2" s="21"/>
      <c r="ADD2" s="21"/>
      <c r="ADE2" s="21"/>
      <c r="ADF2" s="21"/>
      <c r="ADG2" s="21"/>
      <c r="ADH2" s="21"/>
      <c r="ADI2" s="21"/>
      <c r="ADJ2" s="21"/>
      <c r="ADK2" s="21"/>
      <c r="ADL2" s="21"/>
      <c r="ADM2" s="21"/>
      <c r="ADN2" s="21"/>
      <c r="ADO2" s="21"/>
      <c r="ADP2" s="21"/>
      <c r="ADQ2" s="21"/>
      <c r="ADR2" s="21"/>
      <c r="ADS2" s="21"/>
      <c r="ADT2" s="21"/>
      <c r="ADU2" s="21"/>
      <c r="ADV2" s="21"/>
      <c r="ADW2" s="21"/>
      <c r="ADX2" s="21"/>
      <c r="ADY2" s="21"/>
      <c r="ADZ2" s="21"/>
      <c r="AEA2" s="21"/>
      <c r="AEB2" s="21"/>
      <c r="AEC2" s="21"/>
      <c r="AED2" s="21"/>
      <c r="AEE2" s="21"/>
      <c r="AEF2" s="21"/>
      <c r="AEG2" s="21"/>
      <c r="AEH2" s="21"/>
      <c r="AEI2" s="21"/>
      <c r="AEJ2" s="21"/>
      <c r="AEK2" s="21"/>
      <c r="AEL2" s="21"/>
      <c r="AEM2" s="21"/>
      <c r="AEN2" s="21"/>
      <c r="AEO2" s="21"/>
      <c r="AEP2" s="21"/>
      <c r="AEQ2" s="21"/>
      <c r="AER2" s="21"/>
      <c r="AES2" s="21"/>
      <c r="AET2" s="21"/>
      <c r="AEU2" s="21"/>
      <c r="AEV2" s="21"/>
      <c r="AEW2" s="21"/>
      <c r="AEX2" s="21"/>
      <c r="AEY2" s="21"/>
      <c r="AEZ2" s="21"/>
      <c r="AFA2" s="21"/>
      <c r="AFB2" s="21"/>
      <c r="AFC2" s="21"/>
      <c r="AFD2" s="21"/>
      <c r="AFE2" s="21"/>
      <c r="AFF2" s="21"/>
      <c r="AFG2" s="21"/>
      <c r="AFH2" s="21"/>
      <c r="AFI2" s="21"/>
      <c r="AFJ2" s="21"/>
      <c r="AFK2" s="21"/>
      <c r="AFL2" s="21"/>
      <c r="AFM2" s="21"/>
      <c r="AFN2" s="21"/>
      <c r="AFO2" s="21"/>
      <c r="AFP2" s="21"/>
      <c r="AFQ2" s="21"/>
      <c r="AFR2" s="21"/>
      <c r="AFS2" s="21"/>
      <c r="AFT2" s="21"/>
      <c r="AFU2" s="21"/>
      <c r="AFV2" s="21"/>
      <c r="AFW2" s="21"/>
      <c r="AFX2" s="21"/>
      <c r="AFY2" s="21"/>
      <c r="AFZ2" s="21"/>
      <c r="AGA2" s="21"/>
      <c r="AGB2" s="21"/>
      <c r="AGC2" s="21"/>
      <c r="AGD2" s="21"/>
      <c r="AGE2" s="21"/>
      <c r="AGF2" s="21"/>
      <c r="AGG2" s="21"/>
      <c r="AGH2" s="21"/>
      <c r="AGI2" s="21"/>
      <c r="AGJ2" s="21"/>
      <c r="AGK2" s="21"/>
      <c r="AGL2" s="21"/>
      <c r="AGM2" s="21"/>
      <c r="AGN2" s="21"/>
      <c r="AGO2" s="21"/>
      <c r="AGP2" s="21"/>
      <c r="AGQ2" s="21"/>
      <c r="AGR2" s="21"/>
      <c r="AGS2" s="21"/>
      <c r="AGT2" s="21"/>
      <c r="AGU2" s="21"/>
      <c r="AGV2" s="21"/>
      <c r="AGW2" s="21"/>
      <c r="AGX2" s="21"/>
      <c r="AGY2" s="21"/>
      <c r="AGZ2" s="21"/>
      <c r="AHA2" s="21"/>
      <c r="AHB2" s="21"/>
      <c r="AHC2" s="21"/>
      <c r="AHD2" s="21"/>
      <c r="AHE2" s="21"/>
    </row>
    <row r="3" spans="1:889" ht="13">
      <c r="A3" s="12"/>
      <c r="B3" s="17" t="s">
        <v>14</v>
      </c>
      <c r="C3" s="12"/>
      <c r="D3" s="12"/>
      <c r="E3" s="18">
        <v>1</v>
      </c>
      <c r="F3" s="18">
        <v>2</v>
      </c>
      <c r="G3" s="18">
        <v>3</v>
      </c>
      <c r="H3" s="18">
        <v>4</v>
      </c>
      <c r="I3" s="18">
        <v>5</v>
      </c>
      <c r="J3" s="18">
        <v>6</v>
      </c>
      <c r="K3" s="18">
        <v>7</v>
      </c>
      <c r="L3" s="18">
        <v>8</v>
      </c>
      <c r="M3" s="18">
        <v>9</v>
      </c>
      <c r="N3" s="18">
        <v>10</v>
      </c>
      <c r="O3" s="18">
        <v>11</v>
      </c>
      <c r="P3" s="18">
        <v>12</v>
      </c>
      <c r="Q3" s="18">
        <v>13</v>
      </c>
      <c r="R3" s="18">
        <v>14</v>
      </c>
      <c r="S3" s="18">
        <v>15</v>
      </c>
      <c r="T3" s="18">
        <v>16</v>
      </c>
      <c r="U3" s="18">
        <v>17</v>
      </c>
      <c r="V3" s="18">
        <v>18</v>
      </c>
      <c r="W3" s="18">
        <v>19</v>
      </c>
      <c r="X3" s="18">
        <v>20</v>
      </c>
      <c r="Y3" s="18">
        <v>21</v>
      </c>
      <c r="Z3" s="18">
        <v>22</v>
      </c>
      <c r="AA3" s="18">
        <v>23</v>
      </c>
      <c r="AB3" s="18">
        <v>24</v>
      </c>
      <c r="AC3" s="18">
        <v>25</v>
      </c>
      <c r="AD3" s="18">
        <v>26</v>
      </c>
      <c r="AE3" s="18">
        <v>27</v>
      </c>
      <c r="AF3" s="18">
        <v>28</v>
      </c>
      <c r="AG3" s="18">
        <v>29</v>
      </c>
      <c r="AH3" s="18">
        <v>30</v>
      </c>
      <c r="AI3" s="18">
        <v>31</v>
      </c>
      <c r="AJ3" s="18">
        <v>32</v>
      </c>
      <c r="AK3" s="18">
        <v>33</v>
      </c>
      <c r="AL3" s="18">
        <v>34</v>
      </c>
      <c r="AM3" s="18">
        <v>35</v>
      </c>
      <c r="AN3" s="18">
        <v>36</v>
      </c>
      <c r="AO3" s="18">
        <v>37</v>
      </c>
      <c r="AP3" s="18">
        <v>38</v>
      </c>
      <c r="AQ3" s="18">
        <v>39</v>
      </c>
      <c r="AR3" s="18">
        <v>40</v>
      </c>
      <c r="AS3" s="18">
        <v>41</v>
      </c>
      <c r="AT3" s="18">
        <v>42</v>
      </c>
      <c r="AU3" s="18">
        <v>43</v>
      </c>
      <c r="AV3" s="18">
        <v>44</v>
      </c>
      <c r="AW3" s="18">
        <v>45</v>
      </c>
      <c r="AX3" s="18">
        <v>46</v>
      </c>
      <c r="AY3" s="18">
        <v>47</v>
      </c>
      <c r="AZ3" s="18">
        <v>48</v>
      </c>
      <c r="BA3" s="18">
        <v>49</v>
      </c>
      <c r="BB3" s="18">
        <v>50</v>
      </c>
      <c r="BC3" s="18">
        <v>51</v>
      </c>
      <c r="BD3" s="18">
        <v>52</v>
      </c>
      <c r="BE3" s="18">
        <v>53</v>
      </c>
      <c r="BF3" s="18">
        <v>54</v>
      </c>
      <c r="BG3" s="18">
        <v>55</v>
      </c>
      <c r="BH3" s="18">
        <v>56</v>
      </c>
      <c r="BI3" s="18">
        <v>57</v>
      </c>
      <c r="BJ3" s="18">
        <v>58</v>
      </c>
      <c r="BK3" s="18">
        <v>59</v>
      </c>
      <c r="BL3" s="18">
        <v>60</v>
      </c>
      <c r="BM3" s="18">
        <v>61</v>
      </c>
      <c r="BN3" s="18">
        <v>62</v>
      </c>
      <c r="BO3" s="18">
        <v>63</v>
      </c>
      <c r="BP3" s="18">
        <v>64</v>
      </c>
      <c r="BQ3" s="18">
        <v>65</v>
      </c>
      <c r="BR3" s="18">
        <v>66</v>
      </c>
      <c r="BS3" s="18">
        <v>67</v>
      </c>
      <c r="BT3" s="18">
        <v>68</v>
      </c>
      <c r="BU3" s="18">
        <v>69</v>
      </c>
      <c r="BV3" s="18">
        <v>70</v>
      </c>
      <c r="BW3" s="18">
        <v>71</v>
      </c>
      <c r="BX3" s="18">
        <v>72</v>
      </c>
      <c r="BY3" s="18">
        <v>73</v>
      </c>
      <c r="BZ3" s="18">
        <v>74</v>
      </c>
      <c r="CA3" s="18">
        <v>75</v>
      </c>
      <c r="CB3" s="18">
        <v>76</v>
      </c>
      <c r="CC3" s="18">
        <v>77</v>
      </c>
      <c r="CD3" s="18">
        <v>78</v>
      </c>
      <c r="CE3" s="18">
        <v>79</v>
      </c>
      <c r="CF3" s="18">
        <v>80</v>
      </c>
      <c r="CG3" s="18">
        <v>81</v>
      </c>
      <c r="CH3" s="18">
        <v>82</v>
      </c>
      <c r="CI3" s="18">
        <v>83</v>
      </c>
      <c r="CJ3" s="18">
        <v>84</v>
      </c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1"/>
      <c r="JV3" s="21"/>
      <c r="JW3" s="21"/>
      <c r="JX3" s="21"/>
      <c r="JY3" s="21"/>
      <c r="JZ3" s="21"/>
      <c r="KA3" s="21"/>
      <c r="KB3" s="21"/>
      <c r="KC3" s="21"/>
      <c r="KD3" s="21"/>
      <c r="KE3" s="21"/>
      <c r="KF3" s="21"/>
      <c r="KG3" s="21"/>
      <c r="KH3" s="21"/>
      <c r="KI3" s="21"/>
      <c r="KJ3" s="21"/>
      <c r="KK3" s="21"/>
      <c r="KL3" s="21"/>
      <c r="KM3" s="21"/>
      <c r="KN3" s="21"/>
      <c r="KO3" s="21"/>
      <c r="KP3" s="21"/>
      <c r="KQ3" s="21"/>
      <c r="KR3" s="21"/>
      <c r="KS3" s="21"/>
      <c r="KT3" s="21"/>
      <c r="KU3" s="21"/>
      <c r="KV3" s="21"/>
      <c r="KW3" s="21"/>
      <c r="KX3" s="21"/>
      <c r="KY3" s="21"/>
      <c r="KZ3" s="21"/>
      <c r="LA3" s="21"/>
      <c r="LB3" s="21"/>
      <c r="LC3" s="21"/>
      <c r="LD3" s="21"/>
      <c r="LE3" s="21"/>
      <c r="LF3" s="21"/>
      <c r="LG3" s="21"/>
      <c r="LH3" s="21"/>
      <c r="LI3" s="21"/>
      <c r="LJ3" s="21"/>
      <c r="LK3" s="21"/>
      <c r="LL3" s="21"/>
      <c r="LM3" s="21"/>
      <c r="LN3" s="21"/>
      <c r="LO3" s="21"/>
      <c r="LP3" s="21"/>
      <c r="LQ3" s="21"/>
      <c r="LR3" s="21"/>
      <c r="LS3" s="21"/>
      <c r="LT3" s="21"/>
      <c r="LU3" s="21"/>
      <c r="LV3" s="21"/>
      <c r="LW3" s="21"/>
      <c r="LX3" s="21"/>
      <c r="LY3" s="21"/>
      <c r="LZ3" s="21"/>
      <c r="MA3" s="21"/>
      <c r="MB3" s="21"/>
      <c r="MC3" s="21"/>
      <c r="MD3" s="21"/>
      <c r="ME3" s="21"/>
      <c r="MF3" s="21"/>
      <c r="MG3" s="21"/>
      <c r="MH3" s="21"/>
      <c r="MI3" s="21"/>
      <c r="MJ3" s="21"/>
      <c r="MK3" s="21"/>
      <c r="ML3" s="21"/>
      <c r="MM3" s="21"/>
      <c r="MN3" s="21"/>
      <c r="MO3" s="21"/>
      <c r="MP3" s="21"/>
      <c r="MQ3" s="21"/>
      <c r="MR3" s="21"/>
      <c r="MS3" s="21"/>
      <c r="MT3" s="21"/>
      <c r="MU3" s="21"/>
      <c r="MV3" s="21"/>
      <c r="MW3" s="21"/>
      <c r="MX3" s="21"/>
      <c r="MY3" s="21"/>
      <c r="MZ3" s="21"/>
      <c r="NA3" s="21"/>
      <c r="NB3" s="21"/>
      <c r="NC3" s="21"/>
      <c r="ND3" s="21"/>
      <c r="NE3" s="21"/>
      <c r="NF3" s="21"/>
      <c r="NG3" s="21"/>
      <c r="NH3" s="21"/>
      <c r="NI3" s="21"/>
      <c r="NJ3" s="21"/>
      <c r="NK3" s="21"/>
      <c r="NL3" s="21"/>
      <c r="NM3" s="21"/>
      <c r="NN3" s="21"/>
      <c r="NO3" s="21"/>
      <c r="NP3" s="21"/>
      <c r="NQ3" s="21"/>
      <c r="NR3" s="21"/>
      <c r="NS3" s="21"/>
      <c r="NT3" s="21"/>
      <c r="NU3" s="21"/>
      <c r="NV3" s="21"/>
      <c r="NW3" s="21"/>
      <c r="NX3" s="21"/>
      <c r="NY3" s="21"/>
      <c r="NZ3" s="21"/>
      <c r="OA3" s="21"/>
      <c r="OB3" s="21"/>
      <c r="OC3" s="21"/>
      <c r="OD3" s="21"/>
      <c r="OE3" s="21"/>
      <c r="OF3" s="21"/>
      <c r="OG3" s="21"/>
      <c r="OH3" s="21"/>
      <c r="OI3" s="21"/>
      <c r="OJ3" s="21"/>
      <c r="OK3" s="21"/>
      <c r="OL3" s="21"/>
      <c r="OM3" s="21"/>
      <c r="ON3" s="21"/>
      <c r="OO3" s="21"/>
      <c r="OP3" s="21"/>
      <c r="OQ3" s="21"/>
      <c r="OR3" s="21"/>
      <c r="OS3" s="21"/>
      <c r="OT3" s="21"/>
      <c r="OU3" s="21"/>
      <c r="OV3" s="21"/>
      <c r="OW3" s="21"/>
      <c r="OX3" s="21"/>
      <c r="OY3" s="21"/>
      <c r="OZ3" s="21"/>
      <c r="PA3" s="21"/>
      <c r="PB3" s="21"/>
      <c r="PC3" s="21"/>
      <c r="PD3" s="21"/>
      <c r="PE3" s="21"/>
      <c r="PF3" s="21"/>
      <c r="PG3" s="21"/>
      <c r="PH3" s="21"/>
      <c r="PI3" s="21"/>
      <c r="PJ3" s="21"/>
      <c r="PK3" s="21"/>
      <c r="PL3" s="21"/>
      <c r="PM3" s="21"/>
      <c r="PN3" s="21"/>
      <c r="PO3" s="21"/>
      <c r="PP3" s="21"/>
      <c r="PQ3" s="21"/>
      <c r="PR3" s="21"/>
      <c r="PS3" s="21"/>
      <c r="PT3" s="21"/>
      <c r="PU3" s="21"/>
      <c r="PV3" s="21"/>
      <c r="PW3" s="21"/>
      <c r="PX3" s="21"/>
      <c r="PY3" s="21"/>
      <c r="PZ3" s="21"/>
      <c r="QA3" s="21"/>
      <c r="QB3" s="21"/>
      <c r="QC3" s="21"/>
      <c r="QD3" s="21"/>
      <c r="QE3" s="21"/>
      <c r="QF3" s="21"/>
      <c r="QG3" s="21"/>
      <c r="QH3" s="21"/>
      <c r="QI3" s="21"/>
      <c r="QJ3" s="21"/>
      <c r="QK3" s="21"/>
      <c r="QL3" s="21"/>
      <c r="QM3" s="21"/>
      <c r="QN3" s="21"/>
      <c r="QO3" s="21"/>
      <c r="QP3" s="21"/>
      <c r="QQ3" s="21"/>
      <c r="QR3" s="21"/>
      <c r="QS3" s="21"/>
      <c r="QT3" s="21"/>
      <c r="QU3" s="21"/>
      <c r="QV3" s="21"/>
      <c r="QW3" s="21"/>
      <c r="QX3" s="21"/>
      <c r="QY3" s="21"/>
      <c r="QZ3" s="21"/>
      <c r="RA3" s="21"/>
      <c r="RB3" s="21"/>
      <c r="RC3" s="21"/>
      <c r="RD3" s="21"/>
      <c r="RE3" s="21"/>
      <c r="RF3" s="21"/>
      <c r="RG3" s="21"/>
      <c r="RH3" s="21"/>
      <c r="RI3" s="21"/>
      <c r="RJ3" s="21"/>
      <c r="RK3" s="21"/>
      <c r="RL3" s="21"/>
      <c r="RM3" s="21"/>
      <c r="RN3" s="21"/>
      <c r="RO3" s="21"/>
      <c r="RP3" s="21"/>
      <c r="RQ3" s="21"/>
      <c r="RR3" s="21"/>
      <c r="RS3" s="21"/>
      <c r="RT3" s="21"/>
      <c r="RU3" s="21"/>
      <c r="RV3" s="21"/>
      <c r="RW3" s="21"/>
      <c r="RX3" s="21"/>
      <c r="RY3" s="21"/>
      <c r="RZ3" s="21"/>
      <c r="SA3" s="21"/>
      <c r="SB3" s="21"/>
      <c r="SC3" s="21"/>
      <c r="SD3" s="21"/>
      <c r="SE3" s="21"/>
      <c r="SF3" s="21"/>
      <c r="SG3" s="21"/>
      <c r="SH3" s="21"/>
      <c r="SI3" s="21"/>
      <c r="SJ3" s="21"/>
      <c r="SK3" s="21"/>
      <c r="SL3" s="21"/>
      <c r="SM3" s="21"/>
      <c r="SN3" s="21"/>
      <c r="SO3" s="21"/>
      <c r="SP3" s="21"/>
      <c r="SQ3" s="21"/>
      <c r="SR3" s="21"/>
      <c r="SS3" s="21"/>
      <c r="ST3" s="21"/>
      <c r="SU3" s="21"/>
      <c r="SV3" s="21"/>
      <c r="SW3" s="21"/>
      <c r="SX3" s="21"/>
      <c r="SY3" s="21"/>
      <c r="SZ3" s="21"/>
      <c r="TA3" s="21"/>
      <c r="TB3" s="21"/>
      <c r="TC3" s="21"/>
      <c r="TD3" s="21"/>
      <c r="TE3" s="21"/>
      <c r="TF3" s="21"/>
      <c r="TG3" s="21"/>
      <c r="TH3" s="21"/>
      <c r="TI3" s="21"/>
      <c r="TJ3" s="21"/>
      <c r="TK3" s="21"/>
      <c r="TL3" s="21"/>
      <c r="TM3" s="21"/>
      <c r="TN3" s="21"/>
      <c r="TO3" s="21"/>
      <c r="TP3" s="21"/>
      <c r="TQ3" s="21"/>
      <c r="TR3" s="21"/>
      <c r="TS3" s="21"/>
      <c r="TT3" s="21"/>
      <c r="TU3" s="21"/>
      <c r="TV3" s="21"/>
      <c r="TW3" s="21"/>
      <c r="TX3" s="21"/>
      <c r="TY3" s="21"/>
      <c r="TZ3" s="21"/>
      <c r="UA3" s="21"/>
      <c r="UB3" s="21"/>
      <c r="UC3" s="21"/>
      <c r="UD3" s="21"/>
      <c r="UE3" s="21"/>
      <c r="UF3" s="21"/>
      <c r="UG3" s="21"/>
      <c r="UH3" s="21"/>
      <c r="UI3" s="21"/>
      <c r="UJ3" s="21"/>
      <c r="UK3" s="21"/>
      <c r="UL3" s="21"/>
      <c r="UM3" s="21"/>
      <c r="UN3" s="21"/>
      <c r="UO3" s="21"/>
      <c r="UP3" s="21"/>
      <c r="UQ3" s="21"/>
      <c r="UR3" s="21"/>
      <c r="US3" s="21"/>
      <c r="UT3" s="21"/>
      <c r="UU3" s="21"/>
      <c r="UV3" s="21"/>
      <c r="UW3" s="21"/>
      <c r="UX3" s="21"/>
      <c r="UY3" s="21"/>
      <c r="UZ3" s="21"/>
      <c r="VA3" s="21"/>
      <c r="VB3" s="21"/>
      <c r="VC3" s="21"/>
      <c r="VD3" s="21"/>
      <c r="VE3" s="21"/>
      <c r="VF3" s="21"/>
      <c r="VG3" s="21"/>
      <c r="VH3" s="21"/>
      <c r="VI3" s="21"/>
      <c r="VJ3" s="21"/>
      <c r="VK3" s="21"/>
      <c r="VL3" s="21"/>
      <c r="VM3" s="21"/>
      <c r="VN3" s="21"/>
      <c r="VO3" s="21"/>
      <c r="VP3" s="21"/>
      <c r="VQ3" s="21"/>
      <c r="VR3" s="21"/>
      <c r="VS3" s="21"/>
      <c r="VT3" s="21"/>
      <c r="VU3" s="21"/>
      <c r="VV3" s="21"/>
      <c r="VW3" s="21"/>
      <c r="VX3" s="21"/>
      <c r="VY3" s="21"/>
      <c r="VZ3" s="21"/>
      <c r="WA3" s="21"/>
      <c r="WB3" s="21"/>
      <c r="WC3" s="21"/>
      <c r="WD3" s="21"/>
      <c r="WE3" s="21"/>
      <c r="WF3" s="21"/>
      <c r="WG3" s="21"/>
      <c r="WH3" s="21"/>
      <c r="WI3" s="21"/>
      <c r="WJ3" s="21"/>
      <c r="WK3" s="21"/>
      <c r="WL3" s="21"/>
      <c r="WM3" s="21"/>
      <c r="WN3" s="21"/>
      <c r="WO3" s="21"/>
      <c r="WP3" s="21"/>
      <c r="WQ3" s="21"/>
      <c r="WR3" s="21"/>
      <c r="WS3" s="21"/>
      <c r="WT3" s="21"/>
      <c r="WU3" s="21"/>
      <c r="WV3" s="21"/>
      <c r="WW3" s="21"/>
      <c r="WX3" s="21"/>
      <c r="WY3" s="21"/>
      <c r="WZ3" s="21"/>
      <c r="XA3" s="21"/>
      <c r="XB3" s="21"/>
      <c r="XC3" s="21"/>
      <c r="XD3" s="21"/>
      <c r="XE3" s="21"/>
      <c r="XF3" s="21"/>
      <c r="XG3" s="21"/>
      <c r="XH3" s="21"/>
      <c r="XI3" s="21"/>
      <c r="XJ3" s="21"/>
      <c r="XK3" s="21"/>
      <c r="XL3" s="21"/>
      <c r="XM3" s="21"/>
      <c r="XN3" s="21"/>
      <c r="XO3" s="21"/>
      <c r="XP3" s="21"/>
      <c r="XQ3" s="21"/>
      <c r="XR3" s="21"/>
      <c r="XS3" s="21"/>
      <c r="XT3" s="21"/>
      <c r="XU3" s="21"/>
      <c r="XV3" s="21"/>
      <c r="XW3" s="21"/>
      <c r="XX3" s="21"/>
      <c r="XY3" s="21"/>
      <c r="XZ3" s="21"/>
      <c r="YA3" s="21"/>
      <c r="YB3" s="21"/>
      <c r="YC3" s="21"/>
      <c r="YD3" s="21"/>
      <c r="YE3" s="21"/>
      <c r="YF3" s="21"/>
      <c r="YG3" s="21"/>
      <c r="YH3" s="21"/>
      <c r="YI3" s="21"/>
      <c r="YJ3" s="21"/>
      <c r="YK3" s="21"/>
      <c r="YL3" s="21"/>
      <c r="YM3" s="21"/>
      <c r="YN3" s="21"/>
      <c r="YO3" s="21"/>
      <c r="YP3" s="21"/>
      <c r="YQ3" s="21"/>
      <c r="YR3" s="21"/>
      <c r="YS3" s="21"/>
      <c r="YT3" s="21"/>
      <c r="YU3" s="21"/>
      <c r="YV3" s="21"/>
      <c r="YW3" s="21"/>
      <c r="YX3" s="21"/>
      <c r="YY3" s="21"/>
      <c r="YZ3" s="21"/>
      <c r="ZA3" s="21"/>
      <c r="ZB3" s="21"/>
      <c r="ZC3" s="21"/>
      <c r="ZD3" s="21"/>
      <c r="ZE3" s="21"/>
      <c r="ZF3" s="21"/>
      <c r="ZG3" s="21"/>
      <c r="ZH3" s="21"/>
      <c r="ZI3" s="21"/>
      <c r="ZJ3" s="21"/>
      <c r="ZK3" s="21"/>
      <c r="ZL3" s="21"/>
      <c r="ZM3" s="21"/>
      <c r="ZN3" s="21"/>
      <c r="ZO3" s="21"/>
      <c r="ZP3" s="21"/>
      <c r="ZQ3" s="21"/>
      <c r="ZR3" s="21"/>
      <c r="ZS3" s="21"/>
      <c r="ZT3" s="21"/>
      <c r="ZU3" s="21"/>
      <c r="ZV3" s="21"/>
      <c r="ZW3" s="21"/>
      <c r="ZX3" s="21"/>
      <c r="ZY3" s="21"/>
      <c r="ZZ3" s="21"/>
      <c r="AAA3" s="21"/>
      <c r="AAB3" s="21"/>
      <c r="AAC3" s="21"/>
      <c r="AAD3" s="21"/>
      <c r="AAE3" s="21"/>
      <c r="AAF3" s="21"/>
      <c r="AAG3" s="21"/>
      <c r="AAH3" s="21"/>
      <c r="AAI3" s="21"/>
      <c r="AAJ3" s="21"/>
      <c r="AAK3" s="21"/>
      <c r="AAL3" s="21"/>
      <c r="AAM3" s="21"/>
      <c r="AAN3" s="21"/>
      <c r="AAO3" s="21"/>
      <c r="AAP3" s="21"/>
      <c r="AAQ3" s="21"/>
      <c r="AAR3" s="21"/>
      <c r="AAS3" s="21"/>
      <c r="AAT3" s="21"/>
      <c r="AAU3" s="21"/>
      <c r="AAV3" s="21"/>
      <c r="AAW3" s="21"/>
      <c r="AAX3" s="21"/>
      <c r="AAY3" s="21"/>
      <c r="AAZ3" s="21"/>
      <c r="ABA3" s="21"/>
      <c r="ABB3" s="21"/>
      <c r="ABC3" s="21"/>
      <c r="ABD3" s="21"/>
      <c r="ABE3" s="21"/>
      <c r="ABF3" s="21"/>
      <c r="ABG3" s="21"/>
      <c r="ABH3" s="21"/>
      <c r="ABI3" s="21"/>
      <c r="ABJ3" s="21"/>
      <c r="ABK3" s="21"/>
      <c r="ABL3" s="21"/>
      <c r="ABM3" s="21"/>
      <c r="ABN3" s="21"/>
      <c r="ABO3" s="21"/>
      <c r="ABP3" s="21"/>
      <c r="ABQ3" s="21"/>
      <c r="ABR3" s="21"/>
      <c r="ABS3" s="21"/>
      <c r="ABT3" s="21"/>
      <c r="ABU3" s="21"/>
      <c r="ABV3" s="21"/>
      <c r="ABW3" s="21"/>
      <c r="ABX3" s="21"/>
      <c r="ABY3" s="21"/>
      <c r="ABZ3" s="21"/>
      <c r="ACA3" s="21"/>
      <c r="ACB3" s="21"/>
      <c r="ACC3" s="21"/>
      <c r="ACD3" s="21"/>
      <c r="ACE3" s="21"/>
      <c r="ACF3" s="21"/>
      <c r="ACG3" s="21"/>
      <c r="ACH3" s="21"/>
      <c r="ACI3" s="21"/>
      <c r="ACJ3" s="21"/>
      <c r="ACK3" s="21"/>
      <c r="ACL3" s="21"/>
      <c r="ACM3" s="21"/>
      <c r="ACN3" s="21"/>
      <c r="ACO3" s="21"/>
      <c r="ACP3" s="21"/>
      <c r="ACQ3" s="21"/>
      <c r="ACR3" s="21"/>
      <c r="ACS3" s="21"/>
      <c r="ACT3" s="21"/>
      <c r="ACU3" s="21"/>
      <c r="ACV3" s="21"/>
      <c r="ACW3" s="21"/>
      <c r="ACX3" s="21"/>
      <c r="ACY3" s="21"/>
      <c r="ACZ3" s="21"/>
      <c r="ADA3" s="21"/>
      <c r="ADB3" s="21"/>
      <c r="ADC3" s="21"/>
      <c r="ADD3" s="21"/>
      <c r="ADE3" s="21"/>
      <c r="ADF3" s="21"/>
      <c r="ADG3" s="21"/>
      <c r="ADH3" s="21"/>
      <c r="ADI3" s="21"/>
      <c r="ADJ3" s="21"/>
      <c r="ADK3" s="21"/>
      <c r="ADL3" s="21"/>
      <c r="ADM3" s="21"/>
      <c r="ADN3" s="21"/>
      <c r="ADO3" s="21"/>
      <c r="ADP3" s="21"/>
      <c r="ADQ3" s="21"/>
      <c r="ADR3" s="21"/>
      <c r="ADS3" s="21"/>
      <c r="ADT3" s="21"/>
      <c r="ADU3" s="21"/>
      <c r="ADV3" s="21"/>
      <c r="ADW3" s="21"/>
      <c r="ADX3" s="21"/>
      <c r="ADY3" s="21"/>
      <c r="ADZ3" s="21"/>
      <c r="AEA3" s="21"/>
      <c r="AEB3" s="21"/>
      <c r="AEC3" s="21"/>
      <c r="AED3" s="21"/>
      <c r="AEE3" s="21"/>
      <c r="AEF3" s="21"/>
      <c r="AEG3" s="21"/>
      <c r="AEH3" s="21"/>
      <c r="AEI3" s="21"/>
      <c r="AEJ3" s="21"/>
      <c r="AEK3" s="21"/>
      <c r="AEL3" s="21"/>
      <c r="AEM3" s="21"/>
      <c r="AEN3" s="21"/>
      <c r="AEO3" s="21"/>
      <c r="AEP3" s="21"/>
      <c r="AEQ3" s="21"/>
      <c r="AER3" s="21"/>
      <c r="AES3" s="21"/>
      <c r="AET3" s="21"/>
      <c r="AEU3" s="21"/>
      <c r="AEV3" s="21"/>
      <c r="AEW3" s="21"/>
      <c r="AEX3" s="21"/>
      <c r="AEY3" s="21"/>
      <c r="AEZ3" s="21"/>
      <c r="AFA3" s="21"/>
      <c r="AFB3" s="21"/>
      <c r="AFC3" s="21"/>
      <c r="AFD3" s="21"/>
      <c r="AFE3" s="21"/>
      <c r="AFF3" s="21"/>
      <c r="AFG3" s="21"/>
      <c r="AFH3" s="21"/>
      <c r="AFI3" s="21"/>
      <c r="AFJ3" s="21"/>
      <c r="AFK3" s="21"/>
      <c r="AFL3" s="21"/>
      <c r="AFM3" s="21"/>
      <c r="AFN3" s="21"/>
      <c r="AFO3" s="21"/>
      <c r="AFP3" s="21"/>
      <c r="AFQ3" s="21"/>
      <c r="AFR3" s="21"/>
      <c r="AFS3" s="21"/>
      <c r="AFT3" s="21"/>
      <c r="AFU3" s="21"/>
      <c r="AFV3" s="21"/>
      <c r="AFW3" s="21"/>
      <c r="AFX3" s="21"/>
      <c r="AFY3" s="21"/>
      <c r="AFZ3" s="21"/>
      <c r="AGA3" s="21"/>
      <c r="AGB3" s="21"/>
      <c r="AGC3" s="21"/>
      <c r="AGD3" s="21"/>
      <c r="AGE3" s="21"/>
      <c r="AGF3" s="21"/>
      <c r="AGG3" s="21"/>
      <c r="AGH3" s="21"/>
      <c r="AGI3" s="21"/>
      <c r="AGJ3" s="21"/>
      <c r="AGK3" s="21"/>
      <c r="AGL3" s="21"/>
      <c r="AGM3" s="21"/>
      <c r="AGN3" s="21"/>
      <c r="AGO3" s="21"/>
      <c r="AGP3" s="21"/>
      <c r="AGQ3" s="21"/>
      <c r="AGR3" s="21"/>
      <c r="AGS3" s="21"/>
      <c r="AGT3" s="21"/>
      <c r="AGU3" s="21"/>
      <c r="AGV3" s="21"/>
      <c r="AGW3" s="21"/>
      <c r="AGX3" s="21"/>
      <c r="AGY3" s="21"/>
      <c r="AGZ3" s="21"/>
      <c r="AHA3" s="21"/>
      <c r="AHB3" s="21"/>
      <c r="AHC3" s="21"/>
      <c r="AHD3" s="21"/>
      <c r="AHE3" s="21"/>
    </row>
    <row r="4" spans="1:889" ht="13">
      <c r="A4" s="12"/>
      <c r="B4" s="17" t="s">
        <v>15</v>
      </c>
      <c r="C4" s="12"/>
      <c r="D4" s="22"/>
      <c r="E4" s="23">
        <v>45839</v>
      </c>
      <c r="F4" s="23">
        <v>45870</v>
      </c>
      <c r="G4" s="23">
        <v>45901</v>
      </c>
      <c r="H4" s="23">
        <v>45931</v>
      </c>
      <c r="I4" s="23">
        <v>45962</v>
      </c>
      <c r="J4" s="23">
        <v>45992</v>
      </c>
      <c r="K4" s="23">
        <v>46023</v>
      </c>
      <c r="L4" s="23">
        <v>46054</v>
      </c>
      <c r="M4" s="23">
        <v>46082</v>
      </c>
      <c r="N4" s="23">
        <v>46113</v>
      </c>
      <c r="O4" s="23">
        <v>46143</v>
      </c>
      <c r="P4" s="23">
        <v>46174</v>
      </c>
      <c r="Q4" s="23">
        <v>46204</v>
      </c>
      <c r="R4" s="23" t="s">
        <v>76</v>
      </c>
      <c r="S4" s="23">
        <v>46266</v>
      </c>
      <c r="T4" s="23">
        <v>46204</v>
      </c>
      <c r="U4" s="23" t="s">
        <v>76</v>
      </c>
      <c r="V4" s="23">
        <v>46266</v>
      </c>
      <c r="W4" s="23">
        <v>46204</v>
      </c>
      <c r="X4" s="23" t="s">
        <v>76</v>
      </c>
      <c r="Y4" s="23">
        <v>46266</v>
      </c>
      <c r="Z4" s="23">
        <v>46204</v>
      </c>
      <c r="AA4" s="23" t="s">
        <v>76</v>
      </c>
      <c r="AB4" s="23">
        <v>46266</v>
      </c>
      <c r="AC4" s="23">
        <v>46569</v>
      </c>
      <c r="AD4" s="23">
        <v>46600</v>
      </c>
      <c r="AE4" s="23">
        <v>46631</v>
      </c>
      <c r="AF4" s="23">
        <v>46661</v>
      </c>
      <c r="AG4" s="23">
        <v>46692</v>
      </c>
      <c r="AH4" s="23">
        <v>46722</v>
      </c>
      <c r="AI4" s="23">
        <v>46753</v>
      </c>
      <c r="AJ4" s="23">
        <v>46784</v>
      </c>
      <c r="AK4" s="23">
        <v>46813</v>
      </c>
      <c r="AL4" s="23">
        <v>46844</v>
      </c>
      <c r="AM4" s="23">
        <v>46874</v>
      </c>
      <c r="AN4" s="23">
        <v>46905</v>
      </c>
      <c r="AO4" s="23">
        <v>46935</v>
      </c>
      <c r="AP4" s="23">
        <v>46966</v>
      </c>
      <c r="AQ4" s="23">
        <v>46997</v>
      </c>
      <c r="AR4" s="23">
        <v>47027</v>
      </c>
      <c r="AS4" s="23">
        <v>47058</v>
      </c>
      <c r="AT4" s="23">
        <v>47088</v>
      </c>
      <c r="AU4" s="23">
        <v>47119</v>
      </c>
      <c r="AV4" s="23">
        <v>47150</v>
      </c>
      <c r="AW4" s="23">
        <v>47178</v>
      </c>
      <c r="AX4" s="23">
        <v>47209</v>
      </c>
      <c r="AY4" s="23">
        <v>47239</v>
      </c>
      <c r="AZ4" s="23">
        <v>47270</v>
      </c>
      <c r="BA4" s="23">
        <v>47300</v>
      </c>
      <c r="BB4" s="23">
        <v>47331</v>
      </c>
      <c r="BC4" s="23">
        <v>47362</v>
      </c>
      <c r="BD4" s="23">
        <v>47392</v>
      </c>
      <c r="BE4" s="23">
        <v>47423</v>
      </c>
      <c r="BF4" s="23">
        <v>47453</v>
      </c>
      <c r="BG4" s="23">
        <v>47484</v>
      </c>
      <c r="BH4" s="23">
        <v>47515</v>
      </c>
      <c r="BI4" s="23">
        <v>47543</v>
      </c>
      <c r="BJ4" s="23">
        <v>47574</v>
      </c>
      <c r="BK4" s="23">
        <v>47604</v>
      </c>
      <c r="BL4" s="23">
        <v>47635</v>
      </c>
      <c r="BM4" s="23">
        <v>47665</v>
      </c>
      <c r="BN4" s="23">
        <v>47696</v>
      </c>
      <c r="BO4" s="23">
        <v>47727</v>
      </c>
      <c r="BP4" s="23">
        <v>47757</v>
      </c>
      <c r="BQ4" s="23">
        <v>47788</v>
      </c>
      <c r="BR4" s="23">
        <v>47818</v>
      </c>
      <c r="BS4" s="23">
        <v>47849</v>
      </c>
      <c r="BT4" s="23">
        <v>47880</v>
      </c>
      <c r="BU4" s="23">
        <v>47908</v>
      </c>
      <c r="BV4" s="23">
        <v>47939</v>
      </c>
      <c r="BW4" s="23">
        <v>47969</v>
      </c>
      <c r="BX4" s="23">
        <v>48000</v>
      </c>
      <c r="BY4" s="23">
        <v>48030</v>
      </c>
      <c r="BZ4" s="23">
        <v>48061</v>
      </c>
      <c r="CA4" s="23">
        <v>48092</v>
      </c>
      <c r="CB4" s="23">
        <v>48122</v>
      </c>
      <c r="CC4" s="23">
        <v>48153</v>
      </c>
      <c r="CD4" s="23">
        <v>48183</v>
      </c>
      <c r="CE4" s="23">
        <v>48214</v>
      </c>
      <c r="CF4" s="23">
        <v>48245</v>
      </c>
      <c r="CG4" s="23">
        <v>48274</v>
      </c>
      <c r="CH4" s="23">
        <v>48305</v>
      </c>
      <c r="CI4" s="23">
        <v>48335</v>
      </c>
      <c r="CJ4" s="23">
        <v>48366</v>
      </c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  <c r="IY4" s="21"/>
      <c r="IZ4" s="21"/>
      <c r="JA4" s="21"/>
      <c r="JB4" s="21"/>
      <c r="JC4" s="21"/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1"/>
      <c r="JY4" s="21"/>
      <c r="JZ4" s="21"/>
      <c r="KA4" s="21"/>
      <c r="KB4" s="21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1"/>
      <c r="KT4" s="21"/>
      <c r="KU4" s="21"/>
      <c r="KV4" s="21"/>
      <c r="KW4" s="21"/>
      <c r="KX4" s="21"/>
      <c r="KY4" s="21"/>
      <c r="KZ4" s="21"/>
      <c r="LA4" s="21"/>
      <c r="LB4" s="21"/>
      <c r="LC4" s="21"/>
      <c r="LD4" s="21"/>
      <c r="LE4" s="21"/>
      <c r="LF4" s="21"/>
      <c r="LG4" s="21"/>
      <c r="LH4" s="21"/>
      <c r="LI4" s="21"/>
      <c r="LJ4" s="21"/>
      <c r="LK4" s="21"/>
      <c r="LL4" s="21"/>
      <c r="LM4" s="21"/>
      <c r="LN4" s="21"/>
      <c r="LO4" s="21"/>
      <c r="LP4" s="21"/>
      <c r="LQ4" s="21"/>
      <c r="LR4" s="21"/>
      <c r="LS4" s="21"/>
      <c r="LT4" s="21"/>
      <c r="LU4" s="21"/>
      <c r="LV4" s="21"/>
      <c r="LW4" s="21"/>
      <c r="LX4" s="21"/>
      <c r="LY4" s="21"/>
      <c r="LZ4" s="21"/>
      <c r="MA4" s="21"/>
      <c r="MB4" s="21"/>
      <c r="MC4" s="21"/>
      <c r="MD4" s="21"/>
      <c r="ME4" s="21"/>
      <c r="MF4" s="21"/>
      <c r="MG4" s="21"/>
      <c r="MH4" s="21"/>
      <c r="MI4" s="21"/>
      <c r="MJ4" s="21"/>
      <c r="MK4" s="21"/>
      <c r="ML4" s="21"/>
      <c r="MM4" s="21"/>
      <c r="MN4" s="21"/>
      <c r="MO4" s="21"/>
      <c r="MP4" s="21"/>
      <c r="MQ4" s="21"/>
      <c r="MR4" s="21"/>
      <c r="MS4" s="21"/>
      <c r="MT4" s="21"/>
      <c r="MU4" s="21"/>
      <c r="MV4" s="21"/>
      <c r="MW4" s="21"/>
      <c r="MX4" s="21"/>
      <c r="MY4" s="21"/>
      <c r="MZ4" s="21"/>
      <c r="NA4" s="21"/>
      <c r="NB4" s="21"/>
      <c r="NC4" s="21"/>
      <c r="ND4" s="21"/>
      <c r="NE4" s="21"/>
      <c r="NF4" s="21"/>
      <c r="NG4" s="21"/>
      <c r="NH4" s="21"/>
      <c r="NI4" s="21"/>
      <c r="NJ4" s="21"/>
      <c r="NK4" s="21"/>
      <c r="NL4" s="21"/>
      <c r="NM4" s="21"/>
      <c r="NN4" s="21"/>
      <c r="NO4" s="21"/>
      <c r="NP4" s="21"/>
      <c r="NQ4" s="21"/>
      <c r="NR4" s="21"/>
      <c r="NS4" s="21"/>
      <c r="NT4" s="21"/>
      <c r="NU4" s="21"/>
      <c r="NV4" s="21"/>
      <c r="NW4" s="21"/>
      <c r="NX4" s="21"/>
      <c r="NY4" s="21"/>
      <c r="NZ4" s="21"/>
      <c r="OA4" s="21"/>
      <c r="OB4" s="21"/>
      <c r="OC4" s="21"/>
      <c r="OD4" s="21"/>
      <c r="OE4" s="21"/>
      <c r="OF4" s="21"/>
      <c r="OG4" s="21"/>
      <c r="OH4" s="21"/>
      <c r="OI4" s="21"/>
      <c r="OJ4" s="21"/>
      <c r="OK4" s="21"/>
      <c r="OL4" s="21"/>
      <c r="OM4" s="21"/>
      <c r="ON4" s="21"/>
      <c r="OO4" s="21"/>
      <c r="OP4" s="21"/>
      <c r="OQ4" s="21"/>
      <c r="OR4" s="21"/>
      <c r="OS4" s="21"/>
      <c r="OT4" s="21"/>
      <c r="OU4" s="21"/>
      <c r="OV4" s="21"/>
      <c r="OW4" s="21"/>
      <c r="OX4" s="21"/>
      <c r="OY4" s="21"/>
      <c r="OZ4" s="21"/>
      <c r="PA4" s="21"/>
      <c r="PB4" s="21"/>
      <c r="PC4" s="21"/>
      <c r="PD4" s="21"/>
      <c r="PE4" s="21"/>
      <c r="PF4" s="21"/>
      <c r="PG4" s="21"/>
      <c r="PH4" s="21"/>
      <c r="PI4" s="21"/>
      <c r="PJ4" s="21"/>
      <c r="PK4" s="21"/>
      <c r="PL4" s="21"/>
      <c r="PM4" s="21"/>
      <c r="PN4" s="21"/>
      <c r="PO4" s="21"/>
      <c r="PP4" s="21"/>
      <c r="PQ4" s="21"/>
      <c r="PR4" s="21"/>
      <c r="PS4" s="21"/>
      <c r="PT4" s="21"/>
      <c r="PU4" s="21"/>
      <c r="PV4" s="21"/>
      <c r="PW4" s="21"/>
      <c r="PX4" s="21"/>
      <c r="PY4" s="21"/>
      <c r="PZ4" s="21"/>
      <c r="QA4" s="21"/>
      <c r="QB4" s="21"/>
      <c r="QC4" s="21"/>
      <c r="QD4" s="21"/>
      <c r="QE4" s="21"/>
      <c r="QF4" s="21"/>
      <c r="QG4" s="21"/>
      <c r="QH4" s="21"/>
      <c r="QI4" s="21"/>
      <c r="QJ4" s="21"/>
      <c r="QK4" s="21"/>
      <c r="QL4" s="21"/>
      <c r="QM4" s="21"/>
      <c r="QN4" s="21"/>
      <c r="QO4" s="21"/>
      <c r="QP4" s="21"/>
      <c r="QQ4" s="21"/>
      <c r="QR4" s="21"/>
      <c r="QS4" s="21"/>
      <c r="QT4" s="21"/>
      <c r="QU4" s="21"/>
      <c r="QV4" s="21"/>
      <c r="QW4" s="21"/>
      <c r="QX4" s="21"/>
      <c r="QY4" s="21"/>
      <c r="QZ4" s="21"/>
      <c r="RA4" s="21"/>
      <c r="RB4" s="21"/>
      <c r="RC4" s="21"/>
      <c r="RD4" s="21"/>
      <c r="RE4" s="21"/>
      <c r="RF4" s="21"/>
      <c r="RG4" s="21"/>
      <c r="RH4" s="21"/>
      <c r="RI4" s="21"/>
      <c r="RJ4" s="21"/>
      <c r="RK4" s="21"/>
      <c r="RL4" s="21"/>
      <c r="RM4" s="21"/>
      <c r="RN4" s="21"/>
      <c r="RO4" s="21"/>
      <c r="RP4" s="21"/>
      <c r="RQ4" s="21"/>
      <c r="RR4" s="21"/>
      <c r="RS4" s="21"/>
      <c r="RT4" s="21"/>
      <c r="RU4" s="21"/>
      <c r="RV4" s="21"/>
      <c r="RW4" s="21"/>
      <c r="RX4" s="21"/>
      <c r="RY4" s="21"/>
      <c r="RZ4" s="21"/>
      <c r="SA4" s="21"/>
      <c r="SB4" s="21"/>
      <c r="SC4" s="21"/>
      <c r="SD4" s="21"/>
      <c r="SE4" s="21"/>
      <c r="SF4" s="21"/>
      <c r="SG4" s="21"/>
      <c r="SH4" s="21"/>
      <c r="SI4" s="21"/>
      <c r="SJ4" s="21"/>
      <c r="SK4" s="21"/>
      <c r="SL4" s="21"/>
      <c r="SM4" s="21"/>
      <c r="SN4" s="21"/>
      <c r="SO4" s="21"/>
      <c r="SP4" s="21"/>
      <c r="SQ4" s="21"/>
      <c r="SR4" s="21"/>
      <c r="SS4" s="21"/>
      <c r="ST4" s="21"/>
      <c r="SU4" s="21"/>
      <c r="SV4" s="21"/>
      <c r="SW4" s="21"/>
      <c r="SX4" s="21"/>
      <c r="SY4" s="21"/>
      <c r="SZ4" s="21"/>
      <c r="TA4" s="21"/>
      <c r="TB4" s="21"/>
      <c r="TC4" s="21"/>
      <c r="TD4" s="21"/>
      <c r="TE4" s="21"/>
      <c r="TF4" s="21"/>
      <c r="TG4" s="21"/>
      <c r="TH4" s="21"/>
      <c r="TI4" s="21"/>
      <c r="TJ4" s="21"/>
      <c r="TK4" s="21"/>
      <c r="TL4" s="21"/>
      <c r="TM4" s="21"/>
      <c r="TN4" s="21"/>
      <c r="TO4" s="21"/>
      <c r="TP4" s="21"/>
      <c r="TQ4" s="21"/>
      <c r="TR4" s="21"/>
      <c r="TS4" s="21"/>
      <c r="TT4" s="21"/>
      <c r="TU4" s="21"/>
      <c r="TV4" s="21"/>
      <c r="TW4" s="21"/>
      <c r="TX4" s="21"/>
      <c r="TY4" s="21"/>
      <c r="TZ4" s="21"/>
      <c r="UA4" s="21"/>
      <c r="UB4" s="21"/>
      <c r="UC4" s="21"/>
      <c r="UD4" s="21"/>
      <c r="UE4" s="21"/>
      <c r="UF4" s="21"/>
      <c r="UG4" s="21"/>
      <c r="UH4" s="21"/>
      <c r="UI4" s="21"/>
      <c r="UJ4" s="21"/>
      <c r="UK4" s="21"/>
      <c r="UL4" s="21"/>
      <c r="UM4" s="21"/>
      <c r="UN4" s="21"/>
      <c r="UO4" s="21"/>
      <c r="UP4" s="21"/>
      <c r="UQ4" s="21"/>
      <c r="UR4" s="21"/>
      <c r="US4" s="21"/>
      <c r="UT4" s="21"/>
      <c r="UU4" s="21"/>
      <c r="UV4" s="21"/>
      <c r="UW4" s="21"/>
      <c r="UX4" s="21"/>
      <c r="UY4" s="21"/>
      <c r="UZ4" s="21"/>
      <c r="VA4" s="21"/>
      <c r="VB4" s="21"/>
      <c r="VC4" s="21"/>
      <c r="VD4" s="21"/>
      <c r="VE4" s="21"/>
      <c r="VF4" s="21"/>
      <c r="VG4" s="21"/>
      <c r="VH4" s="21"/>
      <c r="VI4" s="21"/>
      <c r="VJ4" s="21"/>
      <c r="VK4" s="21"/>
      <c r="VL4" s="21"/>
      <c r="VM4" s="21"/>
      <c r="VN4" s="21"/>
      <c r="VO4" s="21"/>
      <c r="VP4" s="21"/>
      <c r="VQ4" s="21"/>
      <c r="VR4" s="21"/>
      <c r="VS4" s="21"/>
      <c r="VT4" s="21"/>
      <c r="VU4" s="21"/>
      <c r="VV4" s="21"/>
      <c r="VW4" s="21"/>
      <c r="VX4" s="21"/>
      <c r="VY4" s="21"/>
      <c r="VZ4" s="21"/>
      <c r="WA4" s="21"/>
      <c r="WB4" s="21"/>
      <c r="WC4" s="21"/>
      <c r="WD4" s="21"/>
      <c r="WE4" s="21"/>
      <c r="WF4" s="21"/>
      <c r="WG4" s="21"/>
      <c r="WH4" s="21"/>
      <c r="WI4" s="21"/>
      <c r="WJ4" s="21"/>
      <c r="WK4" s="21"/>
      <c r="WL4" s="21"/>
      <c r="WM4" s="21"/>
      <c r="WN4" s="21"/>
      <c r="WO4" s="21"/>
      <c r="WP4" s="21"/>
      <c r="WQ4" s="21"/>
      <c r="WR4" s="21"/>
      <c r="WS4" s="21"/>
      <c r="WT4" s="21"/>
      <c r="WU4" s="21"/>
      <c r="WV4" s="21"/>
      <c r="WW4" s="21"/>
      <c r="WX4" s="21"/>
      <c r="WY4" s="21"/>
      <c r="WZ4" s="21"/>
      <c r="XA4" s="21"/>
      <c r="XB4" s="21"/>
      <c r="XC4" s="21"/>
      <c r="XD4" s="21"/>
      <c r="XE4" s="21"/>
      <c r="XF4" s="21"/>
      <c r="XG4" s="21"/>
      <c r="XH4" s="21"/>
      <c r="XI4" s="21"/>
      <c r="XJ4" s="21"/>
      <c r="XK4" s="21"/>
      <c r="XL4" s="21"/>
      <c r="XM4" s="21"/>
      <c r="XN4" s="21"/>
      <c r="XO4" s="21"/>
      <c r="XP4" s="21"/>
      <c r="XQ4" s="21"/>
      <c r="XR4" s="21"/>
      <c r="XS4" s="21"/>
      <c r="XT4" s="21"/>
      <c r="XU4" s="21"/>
      <c r="XV4" s="21"/>
      <c r="XW4" s="21"/>
      <c r="XX4" s="21"/>
      <c r="XY4" s="21"/>
      <c r="XZ4" s="21"/>
      <c r="YA4" s="21"/>
      <c r="YB4" s="21"/>
      <c r="YC4" s="21"/>
      <c r="YD4" s="21"/>
      <c r="YE4" s="21"/>
      <c r="YF4" s="21"/>
      <c r="YG4" s="21"/>
      <c r="YH4" s="21"/>
      <c r="YI4" s="21"/>
      <c r="YJ4" s="21"/>
      <c r="YK4" s="21"/>
      <c r="YL4" s="21"/>
      <c r="YM4" s="21"/>
      <c r="YN4" s="21"/>
      <c r="YO4" s="21"/>
      <c r="YP4" s="21"/>
      <c r="YQ4" s="21"/>
      <c r="YR4" s="21"/>
      <c r="YS4" s="21"/>
      <c r="YT4" s="21"/>
      <c r="YU4" s="21"/>
      <c r="YV4" s="21"/>
      <c r="YW4" s="21"/>
      <c r="YX4" s="21"/>
      <c r="YY4" s="21"/>
      <c r="YZ4" s="21"/>
      <c r="ZA4" s="21"/>
      <c r="ZB4" s="21"/>
      <c r="ZC4" s="21"/>
      <c r="ZD4" s="21"/>
      <c r="ZE4" s="21"/>
      <c r="ZF4" s="21"/>
      <c r="ZG4" s="21"/>
      <c r="ZH4" s="21"/>
      <c r="ZI4" s="21"/>
      <c r="ZJ4" s="21"/>
      <c r="ZK4" s="21"/>
      <c r="ZL4" s="21"/>
      <c r="ZM4" s="21"/>
      <c r="ZN4" s="21"/>
      <c r="ZO4" s="21"/>
      <c r="ZP4" s="21"/>
      <c r="ZQ4" s="21"/>
      <c r="ZR4" s="21"/>
      <c r="ZS4" s="21"/>
      <c r="ZT4" s="21"/>
      <c r="ZU4" s="21"/>
      <c r="ZV4" s="21"/>
      <c r="ZW4" s="21"/>
      <c r="ZX4" s="21"/>
      <c r="ZY4" s="21"/>
      <c r="ZZ4" s="21"/>
      <c r="AAA4" s="21"/>
      <c r="AAB4" s="21"/>
      <c r="AAC4" s="21"/>
      <c r="AAD4" s="21"/>
      <c r="AAE4" s="21"/>
      <c r="AAF4" s="21"/>
      <c r="AAG4" s="21"/>
      <c r="AAH4" s="21"/>
      <c r="AAI4" s="21"/>
      <c r="AAJ4" s="21"/>
      <c r="AAK4" s="21"/>
      <c r="AAL4" s="21"/>
      <c r="AAM4" s="21"/>
      <c r="AAN4" s="21"/>
      <c r="AAO4" s="21"/>
      <c r="AAP4" s="21"/>
      <c r="AAQ4" s="21"/>
      <c r="AAR4" s="21"/>
      <c r="AAS4" s="21"/>
      <c r="AAT4" s="21"/>
      <c r="AAU4" s="21"/>
      <c r="AAV4" s="21"/>
      <c r="AAW4" s="21"/>
      <c r="AAX4" s="21"/>
      <c r="AAY4" s="21"/>
      <c r="AAZ4" s="21"/>
      <c r="ABA4" s="21"/>
      <c r="ABB4" s="21"/>
      <c r="ABC4" s="21"/>
      <c r="ABD4" s="21"/>
      <c r="ABE4" s="21"/>
      <c r="ABF4" s="21"/>
      <c r="ABG4" s="21"/>
      <c r="ABH4" s="21"/>
      <c r="ABI4" s="21"/>
      <c r="ABJ4" s="21"/>
      <c r="ABK4" s="21"/>
      <c r="ABL4" s="21"/>
      <c r="ABM4" s="21"/>
      <c r="ABN4" s="21"/>
      <c r="ABO4" s="21"/>
      <c r="ABP4" s="21"/>
      <c r="ABQ4" s="21"/>
      <c r="ABR4" s="21"/>
      <c r="ABS4" s="21"/>
      <c r="ABT4" s="21"/>
      <c r="ABU4" s="21"/>
      <c r="ABV4" s="21"/>
      <c r="ABW4" s="21"/>
      <c r="ABX4" s="21"/>
      <c r="ABY4" s="21"/>
      <c r="ABZ4" s="21"/>
      <c r="ACA4" s="21"/>
      <c r="ACB4" s="21"/>
      <c r="ACC4" s="21"/>
      <c r="ACD4" s="21"/>
      <c r="ACE4" s="21"/>
      <c r="ACF4" s="21"/>
      <c r="ACG4" s="21"/>
      <c r="ACH4" s="21"/>
      <c r="ACI4" s="21"/>
      <c r="ACJ4" s="21"/>
      <c r="ACK4" s="21"/>
      <c r="ACL4" s="21"/>
      <c r="ACM4" s="21"/>
      <c r="ACN4" s="21"/>
      <c r="ACO4" s="21"/>
      <c r="ACP4" s="21"/>
      <c r="ACQ4" s="21"/>
      <c r="ACR4" s="21"/>
      <c r="ACS4" s="21"/>
      <c r="ACT4" s="21"/>
      <c r="ACU4" s="21"/>
      <c r="ACV4" s="21"/>
      <c r="ACW4" s="21"/>
      <c r="ACX4" s="21"/>
      <c r="ACY4" s="21"/>
      <c r="ACZ4" s="21"/>
      <c r="ADA4" s="21"/>
      <c r="ADB4" s="21"/>
      <c r="ADC4" s="21"/>
      <c r="ADD4" s="21"/>
      <c r="ADE4" s="21"/>
      <c r="ADF4" s="21"/>
      <c r="ADG4" s="21"/>
      <c r="ADH4" s="21"/>
      <c r="ADI4" s="21"/>
      <c r="ADJ4" s="21"/>
      <c r="ADK4" s="21"/>
      <c r="ADL4" s="21"/>
      <c r="ADM4" s="21"/>
      <c r="ADN4" s="21"/>
      <c r="ADO4" s="21"/>
      <c r="ADP4" s="21"/>
      <c r="ADQ4" s="21"/>
      <c r="ADR4" s="21"/>
      <c r="ADS4" s="21"/>
      <c r="ADT4" s="21"/>
      <c r="ADU4" s="21"/>
      <c r="ADV4" s="21"/>
      <c r="ADW4" s="21"/>
      <c r="ADX4" s="21"/>
      <c r="ADY4" s="21"/>
      <c r="ADZ4" s="21"/>
      <c r="AEA4" s="21"/>
      <c r="AEB4" s="21"/>
      <c r="AEC4" s="21"/>
      <c r="AED4" s="21"/>
      <c r="AEE4" s="21"/>
      <c r="AEF4" s="21"/>
      <c r="AEG4" s="21"/>
      <c r="AEH4" s="21"/>
      <c r="AEI4" s="21"/>
      <c r="AEJ4" s="21"/>
      <c r="AEK4" s="21"/>
      <c r="AEL4" s="21"/>
      <c r="AEM4" s="21"/>
      <c r="AEN4" s="21"/>
      <c r="AEO4" s="21"/>
      <c r="AEP4" s="21"/>
      <c r="AEQ4" s="21"/>
      <c r="AER4" s="21"/>
      <c r="AES4" s="21"/>
      <c r="AET4" s="21"/>
      <c r="AEU4" s="21"/>
      <c r="AEV4" s="21"/>
      <c r="AEW4" s="21"/>
      <c r="AEX4" s="21"/>
      <c r="AEY4" s="21"/>
      <c r="AEZ4" s="21"/>
      <c r="AFA4" s="21"/>
      <c r="AFB4" s="21"/>
      <c r="AFC4" s="21"/>
      <c r="AFD4" s="21"/>
      <c r="AFE4" s="21"/>
      <c r="AFF4" s="21"/>
      <c r="AFG4" s="21"/>
      <c r="AFH4" s="21"/>
      <c r="AFI4" s="21"/>
      <c r="AFJ4" s="21"/>
      <c r="AFK4" s="21"/>
      <c r="AFL4" s="21"/>
      <c r="AFM4" s="21"/>
      <c r="AFN4" s="21"/>
      <c r="AFO4" s="21"/>
      <c r="AFP4" s="21"/>
      <c r="AFQ4" s="21"/>
      <c r="AFR4" s="21"/>
      <c r="AFS4" s="21"/>
      <c r="AFT4" s="21"/>
      <c r="AFU4" s="21"/>
      <c r="AFV4" s="21"/>
      <c r="AFW4" s="21"/>
      <c r="AFX4" s="21"/>
      <c r="AFY4" s="21"/>
      <c r="AFZ4" s="21"/>
      <c r="AGA4" s="21"/>
      <c r="AGB4" s="21"/>
      <c r="AGC4" s="21"/>
      <c r="AGD4" s="21"/>
      <c r="AGE4" s="21"/>
      <c r="AGF4" s="21"/>
      <c r="AGG4" s="21"/>
      <c r="AGH4" s="21"/>
      <c r="AGI4" s="21"/>
      <c r="AGJ4" s="21"/>
      <c r="AGK4" s="21"/>
      <c r="AGL4" s="21"/>
      <c r="AGM4" s="21"/>
      <c r="AGN4" s="21"/>
      <c r="AGO4" s="21"/>
      <c r="AGP4" s="21"/>
      <c r="AGQ4" s="21"/>
      <c r="AGR4" s="21"/>
      <c r="AGS4" s="21"/>
      <c r="AGT4" s="21"/>
      <c r="AGU4" s="21"/>
      <c r="AGV4" s="21"/>
      <c r="AGW4" s="21"/>
      <c r="AGX4" s="21"/>
      <c r="AGY4" s="21"/>
      <c r="AGZ4" s="21"/>
      <c r="AHA4" s="21"/>
      <c r="AHB4" s="21"/>
      <c r="AHC4" s="21"/>
      <c r="AHD4" s="21"/>
      <c r="AHE4" s="21"/>
    </row>
    <row r="5" spans="1:889" ht="13">
      <c r="A5" s="25"/>
      <c r="B5" s="25"/>
      <c r="C5" s="26"/>
      <c r="D5" s="21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1"/>
      <c r="KT5" s="21"/>
      <c r="KU5" s="21"/>
      <c r="KV5" s="21"/>
      <c r="KW5" s="21"/>
      <c r="KX5" s="21"/>
      <c r="KY5" s="21"/>
      <c r="KZ5" s="21"/>
      <c r="LA5" s="21"/>
      <c r="LB5" s="21"/>
      <c r="LC5" s="21"/>
      <c r="LD5" s="21"/>
      <c r="LE5" s="21"/>
      <c r="LF5" s="21"/>
      <c r="LG5" s="21"/>
      <c r="LH5" s="21"/>
      <c r="LI5" s="21"/>
      <c r="LJ5" s="21"/>
      <c r="LK5" s="21"/>
      <c r="LL5" s="21"/>
      <c r="LM5" s="21"/>
      <c r="LN5" s="21"/>
      <c r="LO5" s="21"/>
      <c r="LP5" s="21"/>
      <c r="LQ5" s="21"/>
      <c r="LR5" s="21"/>
      <c r="LS5" s="21"/>
      <c r="LT5" s="21"/>
      <c r="LU5" s="21"/>
      <c r="LV5" s="21"/>
      <c r="LW5" s="21"/>
      <c r="LX5" s="21"/>
      <c r="LY5" s="21"/>
      <c r="LZ5" s="21"/>
      <c r="MA5" s="21"/>
      <c r="MB5" s="21"/>
      <c r="MC5" s="21"/>
      <c r="MD5" s="21"/>
      <c r="ME5" s="21"/>
      <c r="MF5" s="21"/>
      <c r="MG5" s="21"/>
      <c r="MH5" s="21"/>
      <c r="MI5" s="21"/>
      <c r="MJ5" s="21"/>
      <c r="MK5" s="21"/>
      <c r="ML5" s="21"/>
      <c r="MM5" s="21"/>
      <c r="MN5" s="21"/>
      <c r="MO5" s="21"/>
      <c r="MP5" s="21"/>
      <c r="MQ5" s="21"/>
      <c r="MR5" s="21"/>
      <c r="MS5" s="21"/>
      <c r="MT5" s="21"/>
      <c r="MU5" s="21"/>
      <c r="MV5" s="21"/>
      <c r="MW5" s="21"/>
      <c r="MX5" s="21"/>
      <c r="MY5" s="21"/>
      <c r="MZ5" s="21"/>
      <c r="NA5" s="21"/>
      <c r="NB5" s="21"/>
      <c r="NC5" s="21"/>
      <c r="ND5" s="21"/>
      <c r="NE5" s="21"/>
      <c r="NF5" s="21"/>
      <c r="NG5" s="21"/>
      <c r="NH5" s="21"/>
      <c r="NI5" s="21"/>
      <c r="NJ5" s="21"/>
      <c r="NK5" s="21"/>
      <c r="NL5" s="21"/>
      <c r="NM5" s="21"/>
      <c r="NN5" s="21"/>
      <c r="NO5" s="21"/>
      <c r="NP5" s="21"/>
      <c r="NQ5" s="21"/>
      <c r="NR5" s="21"/>
      <c r="NS5" s="21"/>
      <c r="NT5" s="21"/>
      <c r="NU5" s="21"/>
      <c r="NV5" s="21"/>
      <c r="NW5" s="21"/>
      <c r="NX5" s="21"/>
      <c r="NY5" s="21"/>
      <c r="NZ5" s="21"/>
      <c r="OA5" s="21"/>
      <c r="OB5" s="21"/>
      <c r="OC5" s="21"/>
      <c r="OD5" s="21"/>
      <c r="OE5" s="21"/>
      <c r="OF5" s="21"/>
      <c r="OG5" s="21"/>
      <c r="OH5" s="21"/>
      <c r="OI5" s="21"/>
      <c r="OJ5" s="21"/>
      <c r="OK5" s="21"/>
      <c r="OL5" s="21"/>
      <c r="OM5" s="21"/>
      <c r="ON5" s="21"/>
      <c r="OO5" s="21"/>
      <c r="OP5" s="21"/>
      <c r="OQ5" s="21"/>
      <c r="OR5" s="21"/>
      <c r="OS5" s="21"/>
      <c r="OT5" s="21"/>
      <c r="OU5" s="21"/>
      <c r="OV5" s="21"/>
      <c r="OW5" s="21"/>
      <c r="OX5" s="21"/>
      <c r="OY5" s="21"/>
      <c r="OZ5" s="21"/>
      <c r="PA5" s="21"/>
      <c r="PB5" s="21"/>
      <c r="PC5" s="21"/>
      <c r="PD5" s="21"/>
      <c r="PE5" s="21"/>
      <c r="PF5" s="21"/>
      <c r="PG5" s="21"/>
      <c r="PH5" s="21"/>
      <c r="PI5" s="21"/>
      <c r="PJ5" s="21"/>
      <c r="PK5" s="21"/>
      <c r="PL5" s="21"/>
      <c r="PM5" s="21"/>
      <c r="PN5" s="21"/>
      <c r="PO5" s="21"/>
      <c r="PP5" s="21"/>
      <c r="PQ5" s="21"/>
      <c r="PR5" s="21"/>
      <c r="PS5" s="21"/>
      <c r="PT5" s="21"/>
      <c r="PU5" s="21"/>
      <c r="PV5" s="21"/>
      <c r="PW5" s="21"/>
      <c r="PX5" s="21"/>
      <c r="PY5" s="21"/>
      <c r="PZ5" s="21"/>
      <c r="QA5" s="21"/>
      <c r="QB5" s="21"/>
      <c r="QC5" s="21"/>
      <c r="QD5" s="21"/>
      <c r="QE5" s="21"/>
      <c r="QF5" s="21"/>
      <c r="QG5" s="21"/>
      <c r="QH5" s="21"/>
      <c r="QI5" s="21"/>
      <c r="QJ5" s="21"/>
      <c r="QK5" s="21"/>
      <c r="QL5" s="21"/>
      <c r="QM5" s="21"/>
      <c r="QN5" s="21"/>
      <c r="QO5" s="21"/>
      <c r="QP5" s="21"/>
      <c r="QQ5" s="21"/>
      <c r="QR5" s="21"/>
      <c r="QS5" s="21"/>
      <c r="QT5" s="21"/>
      <c r="QU5" s="21"/>
      <c r="QV5" s="21"/>
      <c r="QW5" s="21"/>
      <c r="QX5" s="21"/>
      <c r="QY5" s="21"/>
      <c r="QZ5" s="21"/>
      <c r="RA5" s="21"/>
      <c r="RB5" s="21"/>
      <c r="RC5" s="21"/>
      <c r="RD5" s="21"/>
      <c r="RE5" s="21"/>
      <c r="RF5" s="21"/>
      <c r="RG5" s="21"/>
      <c r="RH5" s="21"/>
      <c r="RI5" s="21"/>
      <c r="RJ5" s="21"/>
      <c r="RK5" s="21"/>
      <c r="RL5" s="21"/>
      <c r="RM5" s="21"/>
      <c r="RN5" s="21"/>
      <c r="RO5" s="21"/>
      <c r="RP5" s="21"/>
      <c r="RQ5" s="21"/>
      <c r="RR5" s="21"/>
      <c r="RS5" s="21"/>
      <c r="RT5" s="21"/>
      <c r="RU5" s="21"/>
      <c r="RV5" s="21"/>
      <c r="RW5" s="21"/>
      <c r="RX5" s="21"/>
      <c r="RY5" s="21"/>
      <c r="RZ5" s="21"/>
      <c r="SA5" s="21"/>
      <c r="SB5" s="21"/>
      <c r="SC5" s="21"/>
      <c r="SD5" s="21"/>
      <c r="SE5" s="21"/>
      <c r="SF5" s="21"/>
      <c r="SG5" s="21"/>
      <c r="SH5" s="21"/>
      <c r="SI5" s="21"/>
      <c r="SJ5" s="21"/>
      <c r="SK5" s="21"/>
      <c r="SL5" s="21"/>
      <c r="SM5" s="21"/>
      <c r="SN5" s="21"/>
      <c r="SO5" s="21"/>
      <c r="SP5" s="21"/>
      <c r="SQ5" s="21"/>
      <c r="SR5" s="21"/>
      <c r="SS5" s="21"/>
      <c r="ST5" s="21"/>
      <c r="SU5" s="21"/>
      <c r="SV5" s="21"/>
      <c r="SW5" s="21"/>
      <c r="SX5" s="21"/>
      <c r="SY5" s="21"/>
      <c r="SZ5" s="21"/>
      <c r="TA5" s="21"/>
      <c r="TB5" s="21"/>
      <c r="TC5" s="21"/>
      <c r="TD5" s="21"/>
      <c r="TE5" s="21"/>
      <c r="TF5" s="21"/>
      <c r="TG5" s="21"/>
      <c r="TH5" s="21"/>
      <c r="TI5" s="21"/>
      <c r="TJ5" s="21"/>
      <c r="TK5" s="21"/>
      <c r="TL5" s="21"/>
      <c r="TM5" s="21"/>
      <c r="TN5" s="21"/>
      <c r="TO5" s="21"/>
      <c r="TP5" s="21"/>
      <c r="TQ5" s="21"/>
      <c r="TR5" s="21"/>
      <c r="TS5" s="21"/>
      <c r="TT5" s="21"/>
      <c r="TU5" s="21"/>
      <c r="TV5" s="21"/>
      <c r="TW5" s="21"/>
      <c r="TX5" s="21"/>
      <c r="TY5" s="21"/>
      <c r="TZ5" s="21"/>
      <c r="UA5" s="21"/>
      <c r="UB5" s="21"/>
      <c r="UC5" s="21"/>
      <c r="UD5" s="21"/>
      <c r="UE5" s="21"/>
      <c r="UF5" s="21"/>
      <c r="UG5" s="21"/>
      <c r="UH5" s="21"/>
      <c r="UI5" s="21"/>
      <c r="UJ5" s="21"/>
      <c r="UK5" s="21"/>
      <c r="UL5" s="21"/>
      <c r="UM5" s="21"/>
      <c r="UN5" s="21"/>
      <c r="UO5" s="21"/>
      <c r="UP5" s="21"/>
      <c r="UQ5" s="21"/>
      <c r="UR5" s="21"/>
      <c r="US5" s="21"/>
      <c r="UT5" s="21"/>
      <c r="UU5" s="21"/>
      <c r="UV5" s="21"/>
      <c r="UW5" s="21"/>
      <c r="UX5" s="21"/>
      <c r="UY5" s="21"/>
      <c r="UZ5" s="21"/>
      <c r="VA5" s="21"/>
      <c r="VB5" s="21"/>
      <c r="VC5" s="21"/>
      <c r="VD5" s="21"/>
      <c r="VE5" s="21"/>
      <c r="VF5" s="21"/>
      <c r="VG5" s="21"/>
      <c r="VH5" s="21"/>
      <c r="VI5" s="21"/>
      <c r="VJ5" s="21"/>
      <c r="VK5" s="21"/>
      <c r="VL5" s="21"/>
      <c r="VM5" s="21"/>
      <c r="VN5" s="21"/>
      <c r="VO5" s="21"/>
      <c r="VP5" s="21"/>
      <c r="VQ5" s="21"/>
      <c r="VR5" s="21"/>
      <c r="VS5" s="21"/>
      <c r="VT5" s="21"/>
      <c r="VU5" s="21"/>
      <c r="VV5" s="21"/>
      <c r="VW5" s="21"/>
      <c r="VX5" s="21"/>
      <c r="VY5" s="21"/>
      <c r="VZ5" s="21"/>
      <c r="WA5" s="21"/>
      <c r="WB5" s="21"/>
      <c r="WC5" s="21"/>
      <c r="WD5" s="21"/>
      <c r="WE5" s="21"/>
      <c r="WF5" s="21"/>
      <c r="WG5" s="21"/>
      <c r="WH5" s="21"/>
      <c r="WI5" s="21"/>
      <c r="WJ5" s="21"/>
      <c r="WK5" s="21"/>
      <c r="WL5" s="21"/>
      <c r="WM5" s="21"/>
      <c r="WN5" s="21"/>
      <c r="WO5" s="21"/>
      <c r="WP5" s="21"/>
      <c r="WQ5" s="21"/>
      <c r="WR5" s="21"/>
      <c r="WS5" s="21"/>
      <c r="WT5" s="21"/>
      <c r="WU5" s="21"/>
      <c r="WV5" s="21"/>
      <c r="WW5" s="21"/>
      <c r="WX5" s="21"/>
      <c r="WY5" s="21"/>
      <c r="WZ5" s="21"/>
      <c r="XA5" s="21"/>
      <c r="XB5" s="21"/>
      <c r="XC5" s="21"/>
      <c r="XD5" s="21"/>
      <c r="XE5" s="21"/>
      <c r="XF5" s="21"/>
      <c r="XG5" s="21"/>
      <c r="XH5" s="21"/>
      <c r="XI5" s="21"/>
      <c r="XJ5" s="21"/>
      <c r="XK5" s="21"/>
      <c r="XL5" s="21"/>
      <c r="XM5" s="21"/>
      <c r="XN5" s="21"/>
      <c r="XO5" s="21"/>
      <c r="XP5" s="21"/>
      <c r="XQ5" s="21"/>
      <c r="XR5" s="21"/>
      <c r="XS5" s="21"/>
      <c r="XT5" s="21"/>
      <c r="XU5" s="21"/>
      <c r="XV5" s="21"/>
      <c r="XW5" s="21"/>
      <c r="XX5" s="21"/>
      <c r="XY5" s="21"/>
      <c r="XZ5" s="21"/>
      <c r="YA5" s="21"/>
      <c r="YB5" s="21"/>
      <c r="YC5" s="21"/>
      <c r="YD5" s="21"/>
      <c r="YE5" s="21"/>
      <c r="YF5" s="21"/>
      <c r="YG5" s="21"/>
      <c r="YH5" s="21"/>
      <c r="YI5" s="21"/>
      <c r="YJ5" s="21"/>
      <c r="YK5" s="21"/>
      <c r="YL5" s="21"/>
      <c r="YM5" s="21"/>
      <c r="YN5" s="21"/>
      <c r="YO5" s="21"/>
      <c r="YP5" s="21"/>
      <c r="YQ5" s="21"/>
      <c r="YR5" s="21"/>
      <c r="YS5" s="21"/>
      <c r="YT5" s="21"/>
      <c r="YU5" s="21"/>
      <c r="YV5" s="21"/>
      <c r="YW5" s="21"/>
      <c r="YX5" s="21"/>
      <c r="YY5" s="21"/>
      <c r="YZ5" s="21"/>
      <c r="ZA5" s="21"/>
      <c r="ZB5" s="21"/>
      <c r="ZC5" s="21"/>
      <c r="ZD5" s="21"/>
      <c r="ZE5" s="21"/>
      <c r="ZF5" s="21"/>
      <c r="ZG5" s="21"/>
      <c r="ZH5" s="21"/>
      <c r="ZI5" s="21"/>
      <c r="ZJ5" s="21"/>
      <c r="ZK5" s="21"/>
      <c r="ZL5" s="21"/>
      <c r="ZM5" s="21"/>
      <c r="ZN5" s="21"/>
      <c r="ZO5" s="21"/>
      <c r="ZP5" s="21"/>
      <c r="ZQ5" s="21"/>
      <c r="ZR5" s="21"/>
      <c r="ZS5" s="21"/>
      <c r="ZT5" s="21"/>
      <c r="ZU5" s="21"/>
      <c r="ZV5" s="21"/>
      <c r="ZW5" s="21"/>
      <c r="ZX5" s="21"/>
      <c r="ZY5" s="21"/>
      <c r="ZZ5" s="21"/>
      <c r="AAA5" s="21"/>
      <c r="AAB5" s="21"/>
      <c r="AAC5" s="21"/>
      <c r="AAD5" s="21"/>
      <c r="AAE5" s="21"/>
      <c r="AAF5" s="21"/>
      <c r="AAG5" s="21"/>
      <c r="AAH5" s="21"/>
      <c r="AAI5" s="21"/>
      <c r="AAJ5" s="21"/>
      <c r="AAK5" s="21"/>
      <c r="AAL5" s="21"/>
      <c r="AAM5" s="21"/>
      <c r="AAN5" s="21"/>
      <c r="AAO5" s="21"/>
      <c r="AAP5" s="21"/>
      <c r="AAQ5" s="21"/>
      <c r="AAR5" s="21"/>
      <c r="AAS5" s="21"/>
      <c r="AAT5" s="21"/>
      <c r="AAU5" s="21"/>
      <c r="AAV5" s="21"/>
      <c r="AAW5" s="21"/>
      <c r="AAX5" s="21"/>
      <c r="AAY5" s="21"/>
      <c r="AAZ5" s="21"/>
      <c r="ABA5" s="21"/>
      <c r="ABB5" s="21"/>
      <c r="ABC5" s="21"/>
      <c r="ABD5" s="21"/>
      <c r="ABE5" s="21"/>
      <c r="ABF5" s="21"/>
      <c r="ABG5" s="21"/>
      <c r="ABH5" s="21"/>
      <c r="ABI5" s="21"/>
      <c r="ABJ5" s="21"/>
      <c r="ABK5" s="21"/>
      <c r="ABL5" s="21"/>
      <c r="ABM5" s="21"/>
      <c r="ABN5" s="21"/>
      <c r="ABO5" s="21"/>
      <c r="ABP5" s="21"/>
      <c r="ABQ5" s="21"/>
      <c r="ABR5" s="21"/>
      <c r="ABS5" s="21"/>
      <c r="ABT5" s="21"/>
      <c r="ABU5" s="21"/>
      <c r="ABV5" s="21"/>
      <c r="ABW5" s="21"/>
      <c r="ABX5" s="21"/>
      <c r="ABY5" s="21"/>
      <c r="ABZ5" s="21"/>
      <c r="ACA5" s="21"/>
      <c r="ACB5" s="21"/>
      <c r="ACC5" s="21"/>
      <c r="ACD5" s="21"/>
      <c r="ACE5" s="21"/>
      <c r="ACF5" s="21"/>
      <c r="ACG5" s="21"/>
      <c r="ACH5" s="21"/>
      <c r="ACI5" s="21"/>
      <c r="ACJ5" s="21"/>
      <c r="ACK5" s="21"/>
      <c r="ACL5" s="21"/>
      <c r="ACM5" s="21"/>
      <c r="ACN5" s="21"/>
      <c r="ACO5" s="21"/>
      <c r="ACP5" s="21"/>
      <c r="ACQ5" s="21"/>
      <c r="ACR5" s="21"/>
      <c r="ACS5" s="21"/>
      <c r="ACT5" s="21"/>
      <c r="ACU5" s="21"/>
      <c r="ACV5" s="21"/>
      <c r="ACW5" s="21"/>
      <c r="ACX5" s="21"/>
      <c r="ACY5" s="21"/>
      <c r="ACZ5" s="21"/>
      <c r="ADA5" s="21"/>
      <c r="ADB5" s="21"/>
      <c r="ADC5" s="21"/>
      <c r="ADD5" s="21"/>
      <c r="ADE5" s="21"/>
      <c r="ADF5" s="21"/>
      <c r="ADG5" s="21"/>
      <c r="ADH5" s="21"/>
      <c r="ADI5" s="21"/>
      <c r="ADJ5" s="21"/>
      <c r="ADK5" s="21"/>
      <c r="ADL5" s="21"/>
      <c r="ADM5" s="21"/>
      <c r="ADN5" s="21"/>
      <c r="ADO5" s="21"/>
      <c r="ADP5" s="21"/>
      <c r="ADQ5" s="21"/>
      <c r="ADR5" s="21"/>
      <c r="ADS5" s="21"/>
      <c r="ADT5" s="21"/>
      <c r="ADU5" s="21"/>
      <c r="ADV5" s="21"/>
      <c r="ADW5" s="21"/>
      <c r="ADX5" s="21"/>
      <c r="ADY5" s="21"/>
      <c r="ADZ5" s="21"/>
      <c r="AEA5" s="21"/>
      <c r="AEB5" s="21"/>
      <c r="AEC5" s="21"/>
      <c r="AED5" s="21"/>
      <c r="AEE5" s="21"/>
      <c r="AEF5" s="21"/>
      <c r="AEG5" s="21"/>
      <c r="AEH5" s="21"/>
      <c r="AEI5" s="21"/>
      <c r="AEJ5" s="21"/>
      <c r="AEK5" s="21"/>
      <c r="AEL5" s="21"/>
      <c r="AEM5" s="21"/>
      <c r="AEN5" s="21"/>
      <c r="AEO5" s="21"/>
      <c r="AEP5" s="21"/>
      <c r="AEQ5" s="21"/>
      <c r="AER5" s="21"/>
      <c r="AES5" s="21"/>
      <c r="AET5" s="21"/>
      <c r="AEU5" s="21"/>
      <c r="AEV5" s="21"/>
      <c r="AEW5" s="21"/>
      <c r="AEX5" s="21"/>
      <c r="AEY5" s="21"/>
      <c r="AEZ5" s="21"/>
      <c r="AFA5" s="21"/>
      <c r="AFB5" s="21"/>
      <c r="AFC5" s="21"/>
      <c r="AFD5" s="21"/>
      <c r="AFE5" s="21"/>
      <c r="AFF5" s="21"/>
      <c r="AFG5" s="21"/>
      <c r="AFH5" s="21"/>
      <c r="AFI5" s="21"/>
      <c r="AFJ5" s="21"/>
      <c r="AFK5" s="21"/>
      <c r="AFL5" s="21"/>
      <c r="AFM5" s="21"/>
      <c r="AFN5" s="21"/>
      <c r="AFO5" s="21"/>
      <c r="AFP5" s="21"/>
      <c r="AFQ5" s="21"/>
      <c r="AFR5" s="21"/>
      <c r="AFS5" s="21"/>
      <c r="AFT5" s="21"/>
      <c r="AFU5" s="21"/>
      <c r="AFV5" s="21"/>
      <c r="AFW5" s="21"/>
      <c r="AFX5" s="21"/>
      <c r="AFY5" s="21"/>
      <c r="AFZ5" s="21"/>
      <c r="AGA5" s="21"/>
      <c r="AGB5" s="21"/>
      <c r="AGC5" s="21"/>
      <c r="AGD5" s="21"/>
      <c r="AGE5" s="21"/>
      <c r="AGF5" s="21"/>
      <c r="AGG5" s="21"/>
      <c r="AGH5" s="21"/>
      <c r="AGI5" s="21"/>
      <c r="AGJ5" s="21"/>
      <c r="AGK5" s="21"/>
      <c r="AGL5" s="21"/>
      <c r="AGM5" s="21"/>
      <c r="AGN5" s="21"/>
      <c r="AGO5" s="21"/>
      <c r="AGP5" s="21"/>
      <c r="AGQ5" s="21"/>
      <c r="AGR5" s="21"/>
      <c r="AGS5" s="21"/>
      <c r="AGT5" s="21"/>
      <c r="AGU5" s="21"/>
      <c r="AGV5" s="21"/>
      <c r="AGW5" s="21"/>
      <c r="AGX5" s="21"/>
      <c r="AGY5" s="21"/>
      <c r="AGZ5" s="21"/>
      <c r="AHA5" s="21"/>
      <c r="AHB5" s="21"/>
      <c r="AHC5" s="21"/>
      <c r="AHD5" s="21"/>
      <c r="AHE5" s="21"/>
    </row>
    <row r="6" spans="1:889" ht="15.75" customHeight="1">
      <c r="A6" s="17"/>
      <c r="B6" s="29" t="s">
        <v>77</v>
      </c>
      <c r="C6" s="30"/>
      <c r="D6" s="31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/>
      <c r="KA6" s="21"/>
      <c r="KB6" s="21"/>
      <c r="KC6" s="21"/>
      <c r="KD6" s="21"/>
      <c r="KE6" s="21"/>
      <c r="KF6" s="21"/>
      <c r="KG6" s="21"/>
      <c r="KH6" s="21"/>
      <c r="KI6" s="21"/>
      <c r="KJ6" s="21"/>
      <c r="KK6" s="21"/>
      <c r="KL6" s="21"/>
      <c r="KM6" s="21"/>
      <c r="KN6" s="21"/>
      <c r="KO6" s="21"/>
      <c r="KP6" s="21"/>
      <c r="KQ6" s="21"/>
      <c r="KR6" s="21"/>
      <c r="KS6" s="21"/>
      <c r="KT6" s="21"/>
      <c r="KU6" s="21"/>
      <c r="KV6" s="21"/>
      <c r="KW6" s="21"/>
      <c r="KX6" s="21"/>
      <c r="KY6" s="21"/>
      <c r="KZ6" s="21"/>
      <c r="LA6" s="21"/>
      <c r="LB6" s="21"/>
      <c r="LC6" s="21"/>
      <c r="LD6" s="21"/>
      <c r="LE6" s="21"/>
      <c r="LF6" s="21"/>
      <c r="LG6" s="21"/>
      <c r="LH6" s="21"/>
      <c r="LI6" s="21"/>
      <c r="LJ6" s="21"/>
      <c r="LK6" s="21"/>
      <c r="LL6" s="21"/>
      <c r="LM6" s="21"/>
      <c r="LN6" s="21"/>
      <c r="LO6" s="21"/>
      <c r="LP6" s="21"/>
      <c r="LQ6" s="21"/>
      <c r="LR6" s="21"/>
      <c r="LS6" s="21"/>
      <c r="LT6" s="21"/>
      <c r="LU6" s="21"/>
      <c r="LV6" s="21"/>
      <c r="LW6" s="21"/>
      <c r="LX6" s="21"/>
      <c r="LY6" s="21"/>
      <c r="LZ6" s="21"/>
      <c r="MA6" s="21"/>
      <c r="MB6" s="21"/>
      <c r="MC6" s="21"/>
      <c r="MD6" s="21"/>
      <c r="ME6" s="21"/>
      <c r="MF6" s="21"/>
      <c r="MG6" s="21"/>
      <c r="MH6" s="21"/>
      <c r="MI6" s="21"/>
      <c r="MJ6" s="21"/>
      <c r="MK6" s="21"/>
      <c r="ML6" s="21"/>
      <c r="MM6" s="21"/>
      <c r="MN6" s="21"/>
      <c r="MO6" s="21"/>
      <c r="MP6" s="21"/>
      <c r="MQ6" s="21"/>
      <c r="MR6" s="21"/>
      <c r="MS6" s="21"/>
      <c r="MT6" s="21"/>
      <c r="MU6" s="21"/>
      <c r="MV6" s="21"/>
      <c r="MW6" s="21"/>
      <c r="MX6" s="21"/>
      <c r="MY6" s="21"/>
      <c r="MZ6" s="21"/>
      <c r="NA6" s="21"/>
      <c r="NB6" s="21"/>
      <c r="NC6" s="21"/>
      <c r="ND6" s="21"/>
      <c r="NE6" s="21"/>
      <c r="NF6" s="21"/>
      <c r="NG6" s="21"/>
      <c r="NH6" s="21"/>
      <c r="NI6" s="21"/>
      <c r="NJ6" s="21"/>
      <c r="NK6" s="21"/>
      <c r="NL6" s="21"/>
      <c r="NM6" s="21"/>
      <c r="NN6" s="21"/>
      <c r="NO6" s="21"/>
      <c r="NP6" s="21"/>
      <c r="NQ6" s="21"/>
      <c r="NR6" s="21"/>
      <c r="NS6" s="21"/>
      <c r="NT6" s="21"/>
      <c r="NU6" s="21"/>
      <c r="NV6" s="21"/>
      <c r="NW6" s="21"/>
      <c r="NX6" s="21"/>
      <c r="NY6" s="21"/>
      <c r="NZ6" s="21"/>
      <c r="OA6" s="21"/>
      <c r="OB6" s="21"/>
      <c r="OC6" s="21"/>
      <c r="OD6" s="21"/>
      <c r="OE6" s="21"/>
      <c r="OF6" s="21"/>
      <c r="OG6" s="21"/>
      <c r="OH6" s="21"/>
      <c r="OI6" s="21"/>
      <c r="OJ6" s="21"/>
      <c r="OK6" s="21"/>
      <c r="OL6" s="21"/>
      <c r="OM6" s="21"/>
      <c r="ON6" s="21"/>
      <c r="OO6" s="21"/>
      <c r="OP6" s="21"/>
      <c r="OQ6" s="21"/>
      <c r="OR6" s="21"/>
      <c r="OS6" s="21"/>
      <c r="OT6" s="21"/>
      <c r="OU6" s="21"/>
      <c r="OV6" s="21"/>
      <c r="OW6" s="21"/>
      <c r="OX6" s="21"/>
      <c r="OY6" s="21"/>
      <c r="OZ6" s="21"/>
      <c r="PA6" s="21"/>
      <c r="PB6" s="21"/>
      <c r="PC6" s="21"/>
      <c r="PD6" s="21"/>
      <c r="PE6" s="21"/>
      <c r="PF6" s="21"/>
      <c r="PG6" s="21"/>
      <c r="PH6" s="21"/>
      <c r="PI6" s="21"/>
      <c r="PJ6" s="21"/>
      <c r="PK6" s="21"/>
      <c r="PL6" s="21"/>
      <c r="PM6" s="21"/>
      <c r="PN6" s="21"/>
      <c r="PO6" s="21"/>
      <c r="PP6" s="21"/>
      <c r="PQ6" s="21"/>
      <c r="PR6" s="21"/>
      <c r="PS6" s="21"/>
      <c r="PT6" s="21"/>
      <c r="PU6" s="21"/>
      <c r="PV6" s="21"/>
      <c r="PW6" s="21"/>
      <c r="PX6" s="21"/>
      <c r="PY6" s="21"/>
      <c r="PZ6" s="21"/>
      <c r="QA6" s="21"/>
      <c r="QB6" s="21"/>
      <c r="QC6" s="21"/>
      <c r="QD6" s="21"/>
      <c r="QE6" s="21"/>
      <c r="QF6" s="21"/>
      <c r="QG6" s="21"/>
      <c r="QH6" s="21"/>
      <c r="QI6" s="21"/>
      <c r="QJ6" s="21"/>
      <c r="QK6" s="21"/>
      <c r="QL6" s="21"/>
      <c r="QM6" s="21"/>
      <c r="QN6" s="21"/>
      <c r="QO6" s="21"/>
      <c r="QP6" s="21"/>
      <c r="QQ6" s="21"/>
      <c r="QR6" s="21"/>
      <c r="QS6" s="21"/>
      <c r="QT6" s="21"/>
      <c r="QU6" s="21"/>
      <c r="QV6" s="21"/>
      <c r="QW6" s="21"/>
      <c r="QX6" s="21"/>
      <c r="QY6" s="21"/>
      <c r="QZ6" s="21"/>
      <c r="RA6" s="21"/>
      <c r="RB6" s="21"/>
      <c r="RC6" s="21"/>
      <c r="RD6" s="21"/>
      <c r="RE6" s="21"/>
      <c r="RF6" s="21"/>
      <c r="RG6" s="21"/>
      <c r="RH6" s="21"/>
      <c r="RI6" s="21"/>
      <c r="RJ6" s="21"/>
      <c r="RK6" s="21"/>
      <c r="RL6" s="21"/>
      <c r="RM6" s="21"/>
      <c r="RN6" s="21"/>
      <c r="RO6" s="21"/>
      <c r="RP6" s="21"/>
      <c r="RQ6" s="21"/>
      <c r="RR6" s="21"/>
      <c r="RS6" s="21"/>
      <c r="RT6" s="21"/>
      <c r="RU6" s="21"/>
      <c r="RV6" s="21"/>
      <c r="RW6" s="21"/>
      <c r="RX6" s="21"/>
      <c r="RY6" s="21"/>
      <c r="RZ6" s="21"/>
      <c r="SA6" s="21"/>
      <c r="SB6" s="21"/>
      <c r="SC6" s="21"/>
      <c r="SD6" s="21"/>
      <c r="SE6" s="21"/>
      <c r="SF6" s="21"/>
      <c r="SG6" s="21"/>
      <c r="SH6" s="21"/>
      <c r="SI6" s="21"/>
      <c r="SJ6" s="21"/>
      <c r="SK6" s="21"/>
      <c r="SL6" s="21"/>
      <c r="SM6" s="21"/>
      <c r="SN6" s="21"/>
      <c r="SO6" s="21"/>
      <c r="SP6" s="21"/>
      <c r="SQ6" s="21"/>
      <c r="SR6" s="21"/>
      <c r="SS6" s="21"/>
      <c r="ST6" s="21"/>
      <c r="SU6" s="21"/>
      <c r="SV6" s="21"/>
      <c r="SW6" s="21"/>
      <c r="SX6" s="21"/>
      <c r="SY6" s="21"/>
      <c r="SZ6" s="21"/>
      <c r="TA6" s="21"/>
      <c r="TB6" s="21"/>
      <c r="TC6" s="21"/>
      <c r="TD6" s="21"/>
      <c r="TE6" s="21"/>
      <c r="TF6" s="21"/>
      <c r="TG6" s="21"/>
      <c r="TH6" s="21"/>
      <c r="TI6" s="21"/>
      <c r="TJ6" s="21"/>
      <c r="TK6" s="21"/>
      <c r="TL6" s="21"/>
      <c r="TM6" s="21"/>
      <c r="TN6" s="21"/>
      <c r="TO6" s="21"/>
      <c r="TP6" s="21"/>
      <c r="TQ6" s="21"/>
      <c r="TR6" s="21"/>
      <c r="TS6" s="21"/>
      <c r="TT6" s="21"/>
      <c r="TU6" s="21"/>
      <c r="TV6" s="21"/>
      <c r="TW6" s="21"/>
      <c r="TX6" s="21"/>
      <c r="TY6" s="21"/>
      <c r="TZ6" s="21"/>
      <c r="UA6" s="21"/>
      <c r="UB6" s="21"/>
      <c r="UC6" s="21"/>
      <c r="UD6" s="21"/>
      <c r="UE6" s="21"/>
      <c r="UF6" s="21"/>
      <c r="UG6" s="21"/>
      <c r="UH6" s="21"/>
      <c r="UI6" s="21"/>
      <c r="UJ6" s="21"/>
      <c r="UK6" s="21"/>
      <c r="UL6" s="21"/>
      <c r="UM6" s="21"/>
      <c r="UN6" s="21"/>
      <c r="UO6" s="21"/>
      <c r="UP6" s="21"/>
      <c r="UQ6" s="21"/>
      <c r="UR6" s="21"/>
      <c r="US6" s="21"/>
      <c r="UT6" s="21"/>
      <c r="UU6" s="21"/>
      <c r="UV6" s="21"/>
      <c r="UW6" s="21"/>
      <c r="UX6" s="21"/>
      <c r="UY6" s="21"/>
      <c r="UZ6" s="21"/>
      <c r="VA6" s="21"/>
      <c r="VB6" s="21"/>
      <c r="VC6" s="21"/>
      <c r="VD6" s="21"/>
      <c r="VE6" s="21"/>
      <c r="VF6" s="21"/>
      <c r="VG6" s="21"/>
      <c r="VH6" s="21"/>
      <c r="VI6" s="21"/>
      <c r="VJ6" s="21"/>
      <c r="VK6" s="21"/>
      <c r="VL6" s="21"/>
      <c r="VM6" s="21"/>
      <c r="VN6" s="21"/>
      <c r="VO6" s="21"/>
      <c r="VP6" s="21"/>
      <c r="VQ6" s="21"/>
      <c r="VR6" s="21"/>
      <c r="VS6" s="21"/>
      <c r="VT6" s="21"/>
      <c r="VU6" s="21"/>
      <c r="VV6" s="21"/>
      <c r="VW6" s="21"/>
      <c r="VX6" s="21"/>
      <c r="VY6" s="21"/>
      <c r="VZ6" s="21"/>
      <c r="WA6" s="21"/>
      <c r="WB6" s="21"/>
      <c r="WC6" s="21"/>
      <c r="WD6" s="21"/>
      <c r="WE6" s="21"/>
      <c r="WF6" s="21"/>
      <c r="WG6" s="21"/>
      <c r="WH6" s="21"/>
      <c r="WI6" s="21"/>
      <c r="WJ6" s="21"/>
      <c r="WK6" s="21"/>
      <c r="WL6" s="21"/>
      <c r="WM6" s="21"/>
      <c r="WN6" s="21"/>
      <c r="WO6" s="21"/>
      <c r="WP6" s="21"/>
      <c r="WQ6" s="21"/>
      <c r="WR6" s="21"/>
      <c r="WS6" s="21"/>
      <c r="WT6" s="21"/>
      <c r="WU6" s="21"/>
      <c r="WV6" s="21"/>
      <c r="WW6" s="21"/>
      <c r="WX6" s="21"/>
      <c r="WY6" s="21"/>
      <c r="WZ6" s="21"/>
      <c r="XA6" s="21"/>
      <c r="XB6" s="21"/>
      <c r="XC6" s="21"/>
      <c r="XD6" s="21"/>
      <c r="XE6" s="21"/>
      <c r="XF6" s="21"/>
      <c r="XG6" s="21"/>
      <c r="XH6" s="21"/>
      <c r="XI6" s="21"/>
      <c r="XJ6" s="21"/>
      <c r="XK6" s="21"/>
      <c r="XL6" s="21"/>
      <c r="XM6" s="21"/>
      <c r="XN6" s="21"/>
      <c r="XO6" s="21"/>
      <c r="XP6" s="21"/>
      <c r="XQ6" s="21"/>
      <c r="XR6" s="21"/>
      <c r="XS6" s="21"/>
      <c r="XT6" s="21"/>
      <c r="XU6" s="21"/>
      <c r="XV6" s="21"/>
      <c r="XW6" s="21"/>
      <c r="XX6" s="21"/>
      <c r="XY6" s="21"/>
      <c r="XZ6" s="21"/>
      <c r="YA6" s="21"/>
      <c r="YB6" s="21"/>
      <c r="YC6" s="21"/>
      <c r="YD6" s="21"/>
      <c r="YE6" s="21"/>
      <c r="YF6" s="21"/>
      <c r="YG6" s="21"/>
      <c r="YH6" s="21"/>
      <c r="YI6" s="21"/>
      <c r="YJ6" s="21"/>
      <c r="YK6" s="21"/>
      <c r="YL6" s="21"/>
      <c r="YM6" s="21"/>
      <c r="YN6" s="21"/>
      <c r="YO6" s="21"/>
      <c r="YP6" s="21"/>
      <c r="YQ6" s="21"/>
      <c r="YR6" s="21"/>
      <c r="YS6" s="21"/>
      <c r="YT6" s="21"/>
      <c r="YU6" s="21"/>
      <c r="YV6" s="21"/>
      <c r="YW6" s="21"/>
      <c r="YX6" s="21"/>
      <c r="YY6" s="21"/>
      <c r="YZ6" s="21"/>
      <c r="ZA6" s="21"/>
      <c r="ZB6" s="21"/>
      <c r="ZC6" s="21"/>
      <c r="ZD6" s="21"/>
      <c r="ZE6" s="21"/>
      <c r="ZF6" s="21"/>
      <c r="ZG6" s="21"/>
      <c r="ZH6" s="21"/>
      <c r="ZI6" s="21"/>
      <c r="ZJ6" s="21"/>
      <c r="ZK6" s="21"/>
      <c r="ZL6" s="21"/>
      <c r="ZM6" s="21"/>
      <c r="ZN6" s="21"/>
      <c r="ZO6" s="21"/>
      <c r="ZP6" s="21"/>
      <c r="ZQ6" s="21"/>
      <c r="ZR6" s="21"/>
      <c r="ZS6" s="21"/>
      <c r="ZT6" s="21"/>
      <c r="ZU6" s="21"/>
      <c r="ZV6" s="21"/>
      <c r="ZW6" s="21"/>
      <c r="ZX6" s="21"/>
      <c r="ZY6" s="21"/>
      <c r="ZZ6" s="21"/>
      <c r="AAA6" s="21"/>
      <c r="AAB6" s="21"/>
      <c r="AAC6" s="21"/>
      <c r="AAD6" s="21"/>
      <c r="AAE6" s="21"/>
      <c r="AAF6" s="21"/>
      <c r="AAG6" s="21"/>
      <c r="AAH6" s="21"/>
      <c r="AAI6" s="21"/>
      <c r="AAJ6" s="21"/>
      <c r="AAK6" s="21"/>
      <c r="AAL6" s="21"/>
      <c r="AAM6" s="21"/>
      <c r="AAN6" s="21"/>
      <c r="AAO6" s="21"/>
      <c r="AAP6" s="21"/>
      <c r="AAQ6" s="21"/>
      <c r="AAR6" s="21"/>
      <c r="AAS6" s="21"/>
      <c r="AAT6" s="21"/>
      <c r="AAU6" s="21"/>
      <c r="AAV6" s="21"/>
      <c r="AAW6" s="21"/>
      <c r="AAX6" s="21"/>
      <c r="AAY6" s="21"/>
      <c r="AAZ6" s="21"/>
      <c r="ABA6" s="21"/>
      <c r="ABB6" s="21"/>
      <c r="ABC6" s="21"/>
      <c r="ABD6" s="21"/>
      <c r="ABE6" s="21"/>
      <c r="ABF6" s="21"/>
      <c r="ABG6" s="21"/>
      <c r="ABH6" s="21"/>
      <c r="ABI6" s="21"/>
      <c r="ABJ6" s="21"/>
      <c r="ABK6" s="21"/>
      <c r="ABL6" s="21"/>
      <c r="ABM6" s="21"/>
      <c r="ABN6" s="21"/>
      <c r="ABO6" s="21"/>
      <c r="ABP6" s="21"/>
      <c r="ABQ6" s="21"/>
      <c r="ABR6" s="21"/>
      <c r="ABS6" s="21"/>
      <c r="ABT6" s="21"/>
      <c r="ABU6" s="21"/>
      <c r="ABV6" s="21"/>
      <c r="ABW6" s="21"/>
      <c r="ABX6" s="21"/>
      <c r="ABY6" s="21"/>
      <c r="ABZ6" s="21"/>
      <c r="ACA6" s="21"/>
      <c r="ACB6" s="21"/>
      <c r="ACC6" s="21"/>
      <c r="ACD6" s="21"/>
      <c r="ACE6" s="21"/>
      <c r="ACF6" s="21"/>
      <c r="ACG6" s="21"/>
      <c r="ACH6" s="21"/>
      <c r="ACI6" s="21"/>
      <c r="ACJ6" s="21"/>
      <c r="ACK6" s="21"/>
      <c r="ACL6" s="21"/>
      <c r="ACM6" s="21"/>
      <c r="ACN6" s="21"/>
      <c r="ACO6" s="21"/>
      <c r="ACP6" s="21"/>
      <c r="ACQ6" s="21"/>
      <c r="ACR6" s="21"/>
      <c r="ACS6" s="21"/>
      <c r="ACT6" s="21"/>
      <c r="ACU6" s="21"/>
      <c r="ACV6" s="21"/>
      <c r="ACW6" s="21"/>
      <c r="ACX6" s="21"/>
      <c r="ACY6" s="21"/>
      <c r="ACZ6" s="21"/>
      <c r="ADA6" s="21"/>
      <c r="ADB6" s="21"/>
      <c r="ADC6" s="21"/>
      <c r="ADD6" s="21"/>
      <c r="ADE6" s="21"/>
      <c r="ADF6" s="21"/>
      <c r="ADG6" s="21"/>
      <c r="ADH6" s="21"/>
      <c r="ADI6" s="21"/>
      <c r="ADJ6" s="21"/>
      <c r="ADK6" s="21"/>
      <c r="ADL6" s="21"/>
      <c r="ADM6" s="21"/>
      <c r="ADN6" s="21"/>
      <c r="ADO6" s="21"/>
      <c r="ADP6" s="21"/>
      <c r="ADQ6" s="21"/>
      <c r="ADR6" s="21"/>
      <c r="ADS6" s="21"/>
      <c r="ADT6" s="21"/>
      <c r="ADU6" s="21"/>
      <c r="ADV6" s="21"/>
      <c r="ADW6" s="21"/>
      <c r="ADX6" s="21"/>
      <c r="ADY6" s="21"/>
      <c r="ADZ6" s="21"/>
      <c r="AEA6" s="21"/>
      <c r="AEB6" s="21"/>
      <c r="AEC6" s="21"/>
      <c r="AED6" s="21"/>
      <c r="AEE6" s="21"/>
      <c r="AEF6" s="21"/>
      <c r="AEG6" s="21"/>
      <c r="AEH6" s="21"/>
      <c r="AEI6" s="21"/>
      <c r="AEJ6" s="21"/>
      <c r="AEK6" s="21"/>
      <c r="AEL6" s="21"/>
      <c r="AEM6" s="21"/>
      <c r="AEN6" s="21"/>
      <c r="AEO6" s="21"/>
      <c r="AEP6" s="21"/>
      <c r="AEQ6" s="21"/>
      <c r="AER6" s="21"/>
      <c r="AES6" s="21"/>
      <c r="AET6" s="21"/>
      <c r="AEU6" s="21"/>
      <c r="AEV6" s="21"/>
      <c r="AEW6" s="21"/>
      <c r="AEX6" s="21"/>
      <c r="AEY6" s="21"/>
      <c r="AEZ6" s="21"/>
      <c r="AFA6" s="21"/>
      <c r="AFB6" s="21"/>
      <c r="AFC6" s="21"/>
      <c r="AFD6" s="21"/>
      <c r="AFE6" s="21"/>
      <c r="AFF6" s="21"/>
      <c r="AFG6" s="21"/>
      <c r="AFH6" s="21"/>
      <c r="AFI6" s="21"/>
      <c r="AFJ6" s="21"/>
      <c r="AFK6" s="21"/>
      <c r="AFL6" s="21"/>
      <c r="AFM6" s="21"/>
      <c r="AFN6" s="21"/>
      <c r="AFO6" s="21"/>
      <c r="AFP6" s="21"/>
      <c r="AFQ6" s="21"/>
      <c r="AFR6" s="21"/>
      <c r="AFS6" s="21"/>
      <c r="AFT6" s="21"/>
      <c r="AFU6" s="21"/>
      <c r="AFV6" s="21"/>
      <c r="AFW6" s="21"/>
      <c r="AFX6" s="21"/>
      <c r="AFY6" s="21"/>
      <c r="AFZ6" s="21"/>
      <c r="AGA6" s="21"/>
      <c r="AGB6" s="21"/>
      <c r="AGC6" s="21"/>
      <c r="AGD6" s="21"/>
      <c r="AGE6" s="21"/>
      <c r="AGF6" s="21"/>
      <c r="AGG6" s="21"/>
      <c r="AGH6" s="21"/>
      <c r="AGI6" s="21"/>
      <c r="AGJ6" s="21"/>
      <c r="AGK6" s="21"/>
      <c r="AGL6" s="21"/>
      <c r="AGM6" s="21"/>
      <c r="AGN6" s="21"/>
      <c r="AGO6" s="21"/>
      <c r="AGP6" s="21"/>
      <c r="AGQ6" s="21"/>
      <c r="AGR6" s="21"/>
      <c r="AGS6" s="21"/>
      <c r="AGT6" s="21"/>
      <c r="AGU6" s="21"/>
      <c r="AGV6" s="21"/>
      <c r="AGW6" s="21"/>
      <c r="AGX6" s="21"/>
      <c r="AGY6" s="21"/>
      <c r="AGZ6" s="21"/>
      <c r="AHA6" s="21"/>
      <c r="AHB6" s="21"/>
      <c r="AHC6" s="21"/>
      <c r="AHD6" s="21"/>
      <c r="AHE6" s="21"/>
    </row>
    <row r="7" spans="1:889" ht="15.75" customHeight="1"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  <c r="CH7" s="103"/>
      <c r="CI7" s="103"/>
      <c r="CJ7" s="103"/>
    </row>
    <row r="8" spans="1:889" ht="13">
      <c r="A8" s="61"/>
      <c r="B8" s="104" t="s">
        <v>25</v>
      </c>
      <c r="C8" s="105"/>
      <c r="D8" s="105"/>
      <c r="E8" s="106">
        <f t="shared" ref="E8:CJ8" si="1">SUM(E9:E15)</f>
        <v>0</v>
      </c>
      <c r="F8" s="106">
        <f t="shared" si="1"/>
        <v>0</v>
      </c>
      <c r="G8" s="106">
        <f t="shared" si="1"/>
        <v>0</v>
      </c>
      <c r="H8" s="106">
        <f t="shared" si="1"/>
        <v>0</v>
      </c>
      <c r="I8" s="106">
        <f t="shared" si="1"/>
        <v>0</v>
      </c>
      <c r="J8" s="106">
        <f t="shared" si="1"/>
        <v>0</v>
      </c>
      <c r="K8" s="106">
        <f t="shared" si="1"/>
        <v>0</v>
      </c>
      <c r="L8" s="106">
        <f t="shared" si="1"/>
        <v>0</v>
      </c>
      <c r="M8" s="106">
        <f t="shared" si="1"/>
        <v>0</v>
      </c>
      <c r="N8" s="106">
        <f t="shared" si="1"/>
        <v>0</v>
      </c>
      <c r="O8" s="106">
        <f t="shared" si="1"/>
        <v>0</v>
      </c>
      <c r="P8" s="106">
        <f t="shared" si="1"/>
        <v>0</v>
      </c>
      <c r="Q8" s="106">
        <f t="shared" si="1"/>
        <v>187500</v>
      </c>
      <c r="R8" s="106">
        <f t="shared" si="1"/>
        <v>187500</v>
      </c>
      <c r="S8" s="106">
        <f t="shared" si="1"/>
        <v>187500</v>
      </c>
      <c r="T8" s="106">
        <f t="shared" si="1"/>
        <v>187500</v>
      </c>
      <c r="U8" s="106">
        <f t="shared" si="1"/>
        <v>187500</v>
      </c>
      <c r="V8" s="106">
        <f t="shared" si="1"/>
        <v>187500</v>
      </c>
      <c r="W8" s="106">
        <f t="shared" si="1"/>
        <v>937500</v>
      </c>
      <c r="X8" s="106">
        <f t="shared" si="1"/>
        <v>937500</v>
      </c>
      <c r="Y8" s="106">
        <f t="shared" si="1"/>
        <v>937500</v>
      </c>
      <c r="Z8" s="106">
        <f t="shared" si="1"/>
        <v>937500</v>
      </c>
      <c r="AA8" s="106">
        <f t="shared" si="1"/>
        <v>937500</v>
      </c>
      <c r="AB8" s="106">
        <f t="shared" si="1"/>
        <v>937500</v>
      </c>
      <c r="AC8" s="106">
        <f t="shared" si="1"/>
        <v>1875000</v>
      </c>
      <c r="AD8" s="106">
        <f t="shared" si="1"/>
        <v>1875000</v>
      </c>
      <c r="AE8" s="106">
        <f t="shared" si="1"/>
        <v>1875000</v>
      </c>
      <c r="AF8" s="106">
        <f t="shared" si="1"/>
        <v>1875000</v>
      </c>
      <c r="AG8" s="106">
        <f t="shared" si="1"/>
        <v>1875000</v>
      </c>
      <c r="AH8" s="106">
        <f t="shared" si="1"/>
        <v>1875000</v>
      </c>
      <c r="AI8" s="106">
        <f t="shared" si="1"/>
        <v>2812500</v>
      </c>
      <c r="AJ8" s="106">
        <f t="shared" si="1"/>
        <v>2812500</v>
      </c>
      <c r="AK8" s="106">
        <f t="shared" si="1"/>
        <v>2812500</v>
      </c>
      <c r="AL8" s="106">
        <f t="shared" si="1"/>
        <v>2812500</v>
      </c>
      <c r="AM8" s="106">
        <f t="shared" si="1"/>
        <v>2812500</v>
      </c>
      <c r="AN8" s="106">
        <f t="shared" si="1"/>
        <v>2812500</v>
      </c>
      <c r="AO8" s="106">
        <f t="shared" si="1"/>
        <v>5625000</v>
      </c>
      <c r="AP8" s="106">
        <f t="shared" si="1"/>
        <v>5625000</v>
      </c>
      <c r="AQ8" s="106">
        <f t="shared" si="1"/>
        <v>5625000</v>
      </c>
      <c r="AR8" s="106">
        <f t="shared" si="1"/>
        <v>5625000</v>
      </c>
      <c r="AS8" s="106">
        <f t="shared" si="1"/>
        <v>5625000</v>
      </c>
      <c r="AT8" s="106">
        <f t="shared" si="1"/>
        <v>5625000</v>
      </c>
      <c r="AU8" s="106">
        <f t="shared" si="1"/>
        <v>5625000</v>
      </c>
      <c r="AV8" s="106">
        <f t="shared" si="1"/>
        <v>5625000</v>
      </c>
      <c r="AW8" s="106">
        <f t="shared" si="1"/>
        <v>5625000</v>
      </c>
      <c r="AX8" s="106">
        <f t="shared" si="1"/>
        <v>5625000</v>
      </c>
      <c r="AY8" s="106">
        <f t="shared" si="1"/>
        <v>5625000</v>
      </c>
      <c r="AZ8" s="106">
        <f t="shared" si="1"/>
        <v>5625000</v>
      </c>
      <c r="BA8" s="106">
        <f t="shared" si="1"/>
        <v>9375000</v>
      </c>
      <c r="BB8" s="106">
        <f t="shared" si="1"/>
        <v>9375000</v>
      </c>
      <c r="BC8" s="106">
        <f t="shared" si="1"/>
        <v>9375000</v>
      </c>
      <c r="BD8" s="106">
        <f t="shared" si="1"/>
        <v>9375000</v>
      </c>
      <c r="BE8" s="106">
        <f t="shared" si="1"/>
        <v>9375000</v>
      </c>
      <c r="BF8" s="106">
        <f t="shared" si="1"/>
        <v>9375000</v>
      </c>
      <c r="BG8" s="106">
        <f t="shared" si="1"/>
        <v>9375000</v>
      </c>
      <c r="BH8" s="106">
        <f t="shared" si="1"/>
        <v>9375000</v>
      </c>
      <c r="BI8" s="106">
        <f t="shared" si="1"/>
        <v>9375000</v>
      </c>
      <c r="BJ8" s="106">
        <f t="shared" si="1"/>
        <v>9375000</v>
      </c>
      <c r="BK8" s="106">
        <f t="shared" si="1"/>
        <v>9375000</v>
      </c>
      <c r="BL8" s="106">
        <f t="shared" si="1"/>
        <v>9375000</v>
      </c>
      <c r="BM8" s="106">
        <f t="shared" si="1"/>
        <v>16875000</v>
      </c>
      <c r="BN8" s="106">
        <f t="shared" si="1"/>
        <v>16875000</v>
      </c>
      <c r="BO8" s="106">
        <f t="shared" si="1"/>
        <v>16875000</v>
      </c>
      <c r="BP8" s="106">
        <f t="shared" si="1"/>
        <v>16875000</v>
      </c>
      <c r="BQ8" s="106">
        <f t="shared" si="1"/>
        <v>16875000</v>
      </c>
      <c r="BR8" s="106">
        <f t="shared" si="1"/>
        <v>16875000</v>
      </c>
      <c r="BS8" s="106">
        <f t="shared" si="1"/>
        <v>16875000</v>
      </c>
      <c r="BT8" s="106">
        <f t="shared" si="1"/>
        <v>16875000</v>
      </c>
      <c r="BU8" s="106">
        <f t="shared" si="1"/>
        <v>16875000</v>
      </c>
      <c r="BV8" s="106">
        <f t="shared" si="1"/>
        <v>16875000</v>
      </c>
      <c r="BW8" s="106">
        <f t="shared" si="1"/>
        <v>16875000</v>
      </c>
      <c r="BX8" s="106">
        <f t="shared" si="1"/>
        <v>16875000</v>
      </c>
      <c r="BY8" s="106">
        <f t="shared" si="1"/>
        <v>22500000</v>
      </c>
      <c r="BZ8" s="106">
        <f t="shared" si="1"/>
        <v>22500000</v>
      </c>
      <c r="CA8" s="106">
        <f t="shared" si="1"/>
        <v>22500000</v>
      </c>
      <c r="CB8" s="106">
        <f t="shared" si="1"/>
        <v>22500000</v>
      </c>
      <c r="CC8" s="106">
        <f t="shared" si="1"/>
        <v>22500000</v>
      </c>
      <c r="CD8" s="106">
        <f t="shared" si="1"/>
        <v>22500000</v>
      </c>
      <c r="CE8" s="106">
        <f t="shared" si="1"/>
        <v>22500000</v>
      </c>
      <c r="CF8" s="106">
        <f t="shared" si="1"/>
        <v>22500000</v>
      </c>
      <c r="CG8" s="106">
        <f t="shared" si="1"/>
        <v>22500000</v>
      </c>
      <c r="CH8" s="106">
        <f t="shared" si="1"/>
        <v>22500000</v>
      </c>
      <c r="CI8" s="106">
        <f t="shared" si="1"/>
        <v>22500000</v>
      </c>
      <c r="CJ8" s="106">
        <f t="shared" si="1"/>
        <v>22500000</v>
      </c>
    </row>
    <row r="9" spans="1:889" ht="13">
      <c r="A9" s="61"/>
      <c r="B9" s="62" t="s">
        <v>20</v>
      </c>
      <c r="C9" s="61"/>
      <c r="D9" s="61"/>
      <c r="E9" s="27">
        <f>'Model Assumptions'!G15</f>
        <v>0</v>
      </c>
      <c r="F9" s="27">
        <f>'Model Assumptions'!H15</f>
        <v>0</v>
      </c>
      <c r="G9" s="27">
        <f>'Model Assumptions'!I15</f>
        <v>0</v>
      </c>
      <c r="H9" s="27">
        <f>'Model Assumptions'!J15</f>
        <v>0</v>
      </c>
      <c r="I9" s="27">
        <f>'Model Assumptions'!K15</f>
        <v>0</v>
      </c>
      <c r="J9" s="27">
        <f>'Model Assumptions'!L15</f>
        <v>0</v>
      </c>
      <c r="K9" s="27">
        <f>'Model Assumptions'!M15</f>
        <v>0</v>
      </c>
      <c r="L9" s="27">
        <f>'Model Assumptions'!N15</f>
        <v>0</v>
      </c>
      <c r="M9" s="27">
        <f>'Model Assumptions'!O15</f>
        <v>0</v>
      </c>
      <c r="N9" s="27">
        <f>'Model Assumptions'!P15</f>
        <v>0</v>
      </c>
      <c r="O9" s="27">
        <f>'Model Assumptions'!Q15</f>
        <v>0</v>
      </c>
      <c r="P9" s="27">
        <f>'Model Assumptions'!R15</f>
        <v>0</v>
      </c>
      <c r="Q9" s="27">
        <f>'Model Assumptions'!S15</f>
        <v>187500</v>
      </c>
      <c r="R9" s="27">
        <f>'Model Assumptions'!T15</f>
        <v>187500</v>
      </c>
      <c r="S9" s="27">
        <f>'Model Assumptions'!U15</f>
        <v>187500</v>
      </c>
      <c r="T9" s="27">
        <f>'Model Assumptions'!V15</f>
        <v>187500</v>
      </c>
      <c r="U9" s="27">
        <f>'Model Assumptions'!W15</f>
        <v>187500</v>
      </c>
      <c r="V9" s="27">
        <f>'Model Assumptions'!X15</f>
        <v>187500</v>
      </c>
      <c r="W9" s="27">
        <f>'Model Assumptions'!Y15</f>
        <v>937500</v>
      </c>
      <c r="X9" s="27">
        <f>'Model Assumptions'!Z15</f>
        <v>937500</v>
      </c>
      <c r="Y9" s="27">
        <f>'Model Assumptions'!AA15</f>
        <v>937500</v>
      </c>
      <c r="Z9" s="27">
        <f>'Model Assumptions'!AB15</f>
        <v>937500</v>
      </c>
      <c r="AA9" s="27">
        <f>'Model Assumptions'!AC15</f>
        <v>937500</v>
      </c>
      <c r="AB9" s="27">
        <f>'Model Assumptions'!AD15</f>
        <v>937500</v>
      </c>
      <c r="AC9" s="27">
        <f>'Model Assumptions'!AE15</f>
        <v>937500</v>
      </c>
      <c r="AD9" s="27">
        <f>'Model Assumptions'!AF15</f>
        <v>937500</v>
      </c>
      <c r="AE9" s="27">
        <f>'Model Assumptions'!AG15</f>
        <v>937500</v>
      </c>
      <c r="AF9" s="27">
        <f>'Model Assumptions'!AH15</f>
        <v>937500</v>
      </c>
      <c r="AG9" s="27">
        <f>'Model Assumptions'!AI15</f>
        <v>937500</v>
      </c>
      <c r="AH9" s="27">
        <f>'Model Assumptions'!AJ15</f>
        <v>937500</v>
      </c>
      <c r="AI9" s="27">
        <f>'Model Assumptions'!AK15</f>
        <v>1875000</v>
      </c>
      <c r="AJ9" s="27">
        <f>'Model Assumptions'!AL15</f>
        <v>1875000</v>
      </c>
      <c r="AK9" s="27">
        <f>'Model Assumptions'!AM15</f>
        <v>1875000</v>
      </c>
      <c r="AL9" s="27">
        <f>'Model Assumptions'!AN15</f>
        <v>1875000</v>
      </c>
      <c r="AM9" s="27">
        <f>'Model Assumptions'!AO15</f>
        <v>1875000</v>
      </c>
      <c r="AN9" s="27">
        <f>'Model Assumptions'!AP15</f>
        <v>1875000</v>
      </c>
      <c r="AO9" s="27">
        <f>'Model Assumptions'!AQ15</f>
        <v>1875000</v>
      </c>
      <c r="AP9" s="27">
        <f>'Model Assumptions'!AR15</f>
        <v>1875000</v>
      </c>
      <c r="AQ9" s="27">
        <f>'Model Assumptions'!AS15</f>
        <v>1875000</v>
      </c>
      <c r="AR9" s="27">
        <f>'Model Assumptions'!AT15</f>
        <v>1875000</v>
      </c>
      <c r="AS9" s="27">
        <f>'Model Assumptions'!AU15</f>
        <v>1875000</v>
      </c>
      <c r="AT9" s="27">
        <f>'Model Assumptions'!AV15</f>
        <v>1875000</v>
      </c>
      <c r="AU9" s="27">
        <f>'Model Assumptions'!AW15</f>
        <v>1875000</v>
      </c>
      <c r="AV9" s="27">
        <f>'Model Assumptions'!AX15</f>
        <v>1875000</v>
      </c>
      <c r="AW9" s="27">
        <f>'Model Assumptions'!AY15</f>
        <v>1875000</v>
      </c>
      <c r="AX9" s="27">
        <f>'Model Assumptions'!AZ15</f>
        <v>1875000</v>
      </c>
      <c r="AY9" s="27">
        <f>'Model Assumptions'!BA15</f>
        <v>1875000</v>
      </c>
      <c r="AZ9" s="27">
        <f>'Model Assumptions'!BB15</f>
        <v>1875000</v>
      </c>
      <c r="BA9" s="27">
        <f>'Model Assumptions'!BC15</f>
        <v>1875000</v>
      </c>
      <c r="BB9" s="27">
        <f>'Model Assumptions'!BD15</f>
        <v>1875000</v>
      </c>
      <c r="BC9" s="27">
        <f>'Model Assumptions'!BE15</f>
        <v>1875000</v>
      </c>
      <c r="BD9" s="27">
        <f>'Model Assumptions'!BF15</f>
        <v>1875000</v>
      </c>
      <c r="BE9" s="27">
        <f>'Model Assumptions'!BG15</f>
        <v>1875000</v>
      </c>
      <c r="BF9" s="27">
        <f>'Model Assumptions'!BH15</f>
        <v>1875000</v>
      </c>
      <c r="BG9" s="27">
        <f>'Model Assumptions'!BI15</f>
        <v>1875000</v>
      </c>
      <c r="BH9" s="27">
        <f>'Model Assumptions'!BJ15</f>
        <v>1875000</v>
      </c>
      <c r="BI9" s="27">
        <f>'Model Assumptions'!BK15</f>
        <v>1875000</v>
      </c>
      <c r="BJ9" s="27">
        <f>'Model Assumptions'!BL15</f>
        <v>1875000</v>
      </c>
      <c r="BK9" s="27">
        <f>'Model Assumptions'!BM15</f>
        <v>1875000</v>
      </c>
      <c r="BL9" s="27">
        <f>'Model Assumptions'!BN15</f>
        <v>1875000</v>
      </c>
      <c r="BM9" s="27">
        <f>'Model Assumptions'!BO15</f>
        <v>1875000</v>
      </c>
      <c r="BN9" s="27">
        <f>'Model Assumptions'!BP15</f>
        <v>1875000</v>
      </c>
      <c r="BO9" s="27">
        <f>'Model Assumptions'!BQ15</f>
        <v>1875000</v>
      </c>
      <c r="BP9" s="27">
        <f>'Model Assumptions'!BR15</f>
        <v>1875000</v>
      </c>
      <c r="BQ9" s="27">
        <f>'Model Assumptions'!BS15</f>
        <v>1875000</v>
      </c>
      <c r="BR9" s="27">
        <f>'Model Assumptions'!BT15</f>
        <v>1875000</v>
      </c>
      <c r="BS9" s="27">
        <f>'Model Assumptions'!BU15</f>
        <v>1875000</v>
      </c>
      <c r="BT9" s="27">
        <f>'Model Assumptions'!BV15</f>
        <v>1875000</v>
      </c>
      <c r="BU9" s="27">
        <f>'Model Assumptions'!BW15</f>
        <v>1875000</v>
      </c>
      <c r="BV9" s="27">
        <f>'Model Assumptions'!BX15</f>
        <v>1875000</v>
      </c>
      <c r="BW9" s="27">
        <f>'Model Assumptions'!BY15</f>
        <v>1875000</v>
      </c>
      <c r="BX9" s="27">
        <f>'Model Assumptions'!BZ15</f>
        <v>1875000</v>
      </c>
      <c r="BY9" s="27">
        <f>'Model Assumptions'!CA15</f>
        <v>1875000</v>
      </c>
      <c r="BZ9" s="27">
        <f>'Model Assumptions'!CB15</f>
        <v>1875000</v>
      </c>
      <c r="CA9" s="27">
        <f>'Model Assumptions'!CC15</f>
        <v>1875000</v>
      </c>
      <c r="CB9" s="27">
        <f>'Model Assumptions'!CD15</f>
        <v>1875000</v>
      </c>
      <c r="CC9" s="27">
        <f>'Model Assumptions'!CE15</f>
        <v>1875000</v>
      </c>
      <c r="CD9" s="27">
        <f>'Model Assumptions'!CF15</f>
        <v>1875000</v>
      </c>
      <c r="CE9" s="27">
        <f>'Model Assumptions'!CG15</f>
        <v>1875000</v>
      </c>
      <c r="CF9" s="27">
        <f>'Model Assumptions'!CH15</f>
        <v>1875000</v>
      </c>
      <c r="CG9" s="27">
        <f>'Model Assumptions'!CI15</f>
        <v>1875000</v>
      </c>
      <c r="CH9" s="27">
        <f>'Model Assumptions'!CJ15</f>
        <v>1875000</v>
      </c>
      <c r="CI9" s="27">
        <f>'Model Assumptions'!CK15</f>
        <v>1875000</v>
      </c>
      <c r="CJ9" s="27">
        <f>'Model Assumptions'!CL15</f>
        <v>1875000</v>
      </c>
    </row>
    <row r="10" spans="1:889" ht="13">
      <c r="A10" s="61"/>
      <c r="B10" s="62" t="s">
        <v>28</v>
      </c>
      <c r="C10" s="61"/>
      <c r="D10" s="61"/>
      <c r="E10" s="27">
        <f>'Model Assumptions'!G23</f>
        <v>0</v>
      </c>
      <c r="F10" s="27">
        <f>'Model Assumptions'!H23</f>
        <v>0</v>
      </c>
      <c r="G10" s="27">
        <f>'Model Assumptions'!I23</f>
        <v>0</v>
      </c>
      <c r="H10" s="27">
        <f>'Model Assumptions'!J23</f>
        <v>0</v>
      </c>
      <c r="I10" s="27">
        <f>'Model Assumptions'!K23</f>
        <v>0</v>
      </c>
      <c r="J10" s="27">
        <f>'Model Assumptions'!L23</f>
        <v>0</v>
      </c>
      <c r="K10" s="27">
        <f>'Model Assumptions'!M23</f>
        <v>0</v>
      </c>
      <c r="L10" s="27">
        <f>'Model Assumptions'!N23</f>
        <v>0</v>
      </c>
      <c r="M10" s="27">
        <f>'Model Assumptions'!O23</f>
        <v>0</v>
      </c>
      <c r="N10" s="27">
        <f>'Model Assumptions'!P23</f>
        <v>0</v>
      </c>
      <c r="O10" s="27">
        <f>'Model Assumptions'!Q23</f>
        <v>0</v>
      </c>
      <c r="P10" s="27">
        <f>'Model Assumptions'!R23</f>
        <v>0</v>
      </c>
      <c r="Q10" s="27">
        <f>'Model Assumptions'!S23</f>
        <v>0</v>
      </c>
      <c r="R10" s="27">
        <f>'Model Assumptions'!T23</f>
        <v>0</v>
      </c>
      <c r="S10" s="27">
        <f>'Model Assumptions'!U23</f>
        <v>0</v>
      </c>
      <c r="T10" s="27">
        <f>'Model Assumptions'!V23</f>
        <v>0</v>
      </c>
      <c r="U10" s="27">
        <f>'Model Assumptions'!W23</f>
        <v>0</v>
      </c>
      <c r="V10" s="27">
        <f>'Model Assumptions'!X23</f>
        <v>0</v>
      </c>
      <c r="W10" s="27">
        <f>'Model Assumptions'!Y23</f>
        <v>0</v>
      </c>
      <c r="X10" s="27">
        <f>'Model Assumptions'!Z23</f>
        <v>0</v>
      </c>
      <c r="Y10" s="27">
        <f>'Model Assumptions'!AA23</f>
        <v>0</v>
      </c>
      <c r="Z10" s="27">
        <f>'Model Assumptions'!AB23</f>
        <v>0</v>
      </c>
      <c r="AA10" s="27">
        <f>'Model Assumptions'!AC23</f>
        <v>0</v>
      </c>
      <c r="AB10" s="27">
        <f>'Model Assumptions'!AD23</f>
        <v>0</v>
      </c>
      <c r="AC10" s="27">
        <f>'Model Assumptions'!AE23</f>
        <v>937500</v>
      </c>
      <c r="AD10" s="27">
        <f>'Model Assumptions'!AF23</f>
        <v>937500</v>
      </c>
      <c r="AE10" s="27">
        <f>'Model Assumptions'!AG23</f>
        <v>937500</v>
      </c>
      <c r="AF10" s="27">
        <f>'Model Assumptions'!AH23</f>
        <v>937500</v>
      </c>
      <c r="AG10" s="27">
        <f>'Model Assumptions'!AI23</f>
        <v>937500</v>
      </c>
      <c r="AH10" s="27">
        <f>'Model Assumptions'!AJ23</f>
        <v>937500</v>
      </c>
      <c r="AI10" s="27">
        <f>'Model Assumptions'!AK23</f>
        <v>937500</v>
      </c>
      <c r="AJ10" s="27">
        <f>'Model Assumptions'!AL23</f>
        <v>937500</v>
      </c>
      <c r="AK10" s="27">
        <f>'Model Assumptions'!AM23</f>
        <v>937500</v>
      </c>
      <c r="AL10" s="27">
        <f>'Model Assumptions'!AN23</f>
        <v>937500</v>
      </c>
      <c r="AM10" s="27">
        <f>'Model Assumptions'!AO23</f>
        <v>937500</v>
      </c>
      <c r="AN10" s="27">
        <f>'Model Assumptions'!AP23</f>
        <v>937500</v>
      </c>
      <c r="AO10" s="27">
        <f>'Model Assumptions'!AQ23</f>
        <v>1875000</v>
      </c>
      <c r="AP10" s="27">
        <f>'Model Assumptions'!AR23</f>
        <v>1875000</v>
      </c>
      <c r="AQ10" s="27">
        <f>'Model Assumptions'!AS23</f>
        <v>1875000</v>
      </c>
      <c r="AR10" s="27">
        <f>'Model Assumptions'!AT23</f>
        <v>1875000</v>
      </c>
      <c r="AS10" s="27">
        <f>'Model Assumptions'!AU23</f>
        <v>1875000</v>
      </c>
      <c r="AT10" s="27">
        <f>'Model Assumptions'!AV23</f>
        <v>1875000</v>
      </c>
      <c r="AU10" s="27">
        <f>'Model Assumptions'!AW23</f>
        <v>1875000</v>
      </c>
      <c r="AV10" s="27">
        <f>'Model Assumptions'!AX23</f>
        <v>1875000</v>
      </c>
      <c r="AW10" s="27">
        <f>'Model Assumptions'!AY23</f>
        <v>1875000</v>
      </c>
      <c r="AX10" s="27">
        <f>'Model Assumptions'!AZ23</f>
        <v>1875000</v>
      </c>
      <c r="AY10" s="27">
        <f>'Model Assumptions'!BA23</f>
        <v>1875000</v>
      </c>
      <c r="AZ10" s="27">
        <f>'Model Assumptions'!BB23</f>
        <v>1875000</v>
      </c>
      <c r="BA10" s="27">
        <f>'Model Assumptions'!BC23</f>
        <v>1875000</v>
      </c>
      <c r="BB10" s="27">
        <f>'Model Assumptions'!BD23</f>
        <v>1875000</v>
      </c>
      <c r="BC10" s="27">
        <f>'Model Assumptions'!BE23</f>
        <v>1875000</v>
      </c>
      <c r="BD10" s="27">
        <f>'Model Assumptions'!BF23</f>
        <v>1875000</v>
      </c>
      <c r="BE10" s="27">
        <f>'Model Assumptions'!BG23</f>
        <v>1875000</v>
      </c>
      <c r="BF10" s="27">
        <f>'Model Assumptions'!BH23</f>
        <v>1875000</v>
      </c>
      <c r="BG10" s="27">
        <f>'Model Assumptions'!BI23</f>
        <v>1875000</v>
      </c>
      <c r="BH10" s="27">
        <f>'Model Assumptions'!BJ23</f>
        <v>1875000</v>
      </c>
      <c r="BI10" s="27">
        <f>'Model Assumptions'!BK23</f>
        <v>1875000</v>
      </c>
      <c r="BJ10" s="27">
        <f>'Model Assumptions'!BL23</f>
        <v>1875000</v>
      </c>
      <c r="BK10" s="27">
        <f>'Model Assumptions'!BM23</f>
        <v>1875000</v>
      </c>
      <c r="BL10" s="27">
        <f>'Model Assumptions'!BN23</f>
        <v>1875000</v>
      </c>
      <c r="BM10" s="27">
        <f>'Model Assumptions'!BO23</f>
        <v>1875000</v>
      </c>
      <c r="BN10" s="27">
        <f>'Model Assumptions'!BP23</f>
        <v>1875000</v>
      </c>
      <c r="BO10" s="27">
        <f>'Model Assumptions'!BQ23</f>
        <v>1875000</v>
      </c>
      <c r="BP10" s="27">
        <f>'Model Assumptions'!BR23</f>
        <v>1875000</v>
      </c>
      <c r="BQ10" s="27">
        <f>'Model Assumptions'!BS23</f>
        <v>1875000</v>
      </c>
      <c r="BR10" s="27">
        <f>'Model Assumptions'!BT23</f>
        <v>1875000</v>
      </c>
      <c r="BS10" s="27">
        <f>'Model Assumptions'!BU23</f>
        <v>1875000</v>
      </c>
      <c r="BT10" s="27">
        <f>'Model Assumptions'!BV23</f>
        <v>1875000</v>
      </c>
      <c r="BU10" s="27">
        <f>'Model Assumptions'!BW23</f>
        <v>1875000</v>
      </c>
      <c r="BV10" s="27">
        <f>'Model Assumptions'!BX23</f>
        <v>1875000</v>
      </c>
      <c r="BW10" s="27">
        <f>'Model Assumptions'!BY23</f>
        <v>1875000</v>
      </c>
      <c r="BX10" s="27">
        <f>'Model Assumptions'!BZ23</f>
        <v>1875000</v>
      </c>
      <c r="BY10" s="27">
        <f>'Model Assumptions'!CA23</f>
        <v>1875000</v>
      </c>
      <c r="BZ10" s="27">
        <f>'Model Assumptions'!CB23</f>
        <v>1875000</v>
      </c>
      <c r="CA10" s="27">
        <f>'Model Assumptions'!CC23</f>
        <v>1875000</v>
      </c>
      <c r="CB10" s="27">
        <f>'Model Assumptions'!CD23</f>
        <v>1875000</v>
      </c>
      <c r="CC10" s="27">
        <f>'Model Assumptions'!CE23</f>
        <v>1875000</v>
      </c>
      <c r="CD10" s="27">
        <f>'Model Assumptions'!CF23</f>
        <v>1875000</v>
      </c>
      <c r="CE10" s="27">
        <f>'Model Assumptions'!CG23</f>
        <v>1875000</v>
      </c>
      <c r="CF10" s="27">
        <f>'Model Assumptions'!CH23</f>
        <v>1875000</v>
      </c>
      <c r="CG10" s="27">
        <f>'Model Assumptions'!CI23</f>
        <v>1875000</v>
      </c>
      <c r="CH10" s="27">
        <f>'Model Assumptions'!CJ23</f>
        <v>1875000</v>
      </c>
      <c r="CI10" s="27">
        <f>'Model Assumptions'!CK23</f>
        <v>1875000</v>
      </c>
      <c r="CJ10" s="27">
        <f>'Model Assumptions'!CL23</f>
        <v>1875000</v>
      </c>
    </row>
    <row r="11" spans="1:889" ht="13">
      <c r="A11" s="61"/>
      <c r="B11" s="62" t="s">
        <v>29</v>
      </c>
      <c r="C11" s="61"/>
      <c r="D11" s="61"/>
      <c r="E11" s="27">
        <f>'Model Assumptions'!G31</f>
        <v>0</v>
      </c>
      <c r="F11" s="27">
        <f>'Model Assumptions'!H31</f>
        <v>0</v>
      </c>
      <c r="G11" s="27">
        <f>'Model Assumptions'!I31</f>
        <v>0</v>
      </c>
      <c r="H11" s="27">
        <f>'Model Assumptions'!J31</f>
        <v>0</v>
      </c>
      <c r="I11" s="27">
        <f>'Model Assumptions'!K31</f>
        <v>0</v>
      </c>
      <c r="J11" s="27">
        <f>'Model Assumptions'!L31</f>
        <v>0</v>
      </c>
      <c r="K11" s="27">
        <f>'Model Assumptions'!M31</f>
        <v>0</v>
      </c>
      <c r="L11" s="27">
        <f>'Model Assumptions'!N31</f>
        <v>0</v>
      </c>
      <c r="M11" s="27">
        <f>'Model Assumptions'!O31</f>
        <v>0</v>
      </c>
      <c r="N11" s="27">
        <f>'Model Assumptions'!P31</f>
        <v>0</v>
      </c>
      <c r="O11" s="27">
        <f>'Model Assumptions'!Q31</f>
        <v>0</v>
      </c>
      <c r="P11" s="27">
        <f>'Model Assumptions'!R31</f>
        <v>0</v>
      </c>
      <c r="Q11" s="27">
        <f>'Model Assumptions'!S31</f>
        <v>0</v>
      </c>
      <c r="R11" s="27">
        <f>'Model Assumptions'!T31</f>
        <v>0</v>
      </c>
      <c r="S11" s="27">
        <f>'Model Assumptions'!U31</f>
        <v>0</v>
      </c>
      <c r="T11" s="27">
        <f>'Model Assumptions'!V31</f>
        <v>0</v>
      </c>
      <c r="U11" s="27">
        <f>'Model Assumptions'!W31</f>
        <v>0</v>
      </c>
      <c r="V11" s="27">
        <f>'Model Assumptions'!X31</f>
        <v>0</v>
      </c>
      <c r="W11" s="27">
        <f>'Model Assumptions'!Y31</f>
        <v>0</v>
      </c>
      <c r="X11" s="27">
        <f>'Model Assumptions'!Z31</f>
        <v>0</v>
      </c>
      <c r="Y11" s="27">
        <f>'Model Assumptions'!AA31</f>
        <v>0</v>
      </c>
      <c r="Z11" s="27">
        <f>'Model Assumptions'!AB31</f>
        <v>0</v>
      </c>
      <c r="AA11" s="27">
        <f>'Model Assumptions'!AC31</f>
        <v>0</v>
      </c>
      <c r="AB11" s="27">
        <f>'Model Assumptions'!AD31</f>
        <v>0</v>
      </c>
      <c r="AC11" s="27">
        <f>'Model Assumptions'!AE31</f>
        <v>0</v>
      </c>
      <c r="AD11" s="27">
        <f>'Model Assumptions'!AF31</f>
        <v>0</v>
      </c>
      <c r="AE11" s="27">
        <f>'Model Assumptions'!AG31</f>
        <v>0</v>
      </c>
      <c r="AF11" s="27">
        <f>'Model Assumptions'!AH31</f>
        <v>0</v>
      </c>
      <c r="AG11" s="27">
        <f>'Model Assumptions'!AI31</f>
        <v>0</v>
      </c>
      <c r="AH11" s="27">
        <f>'Model Assumptions'!AJ31</f>
        <v>0</v>
      </c>
      <c r="AI11" s="27">
        <f>'Model Assumptions'!AK31</f>
        <v>0</v>
      </c>
      <c r="AJ11" s="27">
        <f>'Model Assumptions'!AL31</f>
        <v>0</v>
      </c>
      <c r="AK11" s="27">
        <f>'Model Assumptions'!AM31</f>
        <v>0</v>
      </c>
      <c r="AL11" s="27">
        <f>'Model Assumptions'!AN31</f>
        <v>0</v>
      </c>
      <c r="AM11" s="27">
        <f>'Model Assumptions'!AO31</f>
        <v>0</v>
      </c>
      <c r="AN11" s="27">
        <f>'Model Assumptions'!AP31</f>
        <v>0</v>
      </c>
      <c r="AO11" s="27">
        <f>'Model Assumptions'!AQ31</f>
        <v>937500</v>
      </c>
      <c r="AP11" s="27">
        <f>'Model Assumptions'!AR31</f>
        <v>937500</v>
      </c>
      <c r="AQ11" s="27">
        <f>'Model Assumptions'!AS31</f>
        <v>937500</v>
      </c>
      <c r="AR11" s="27">
        <f>'Model Assumptions'!AT31</f>
        <v>937500</v>
      </c>
      <c r="AS11" s="27">
        <f>'Model Assumptions'!AU31</f>
        <v>937500</v>
      </c>
      <c r="AT11" s="27">
        <f>'Model Assumptions'!AV31</f>
        <v>937500</v>
      </c>
      <c r="AU11" s="27">
        <f>'Model Assumptions'!AW31</f>
        <v>937500</v>
      </c>
      <c r="AV11" s="27">
        <f>'Model Assumptions'!AX31</f>
        <v>937500</v>
      </c>
      <c r="AW11" s="27">
        <f>'Model Assumptions'!AY31</f>
        <v>937500</v>
      </c>
      <c r="AX11" s="27">
        <f>'Model Assumptions'!AZ31</f>
        <v>937500</v>
      </c>
      <c r="AY11" s="27">
        <f>'Model Assumptions'!BA31</f>
        <v>937500</v>
      </c>
      <c r="AZ11" s="27">
        <f>'Model Assumptions'!BB31</f>
        <v>937500</v>
      </c>
      <c r="BA11" s="27">
        <f>'Model Assumptions'!BC31</f>
        <v>1875000</v>
      </c>
      <c r="BB11" s="27">
        <f>'Model Assumptions'!BD31</f>
        <v>1875000</v>
      </c>
      <c r="BC11" s="27">
        <f>'Model Assumptions'!BE31</f>
        <v>1875000</v>
      </c>
      <c r="BD11" s="27">
        <f>'Model Assumptions'!BF31</f>
        <v>1875000</v>
      </c>
      <c r="BE11" s="27">
        <f>'Model Assumptions'!BG31</f>
        <v>1875000</v>
      </c>
      <c r="BF11" s="27">
        <f>'Model Assumptions'!BH31</f>
        <v>1875000</v>
      </c>
      <c r="BG11" s="27">
        <f>'Model Assumptions'!BI31</f>
        <v>1875000</v>
      </c>
      <c r="BH11" s="27">
        <f>'Model Assumptions'!BJ31</f>
        <v>1875000</v>
      </c>
      <c r="BI11" s="27">
        <f>'Model Assumptions'!BK31</f>
        <v>1875000</v>
      </c>
      <c r="BJ11" s="27">
        <f>'Model Assumptions'!BL31</f>
        <v>1875000</v>
      </c>
      <c r="BK11" s="27">
        <f>'Model Assumptions'!BM31</f>
        <v>1875000</v>
      </c>
      <c r="BL11" s="27">
        <f>'Model Assumptions'!BN31</f>
        <v>1875000</v>
      </c>
      <c r="BM11" s="27">
        <f>'Model Assumptions'!BO31</f>
        <v>1875000</v>
      </c>
      <c r="BN11" s="27">
        <f>'Model Assumptions'!BP31</f>
        <v>1875000</v>
      </c>
      <c r="BO11" s="27">
        <f>'Model Assumptions'!BQ31</f>
        <v>1875000</v>
      </c>
      <c r="BP11" s="27">
        <f>'Model Assumptions'!BR31</f>
        <v>1875000</v>
      </c>
      <c r="BQ11" s="27">
        <f>'Model Assumptions'!BS31</f>
        <v>1875000</v>
      </c>
      <c r="BR11" s="27">
        <f>'Model Assumptions'!BT31</f>
        <v>1875000</v>
      </c>
      <c r="BS11" s="27">
        <f>'Model Assumptions'!BU31</f>
        <v>1875000</v>
      </c>
      <c r="BT11" s="27">
        <f>'Model Assumptions'!BV31</f>
        <v>1875000</v>
      </c>
      <c r="BU11" s="27">
        <f>'Model Assumptions'!BW31</f>
        <v>1875000</v>
      </c>
      <c r="BV11" s="27">
        <f>'Model Assumptions'!BX31</f>
        <v>1875000</v>
      </c>
      <c r="BW11" s="27">
        <f>'Model Assumptions'!BY31</f>
        <v>1875000</v>
      </c>
      <c r="BX11" s="27">
        <f>'Model Assumptions'!BZ31</f>
        <v>1875000</v>
      </c>
      <c r="BY11" s="27">
        <f>'Model Assumptions'!CA31</f>
        <v>1875000</v>
      </c>
      <c r="BZ11" s="27">
        <f>'Model Assumptions'!CB31</f>
        <v>1875000</v>
      </c>
      <c r="CA11" s="27">
        <f>'Model Assumptions'!CC31</f>
        <v>1875000</v>
      </c>
      <c r="CB11" s="27">
        <f>'Model Assumptions'!CD31</f>
        <v>1875000</v>
      </c>
      <c r="CC11" s="27">
        <f>'Model Assumptions'!CE31</f>
        <v>1875000</v>
      </c>
      <c r="CD11" s="27">
        <f>'Model Assumptions'!CF31</f>
        <v>1875000</v>
      </c>
      <c r="CE11" s="27">
        <f>'Model Assumptions'!CG31</f>
        <v>1875000</v>
      </c>
      <c r="CF11" s="27">
        <f>'Model Assumptions'!CH31</f>
        <v>1875000</v>
      </c>
      <c r="CG11" s="27">
        <f>'Model Assumptions'!CI31</f>
        <v>1875000</v>
      </c>
      <c r="CH11" s="27">
        <f>'Model Assumptions'!CJ31</f>
        <v>1875000</v>
      </c>
      <c r="CI11" s="27">
        <f>'Model Assumptions'!CK31</f>
        <v>1875000</v>
      </c>
      <c r="CJ11" s="27">
        <f>'Model Assumptions'!CL31</f>
        <v>1875000</v>
      </c>
    </row>
    <row r="12" spans="1:889" ht="13">
      <c r="A12" s="61"/>
      <c r="B12" s="62" t="s">
        <v>30</v>
      </c>
      <c r="C12" s="61"/>
      <c r="D12" s="61"/>
      <c r="E12" s="27">
        <f>'Model Assumptions'!G39</f>
        <v>0</v>
      </c>
      <c r="F12" s="27">
        <f>'Model Assumptions'!H39</f>
        <v>0</v>
      </c>
      <c r="G12" s="27">
        <f>'Model Assumptions'!I39</f>
        <v>0</v>
      </c>
      <c r="H12" s="27">
        <f>'Model Assumptions'!J39</f>
        <v>0</v>
      </c>
      <c r="I12" s="27">
        <f>'Model Assumptions'!K39</f>
        <v>0</v>
      </c>
      <c r="J12" s="27">
        <f>'Model Assumptions'!L39</f>
        <v>0</v>
      </c>
      <c r="K12" s="27">
        <f>'Model Assumptions'!M39</f>
        <v>0</v>
      </c>
      <c r="L12" s="27">
        <f>'Model Assumptions'!N39</f>
        <v>0</v>
      </c>
      <c r="M12" s="27">
        <f>'Model Assumptions'!O39</f>
        <v>0</v>
      </c>
      <c r="N12" s="27">
        <f>'Model Assumptions'!P39</f>
        <v>0</v>
      </c>
      <c r="O12" s="27">
        <f>'Model Assumptions'!Q39</f>
        <v>0</v>
      </c>
      <c r="P12" s="27">
        <f>'Model Assumptions'!R39</f>
        <v>0</v>
      </c>
      <c r="Q12" s="27">
        <f>'Model Assumptions'!S39</f>
        <v>0</v>
      </c>
      <c r="R12" s="27">
        <f>'Model Assumptions'!T39</f>
        <v>0</v>
      </c>
      <c r="S12" s="27">
        <f>'Model Assumptions'!U39</f>
        <v>0</v>
      </c>
      <c r="T12" s="27">
        <f>'Model Assumptions'!V39</f>
        <v>0</v>
      </c>
      <c r="U12" s="27">
        <f>'Model Assumptions'!W39</f>
        <v>0</v>
      </c>
      <c r="V12" s="27">
        <f>'Model Assumptions'!X39</f>
        <v>0</v>
      </c>
      <c r="W12" s="27">
        <f>'Model Assumptions'!Y39</f>
        <v>0</v>
      </c>
      <c r="X12" s="27">
        <f>'Model Assumptions'!Z39</f>
        <v>0</v>
      </c>
      <c r="Y12" s="27">
        <f>'Model Assumptions'!AA39</f>
        <v>0</v>
      </c>
      <c r="Z12" s="27">
        <f>'Model Assumptions'!AB39</f>
        <v>0</v>
      </c>
      <c r="AA12" s="27">
        <f>'Model Assumptions'!AC39</f>
        <v>0</v>
      </c>
      <c r="AB12" s="27">
        <f>'Model Assumptions'!AD39</f>
        <v>0</v>
      </c>
      <c r="AC12" s="27">
        <f>'Model Assumptions'!AE39</f>
        <v>0</v>
      </c>
      <c r="AD12" s="27">
        <f>'Model Assumptions'!AF39</f>
        <v>0</v>
      </c>
      <c r="AE12" s="27">
        <f>'Model Assumptions'!AG39</f>
        <v>0</v>
      </c>
      <c r="AF12" s="27">
        <f>'Model Assumptions'!AH39</f>
        <v>0</v>
      </c>
      <c r="AG12" s="27">
        <f>'Model Assumptions'!AI39</f>
        <v>0</v>
      </c>
      <c r="AH12" s="27">
        <f>'Model Assumptions'!AJ39</f>
        <v>0</v>
      </c>
      <c r="AI12" s="27">
        <f>'Model Assumptions'!AK39</f>
        <v>0</v>
      </c>
      <c r="AJ12" s="27">
        <f>'Model Assumptions'!AL39</f>
        <v>0</v>
      </c>
      <c r="AK12" s="27">
        <f>'Model Assumptions'!AM39</f>
        <v>0</v>
      </c>
      <c r="AL12" s="27">
        <f>'Model Assumptions'!AN39</f>
        <v>0</v>
      </c>
      <c r="AM12" s="27">
        <f>'Model Assumptions'!AO39</f>
        <v>0</v>
      </c>
      <c r="AN12" s="27">
        <f>'Model Assumptions'!AP39</f>
        <v>0</v>
      </c>
      <c r="AO12" s="27">
        <f>'Model Assumptions'!AQ39</f>
        <v>937500</v>
      </c>
      <c r="AP12" s="27">
        <f>'Model Assumptions'!AR39</f>
        <v>937500</v>
      </c>
      <c r="AQ12" s="27">
        <f>'Model Assumptions'!AS39</f>
        <v>937500</v>
      </c>
      <c r="AR12" s="27">
        <f>'Model Assumptions'!AT39</f>
        <v>937500</v>
      </c>
      <c r="AS12" s="27">
        <f>'Model Assumptions'!AU39</f>
        <v>937500</v>
      </c>
      <c r="AT12" s="27">
        <f>'Model Assumptions'!AV39</f>
        <v>937500</v>
      </c>
      <c r="AU12" s="27">
        <f>'Model Assumptions'!AW39</f>
        <v>937500</v>
      </c>
      <c r="AV12" s="27">
        <f>'Model Assumptions'!AX39</f>
        <v>937500</v>
      </c>
      <c r="AW12" s="27">
        <f>'Model Assumptions'!AY39</f>
        <v>937500</v>
      </c>
      <c r="AX12" s="27">
        <f>'Model Assumptions'!AZ39</f>
        <v>937500</v>
      </c>
      <c r="AY12" s="27">
        <f>'Model Assumptions'!BA39</f>
        <v>937500</v>
      </c>
      <c r="AZ12" s="27">
        <f>'Model Assumptions'!BB39</f>
        <v>937500</v>
      </c>
      <c r="BA12" s="27">
        <f>'Model Assumptions'!BC39</f>
        <v>1875000</v>
      </c>
      <c r="BB12" s="27">
        <f>'Model Assumptions'!BD39</f>
        <v>1875000</v>
      </c>
      <c r="BC12" s="27">
        <f>'Model Assumptions'!BE39</f>
        <v>1875000</v>
      </c>
      <c r="BD12" s="27">
        <f>'Model Assumptions'!BF39</f>
        <v>1875000</v>
      </c>
      <c r="BE12" s="27">
        <f>'Model Assumptions'!BG39</f>
        <v>1875000</v>
      </c>
      <c r="BF12" s="27">
        <f>'Model Assumptions'!BH39</f>
        <v>1875000</v>
      </c>
      <c r="BG12" s="27">
        <f>'Model Assumptions'!BI39</f>
        <v>1875000</v>
      </c>
      <c r="BH12" s="27">
        <f>'Model Assumptions'!BJ39</f>
        <v>1875000</v>
      </c>
      <c r="BI12" s="27">
        <f>'Model Assumptions'!BK39</f>
        <v>1875000</v>
      </c>
      <c r="BJ12" s="27">
        <f>'Model Assumptions'!BL39</f>
        <v>1875000</v>
      </c>
      <c r="BK12" s="27">
        <f>'Model Assumptions'!BM39</f>
        <v>1875000</v>
      </c>
      <c r="BL12" s="27">
        <f>'Model Assumptions'!BN39</f>
        <v>1875000</v>
      </c>
      <c r="BM12" s="27">
        <f>'Model Assumptions'!BO39</f>
        <v>1875000</v>
      </c>
      <c r="BN12" s="27">
        <f>'Model Assumptions'!BP39</f>
        <v>1875000</v>
      </c>
      <c r="BO12" s="27">
        <f>'Model Assumptions'!BQ39</f>
        <v>1875000</v>
      </c>
      <c r="BP12" s="27">
        <f>'Model Assumptions'!BR39</f>
        <v>1875000</v>
      </c>
      <c r="BQ12" s="27">
        <f>'Model Assumptions'!BS39</f>
        <v>1875000</v>
      </c>
      <c r="BR12" s="27">
        <f>'Model Assumptions'!BT39</f>
        <v>1875000</v>
      </c>
      <c r="BS12" s="27">
        <f>'Model Assumptions'!BU39</f>
        <v>1875000</v>
      </c>
      <c r="BT12" s="27">
        <f>'Model Assumptions'!BV39</f>
        <v>1875000</v>
      </c>
      <c r="BU12" s="27">
        <f>'Model Assumptions'!BW39</f>
        <v>1875000</v>
      </c>
      <c r="BV12" s="27">
        <f>'Model Assumptions'!BX39</f>
        <v>1875000</v>
      </c>
      <c r="BW12" s="27">
        <f>'Model Assumptions'!BY39</f>
        <v>1875000</v>
      </c>
      <c r="BX12" s="27">
        <f>'Model Assumptions'!BZ39</f>
        <v>1875000</v>
      </c>
      <c r="BY12" s="27">
        <f>'Model Assumptions'!CA39</f>
        <v>1875000</v>
      </c>
      <c r="BZ12" s="27">
        <f>'Model Assumptions'!CB39</f>
        <v>1875000</v>
      </c>
      <c r="CA12" s="27">
        <f>'Model Assumptions'!CC39</f>
        <v>1875000</v>
      </c>
      <c r="CB12" s="27">
        <f>'Model Assumptions'!CD39</f>
        <v>1875000</v>
      </c>
      <c r="CC12" s="27">
        <f>'Model Assumptions'!CE39</f>
        <v>1875000</v>
      </c>
      <c r="CD12" s="27">
        <f>'Model Assumptions'!CF39</f>
        <v>1875000</v>
      </c>
      <c r="CE12" s="27">
        <f>'Model Assumptions'!CG39</f>
        <v>1875000</v>
      </c>
      <c r="CF12" s="27">
        <f>'Model Assumptions'!CH39</f>
        <v>1875000</v>
      </c>
      <c r="CG12" s="27">
        <f>'Model Assumptions'!CI39</f>
        <v>1875000</v>
      </c>
      <c r="CH12" s="27">
        <f>'Model Assumptions'!CJ39</f>
        <v>1875000</v>
      </c>
      <c r="CI12" s="27">
        <f>'Model Assumptions'!CK39</f>
        <v>1875000</v>
      </c>
      <c r="CJ12" s="27">
        <f>'Model Assumptions'!CL39</f>
        <v>1875000</v>
      </c>
    </row>
    <row r="13" spans="1:889" ht="13">
      <c r="A13" s="61"/>
      <c r="B13" s="62" t="s">
        <v>31</v>
      </c>
      <c r="C13" s="61"/>
      <c r="D13" s="61"/>
      <c r="E13" s="27">
        <f>'Model Assumptions'!G47</f>
        <v>0</v>
      </c>
      <c r="F13" s="27">
        <f>'Model Assumptions'!H47</f>
        <v>0</v>
      </c>
      <c r="G13" s="27">
        <f>'Model Assumptions'!I47</f>
        <v>0</v>
      </c>
      <c r="H13" s="27">
        <f>'Model Assumptions'!J47</f>
        <v>0</v>
      </c>
      <c r="I13" s="27">
        <f>'Model Assumptions'!K47</f>
        <v>0</v>
      </c>
      <c r="J13" s="27">
        <f>'Model Assumptions'!L47</f>
        <v>0</v>
      </c>
      <c r="K13" s="27">
        <f>'Model Assumptions'!M47</f>
        <v>0</v>
      </c>
      <c r="L13" s="27">
        <f>'Model Assumptions'!N47</f>
        <v>0</v>
      </c>
      <c r="M13" s="27">
        <f>'Model Assumptions'!O47</f>
        <v>0</v>
      </c>
      <c r="N13" s="27">
        <f>'Model Assumptions'!P47</f>
        <v>0</v>
      </c>
      <c r="O13" s="27">
        <f>'Model Assumptions'!Q47</f>
        <v>0</v>
      </c>
      <c r="P13" s="27">
        <f>'Model Assumptions'!R47</f>
        <v>0</v>
      </c>
      <c r="Q13" s="27">
        <f>'Model Assumptions'!S47</f>
        <v>0</v>
      </c>
      <c r="R13" s="27">
        <f>'Model Assumptions'!T47</f>
        <v>0</v>
      </c>
      <c r="S13" s="27">
        <f>'Model Assumptions'!U47</f>
        <v>0</v>
      </c>
      <c r="T13" s="27">
        <f>'Model Assumptions'!V47</f>
        <v>0</v>
      </c>
      <c r="U13" s="27">
        <f>'Model Assumptions'!W47</f>
        <v>0</v>
      </c>
      <c r="V13" s="27">
        <f>'Model Assumptions'!X47</f>
        <v>0</v>
      </c>
      <c r="W13" s="27">
        <f>'Model Assumptions'!Y47</f>
        <v>0</v>
      </c>
      <c r="X13" s="27">
        <f>'Model Assumptions'!Z47</f>
        <v>0</v>
      </c>
      <c r="Y13" s="27">
        <f>'Model Assumptions'!AA47</f>
        <v>0</v>
      </c>
      <c r="Z13" s="27">
        <f>'Model Assumptions'!AB47</f>
        <v>0</v>
      </c>
      <c r="AA13" s="27">
        <f>'Model Assumptions'!AC47</f>
        <v>0</v>
      </c>
      <c r="AB13" s="27">
        <f>'Model Assumptions'!AD47</f>
        <v>0</v>
      </c>
      <c r="AC13" s="27">
        <f>'Model Assumptions'!AE47</f>
        <v>0</v>
      </c>
      <c r="AD13" s="27">
        <f>'Model Assumptions'!AF47</f>
        <v>0</v>
      </c>
      <c r="AE13" s="27">
        <f>'Model Assumptions'!AG47</f>
        <v>0</v>
      </c>
      <c r="AF13" s="27">
        <f>'Model Assumptions'!AH47</f>
        <v>0</v>
      </c>
      <c r="AG13" s="27">
        <f>'Model Assumptions'!AI47</f>
        <v>0</v>
      </c>
      <c r="AH13" s="27">
        <f>'Model Assumptions'!AJ47</f>
        <v>0</v>
      </c>
      <c r="AI13" s="27">
        <f>'Model Assumptions'!AK47</f>
        <v>0</v>
      </c>
      <c r="AJ13" s="27">
        <f>'Model Assumptions'!AL47</f>
        <v>0</v>
      </c>
      <c r="AK13" s="27">
        <f>'Model Assumptions'!AM47</f>
        <v>0</v>
      </c>
      <c r="AL13" s="27">
        <f>'Model Assumptions'!AN47</f>
        <v>0</v>
      </c>
      <c r="AM13" s="27">
        <f>'Model Assumptions'!AO47</f>
        <v>0</v>
      </c>
      <c r="AN13" s="27">
        <f>'Model Assumptions'!AP47</f>
        <v>0</v>
      </c>
      <c r="AO13" s="27">
        <f>'Model Assumptions'!AQ47</f>
        <v>0</v>
      </c>
      <c r="AP13" s="27">
        <f>'Model Assumptions'!AR47</f>
        <v>0</v>
      </c>
      <c r="AQ13" s="27">
        <f>'Model Assumptions'!AS47</f>
        <v>0</v>
      </c>
      <c r="AR13" s="27">
        <f>'Model Assumptions'!AT47</f>
        <v>0</v>
      </c>
      <c r="AS13" s="27">
        <f>'Model Assumptions'!AU47</f>
        <v>0</v>
      </c>
      <c r="AT13" s="27">
        <f>'Model Assumptions'!AV47</f>
        <v>0</v>
      </c>
      <c r="AU13" s="27">
        <f>'Model Assumptions'!AW47</f>
        <v>0</v>
      </c>
      <c r="AV13" s="27">
        <f>'Model Assumptions'!AX47</f>
        <v>0</v>
      </c>
      <c r="AW13" s="27">
        <f>'Model Assumptions'!AY47</f>
        <v>0</v>
      </c>
      <c r="AX13" s="27">
        <f>'Model Assumptions'!AZ47</f>
        <v>0</v>
      </c>
      <c r="AY13" s="27">
        <f>'Model Assumptions'!BA47</f>
        <v>0</v>
      </c>
      <c r="AZ13" s="27">
        <f>'Model Assumptions'!BB47</f>
        <v>0</v>
      </c>
      <c r="BA13" s="27">
        <f>'Model Assumptions'!BC47</f>
        <v>937500</v>
      </c>
      <c r="BB13" s="27">
        <f>'Model Assumptions'!BD47</f>
        <v>937500</v>
      </c>
      <c r="BC13" s="27">
        <f>'Model Assumptions'!BE47</f>
        <v>937500</v>
      </c>
      <c r="BD13" s="27">
        <f>'Model Assumptions'!BF47</f>
        <v>937500</v>
      </c>
      <c r="BE13" s="27">
        <f>'Model Assumptions'!BG47</f>
        <v>937500</v>
      </c>
      <c r="BF13" s="27">
        <f>'Model Assumptions'!BH47</f>
        <v>937500</v>
      </c>
      <c r="BG13" s="27">
        <f>'Model Assumptions'!BI47</f>
        <v>937500</v>
      </c>
      <c r="BH13" s="27">
        <f>'Model Assumptions'!BJ47</f>
        <v>937500</v>
      </c>
      <c r="BI13" s="27">
        <f>'Model Assumptions'!BK47</f>
        <v>937500</v>
      </c>
      <c r="BJ13" s="27">
        <f>'Model Assumptions'!BL47</f>
        <v>937500</v>
      </c>
      <c r="BK13" s="27">
        <f>'Model Assumptions'!BM47</f>
        <v>937500</v>
      </c>
      <c r="BL13" s="27">
        <f>'Model Assumptions'!BN47</f>
        <v>937500</v>
      </c>
      <c r="BM13" s="27">
        <f>'Model Assumptions'!BO47</f>
        <v>1875000</v>
      </c>
      <c r="BN13" s="27">
        <f>'Model Assumptions'!BP47</f>
        <v>1875000</v>
      </c>
      <c r="BO13" s="27">
        <f>'Model Assumptions'!BQ47</f>
        <v>1875000</v>
      </c>
      <c r="BP13" s="27">
        <f>'Model Assumptions'!BR47</f>
        <v>1875000</v>
      </c>
      <c r="BQ13" s="27">
        <f>'Model Assumptions'!BS47</f>
        <v>1875000</v>
      </c>
      <c r="BR13" s="27">
        <f>'Model Assumptions'!BT47</f>
        <v>1875000</v>
      </c>
      <c r="BS13" s="27">
        <f>'Model Assumptions'!BU47</f>
        <v>1875000</v>
      </c>
      <c r="BT13" s="27">
        <f>'Model Assumptions'!BV47</f>
        <v>1875000</v>
      </c>
      <c r="BU13" s="27">
        <f>'Model Assumptions'!BW47</f>
        <v>1875000</v>
      </c>
      <c r="BV13" s="27">
        <f>'Model Assumptions'!BX47</f>
        <v>1875000</v>
      </c>
      <c r="BW13" s="27">
        <f>'Model Assumptions'!BY47</f>
        <v>1875000</v>
      </c>
      <c r="BX13" s="27">
        <f>'Model Assumptions'!BZ47</f>
        <v>1875000</v>
      </c>
      <c r="BY13" s="27">
        <f>'Model Assumptions'!CA47</f>
        <v>1875000</v>
      </c>
      <c r="BZ13" s="27">
        <f>'Model Assumptions'!CB47</f>
        <v>1875000</v>
      </c>
      <c r="CA13" s="27">
        <f>'Model Assumptions'!CC47</f>
        <v>1875000</v>
      </c>
      <c r="CB13" s="27">
        <f>'Model Assumptions'!CD47</f>
        <v>1875000</v>
      </c>
      <c r="CC13" s="27">
        <f>'Model Assumptions'!CE47</f>
        <v>1875000</v>
      </c>
      <c r="CD13" s="27">
        <f>'Model Assumptions'!CF47</f>
        <v>1875000</v>
      </c>
      <c r="CE13" s="27">
        <f>'Model Assumptions'!CG47</f>
        <v>1875000</v>
      </c>
      <c r="CF13" s="27">
        <f>'Model Assumptions'!CH47</f>
        <v>1875000</v>
      </c>
      <c r="CG13" s="27">
        <f>'Model Assumptions'!CI47</f>
        <v>1875000</v>
      </c>
      <c r="CH13" s="27">
        <f>'Model Assumptions'!CJ47</f>
        <v>1875000</v>
      </c>
      <c r="CI13" s="27">
        <f>'Model Assumptions'!CK47</f>
        <v>1875000</v>
      </c>
      <c r="CJ13" s="27">
        <f>'Model Assumptions'!CL47</f>
        <v>1875000</v>
      </c>
    </row>
    <row r="14" spans="1:889" ht="13">
      <c r="A14" s="61"/>
      <c r="B14" s="62" t="s">
        <v>32</v>
      </c>
      <c r="C14" s="61"/>
      <c r="D14" s="61"/>
      <c r="E14" s="27">
        <f>'Model Assumptions'!G55</f>
        <v>0</v>
      </c>
      <c r="F14" s="27">
        <f>'Model Assumptions'!H55</f>
        <v>0</v>
      </c>
      <c r="G14" s="27">
        <f>'Model Assumptions'!I55</f>
        <v>0</v>
      </c>
      <c r="H14" s="27">
        <f>'Model Assumptions'!J55</f>
        <v>0</v>
      </c>
      <c r="I14" s="27">
        <f>'Model Assumptions'!K55</f>
        <v>0</v>
      </c>
      <c r="J14" s="27">
        <f>'Model Assumptions'!L55</f>
        <v>0</v>
      </c>
      <c r="K14" s="27">
        <f>'Model Assumptions'!M55</f>
        <v>0</v>
      </c>
      <c r="L14" s="27">
        <f>'Model Assumptions'!N55</f>
        <v>0</v>
      </c>
      <c r="M14" s="27">
        <f>'Model Assumptions'!O55</f>
        <v>0</v>
      </c>
      <c r="N14" s="27">
        <f>'Model Assumptions'!P55</f>
        <v>0</v>
      </c>
      <c r="O14" s="27">
        <f>'Model Assumptions'!Q55</f>
        <v>0</v>
      </c>
      <c r="P14" s="27">
        <f>'Model Assumptions'!R55</f>
        <v>0</v>
      </c>
      <c r="Q14" s="27">
        <f>'Model Assumptions'!S55</f>
        <v>0</v>
      </c>
      <c r="R14" s="27">
        <f>'Model Assumptions'!T55</f>
        <v>0</v>
      </c>
      <c r="S14" s="27">
        <f>'Model Assumptions'!U55</f>
        <v>0</v>
      </c>
      <c r="T14" s="27">
        <f>'Model Assumptions'!V55</f>
        <v>0</v>
      </c>
      <c r="U14" s="27">
        <f>'Model Assumptions'!W55</f>
        <v>0</v>
      </c>
      <c r="V14" s="27">
        <f>'Model Assumptions'!X55</f>
        <v>0</v>
      </c>
      <c r="W14" s="27">
        <f>'Model Assumptions'!Y55</f>
        <v>0</v>
      </c>
      <c r="X14" s="27">
        <f>'Model Assumptions'!Z55</f>
        <v>0</v>
      </c>
      <c r="Y14" s="27">
        <f>'Model Assumptions'!AA55</f>
        <v>0</v>
      </c>
      <c r="Z14" s="27">
        <f>'Model Assumptions'!AB55</f>
        <v>0</v>
      </c>
      <c r="AA14" s="27">
        <f>'Model Assumptions'!AC55</f>
        <v>0</v>
      </c>
      <c r="AB14" s="27">
        <f>'Model Assumptions'!AD55</f>
        <v>0</v>
      </c>
      <c r="AC14" s="27">
        <f>'Model Assumptions'!AE55</f>
        <v>0</v>
      </c>
      <c r="AD14" s="27">
        <f>'Model Assumptions'!AF55</f>
        <v>0</v>
      </c>
      <c r="AE14" s="27">
        <f>'Model Assumptions'!AG55</f>
        <v>0</v>
      </c>
      <c r="AF14" s="27">
        <f>'Model Assumptions'!AH55</f>
        <v>0</v>
      </c>
      <c r="AG14" s="27">
        <f>'Model Assumptions'!AI55</f>
        <v>0</v>
      </c>
      <c r="AH14" s="27">
        <f>'Model Assumptions'!AJ55</f>
        <v>0</v>
      </c>
      <c r="AI14" s="27">
        <f>'Model Assumptions'!AK55</f>
        <v>0</v>
      </c>
      <c r="AJ14" s="27">
        <f>'Model Assumptions'!AL55</f>
        <v>0</v>
      </c>
      <c r="AK14" s="27">
        <f>'Model Assumptions'!AM55</f>
        <v>0</v>
      </c>
      <c r="AL14" s="27">
        <f>'Model Assumptions'!AN55</f>
        <v>0</v>
      </c>
      <c r="AM14" s="27">
        <f>'Model Assumptions'!AO55</f>
        <v>0</v>
      </c>
      <c r="AN14" s="27">
        <f>'Model Assumptions'!AP55</f>
        <v>0</v>
      </c>
      <c r="AO14" s="27">
        <f>'Model Assumptions'!AQ55</f>
        <v>0</v>
      </c>
      <c r="AP14" s="27">
        <f>'Model Assumptions'!AR55</f>
        <v>0</v>
      </c>
      <c r="AQ14" s="27">
        <f>'Model Assumptions'!AS55</f>
        <v>0</v>
      </c>
      <c r="AR14" s="27">
        <f>'Model Assumptions'!AT55</f>
        <v>0</v>
      </c>
      <c r="AS14" s="27">
        <f>'Model Assumptions'!AU55</f>
        <v>0</v>
      </c>
      <c r="AT14" s="27">
        <f>'Model Assumptions'!AV55</f>
        <v>0</v>
      </c>
      <c r="AU14" s="27">
        <f>'Model Assumptions'!AW55</f>
        <v>0</v>
      </c>
      <c r="AV14" s="27">
        <f>'Model Assumptions'!AX55</f>
        <v>0</v>
      </c>
      <c r="AW14" s="27">
        <f>'Model Assumptions'!AY55</f>
        <v>0</v>
      </c>
      <c r="AX14" s="27">
        <f>'Model Assumptions'!AZ55</f>
        <v>0</v>
      </c>
      <c r="AY14" s="27">
        <f>'Model Assumptions'!BA55</f>
        <v>0</v>
      </c>
      <c r="AZ14" s="27">
        <f>'Model Assumptions'!BB55</f>
        <v>0</v>
      </c>
      <c r="BA14" s="27">
        <f>'Model Assumptions'!BC55</f>
        <v>937500</v>
      </c>
      <c r="BB14" s="27">
        <f>'Model Assumptions'!BD55</f>
        <v>937500</v>
      </c>
      <c r="BC14" s="27">
        <f>'Model Assumptions'!BE55</f>
        <v>937500</v>
      </c>
      <c r="BD14" s="27">
        <f>'Model Assumptions'!BF55</f>
        <v>937500</v>
      </c>
      <c r="BE14" s="27">
        <f>'Model Assumptions'!BG55</f>
        <v>937500</v>
      </c>
      <c r="BF14" s="27">
        <f>'Model Assumptions'!BH55</f>
        <v>937500</v>
      </c>
      <c r="BG14" s="27">
        <f>'Model Assumptions'!BI55</f>
        <v>937500</v>
      </c>
      <c r="BH14" s="27">
        <f>'Model Assumptions'!BJ55</f>
        <v>937500</v>
      </c>
      <c r="BI14" s="27">
        <f>'Model Assumptions'!BK55</f>
        <v>937500</v>
      </c>
      <c r="BJ14" s="27">
        <f>'Model Assumptions'!BL55</f>
        <v>937500</v>
      </c>
      <c r="BK14" s="27">
        <f>'Model Assumptions'!BM55</f>
        <v>937500</v>
      </c>
      <c r="BL14" s="27">
        <f>'Model Assumptions'!BN55</f>
        <v>937500</v>
      </c>
      <c r="BM14" s="27">
        <f>'Model Assumptions'!BO55</f>
        <v>1875000</v>
      </c>
      <c r="BN14" s="27">
        <f>'Model Assumptions'!BP55</f>
        <v>1875000</v>
      </c>
      <c r="BO14" s="27">
        <f>'Model Assumptions'!BQ55</f>
        <v>1875000</v>
      </c>
      <c r="BP14" s="27">
        <f>'Model Assumptions'!BR55</f>
        <v>1875000</v>
      </c>
      <c r="BQ14" s="27">
        <f>'Model Assumptions'!BS55</f>
        <v>1875000</v>
      </c>
      <c r="BR14" s="27">
        <f>'Model Assumptions'!BT55</f>
        <v>1875000</v>
      </c>
      <c r="BS14" s="27">
        <f>'Model Assumptions'!BU55</f>
        <v>1875000</v>
      </c>
      <c r="BT14" s="27">
        <f>'Model Assumptions'!BV55</f>
        <v>1875000</v>
      </c>
      <c r="BU14" s="27">
        <f>'Model Assumptions'!BW55</f>
        <v>1875000</v>
      </c>
      <c r="BV14" s="27">
        <f>'Model Assumptions'!BX55</f>
        <v>1875000</v>
      </c>
      <c r="BW14" s="27">
        <f>'Model Assumptions'!BY55</f>
        <v>1875000</v>
      </c>
      <c r="BX14" s="27">
        <f>'Model Assumptions'!BZ55</f>
        <v>1875000</v>
      </c>
      <c r="BY14" s="27">
        <f>'Model Assumptions'!CA55</f>
        <v>1875000</v>
      </c>
      <c r="BZ14" s="27">
        <f>'Model Assumptions'!CB55</f>
        <v>1875000</v>
      </c>
      <c r="CA14" s="27">
        <f>'Model Assumptions'!CC55</f>
        <v>1875000</v>
      </c>
      <c r="CB14" s="27">
        <f>'Model Assumptions'!CD55</f>
        <v>1875000</v>
      </c>
      <c r="CC14" s="27">
        <f>'Model Assumptions'!CE55</f>
        <v>1875000</v>
      </c>
      <c r="CD14" s="27">
        <f>'Model Assumptions'!CF55</f>
        <v>1875000</v>
      </c>
      <c r="CE14" s="27">
        <f>'Model Assumptions'!CG55</f>
        <v>1875000</v>
      </c>
      <c r="CF14" s="27">
        <f>'Model Assumptions'!CH55</f>
        <v>1875000</v>
      </c>
      <c r="CG14" s="27">
        <f>'Model Assumptions'!CI55</f>
        <v>1875000</v>
      </c>
      <c r="CH14" s="27">
        <f>'Model Assumptions'!CJ55</f>
        <v>1875000</v>
      </c>
      <c r="CI14" s="27">
        <f>'Model Assumptions'!CK55</f>
        <v>1875000</v>
      </c>
      <c r="CJ14" s="27">
        <f>'Model Assumptions'!CL55</f>
        <v>1875000</v>
      </c>
    </row>
    <row r="15" spans="1:889" ht="13">
      <c r="A15" s="61"/>
      <c r="B15" s="62" t="s">
        <v>33</v>
      </c>
      <c r="C15" s="61"/>
      <c r="D15" s="61"/>
      <c r="E15" s="27">
        <f>'Model Assumptions'!G63</f>
        <v>0</v>
      </c>
      <c r="F15" s="27">
        <f>'Model Assumptions'!H63</f>
        <v>0</v>
      </c>
      <c r="G15" s="27">
        <f>'Model Assumptions'!I63</f>
        <v>0</v>
      </c>
      <c r="H15" s="27">
        <f>'Model Assumptions'!J63</f>
        <v>0</v>
      </c>
      <c r="I15" s="27">
        <f>'Model Assumptions'!K63</f>
        <v>0</v>
      </c>
      <c r="J15" s="27">
        <f>'Model Assumptions'!L63</f>
        <v>0</v>
      </c>
      <c r="K15" s="27">
        <f>'Model Assumptions'!M63</f>
        <v>0</v>
      </c>
      <c r="L15" s="27">
        <f>'Model Assumptions'!N63</f>
        <v>0</v>
      </c>
      <c r="M15" s="27">
        <f>'Model Assumptions'!O63</f>
        <v>0</v>
      </c>
      <c r="N15" s="27">
        <f>'Model Assumptions'!P63</f>
        <v>0</v>
      </c>
      <c r="O15" s="27">
        <f>'Model Assumptions'!Q63</f>
        <v>0</v>
      </c>
      <c r="P15" s="27">
        <f>'Model Assumptions'!R63</f>
        <v>0</v>
      </c>
      <c r="Q15" s="27">
        <f>'Model Assumptions'!S63</f>
        <v>0</v>
      </c>
      <c r="R15" s="27">
        <f>'Model Assumptions'!T63</f>
        <v>0</v>
      </c>
      <c r="S15" s="27">
        <f>'Model Assumptions'!U63</f>
        <v>0</v>
      </c>
      <c r="T15" s="27">
        <f>'Model Assumptions'!V63</f>
        <v>0</v>
      </c>
      <c r="U15" s="27">
        <f>'Model Assumptions'!W63</f>
        <v>0</v>
      </c>
      <c r="V15" s="27">
        <f>'Model Assumptions'!X63</f>
        <v>0</v>
      </c>
      <c r="W15" s="27">
        <f>'Model Assumptions'!Y63</f>
        <v>0</v>
      </c>
      <c r="X15" s="27">
        <f>'Model Assumptions'!Z63</f>
        <v>0</v>
      </c>
      <c r="Y15" s="27">
        <f>'Model Assumptions'!AA63</f>
        <v>0</v>
      </c>
      <c r="Z15" s="27">
        <f>'Model Assumptions'!AB63</f>
        <v>0</v>
      </c>
      <c r="AA15" s="27">
        <f>'Model Assumptions'!AC63</f>
        <v>0</v>
      </c>
      <c r="AB15" s="27">
        <f>'Model Assumptions'!AD63</f>
        <v>0</v>
      </c>
      <c r="AC15" s="27">
        <f>'Model Assumptions'!AE63</f>
        <v>0</v>
      </c>
      <c r="AD15" s="27">
        <f>'Model Assumptions'!AF63</f>
        <v>0</v>
      </c>
      <c r="AE15" s="27">
        <f>'Model Assumptions'!AG63</f>
        <v>0</v>
      </c>
      <c r="AF15" s="27">
        <f>'Model Assumptions'!AH63</f>
        <v>0</v>
      </c>
      <c r="AG15" s="27">
        <f>'Model Assumptions'!AI63</f>
        <v>0</v>
      </c>
      <c r="AH15" s="27">
        <f>'Model Assumptions'!AJ63</f>
        <v>0</v>
      </c>
      <c r="AI15" s="27">
        <f>'Model Assumptions'!AK63</f>
        <v>0</v>
      </c>
      <c r="AJ15" s="27">
        <f>'Model Assumptions'!AL63</f>
        <v>0</v>
      </c>
      <c r="AK15" s="27">
        <f>'Model Assumptions'!AM63</f>
        <v>0</v>
      </c>
      <c r="AL15" s="27">
        <f>'Model Assumptions'!AN63</f>
        <v>0</v>
      </c>
      <c r="AM15" s="27">
        <f>'Model Assumptions'!AO63</f>
        <v>0</v>
      </c>
      <c r="AN15" s="27">
        <f>'Model Assumptions'!AP63</f>
        <v>0</v>
      </c>
      <c r="AO15" s="27">
        <f>'Model Assumptions'!AQ63</f>
        <v>0</v>
      </c>
      <c r="AP15" s="27">
        <f>'Model Assumptions'!AR63</f>
        <v>0</v>
      </c>
      <c r="AQ15" s="27">
        <f>'Model Assumptions'!AS63</f>
        <v>0</v>
      </c>
      <c r="AR15" s="27">
        <f>'Model Assumptions'!AT63</f>
        <v>0</v>
      </c>
      <c r="AS15" s="27">
        <f>'Model Assumptions'!AU63</f>
        <v>0</v>
      </c>
      <c r="AT15" s="27">
        <f>'Model Assumptions'!AV63</f>
        <v>0</v>
      </c>
      <c r="AU15" s="27">
        <f>'Model Assumptions'!AW63</f>
        <v>0</v>
      </c>
      <c r="AV15" s="27">
        <f>'Model Assumptions'!AX63</f>
        <v>0</v>
      </c>
      <c r="AW15" s="27">
        <f>'Model Assumptions'!AY63</f>
        <v>0</v>
      </c>
      <c r="AX15" s="27">
        <f>'Model Assumptions'!AZ63</f>
        <v>0</v>
      </c>
      <c r="AY15" s="27">
        <f>'Model Assumptions'!BA63</f>
        <v>0</v>
      </c>
      <c r="AZ15" s="27">
        <f>'Model Assumptions'!BB63</f>
        <v>0</v>
      </c>
      <c r="BA15" s="27">
        <f>'Model Assumptions'!BC63</f>
        <v>0</v>
      </c>
      <c r="BB15" s="27">
        <f>'Model Assumptions'!BD63</f>
        <v>0</v>
      </c>
      <c r="BC15" s="27">
        <f>'Model Assumptions'!BE63</f>
        <v>0</v>
      </c>
      <c r="BD15" s="27">
        <f>'Model Assumptions'!BF63</f>
        <v>0</v>
      </c>
      <c r="BE15" s="27">
        <f>'Model Assumptions'!BG63</f>
        <v>0</v>
      </c>
      <c r="BF15" s="27">
        <f>'Model Assumptions'!BH63</f>
        <v>0</v>
      </c>
      <c r="BG15" s="27">
        <f>'Model Assumptions'!BI63</f>
        <v>0</v>
      </c>
      <c r="BH15" s="27">
        <f>'Model Assumptions'!BJ63</f>
        <v>0</v>
      </c>
      <c r="BI15" s="27">
        <f>'Model Assumptions'!BK63</f>
        <v>0</v>
      </c>
      <c r="BJ15" s="27">
        <f>'Model Assumptions'!BL63</f>
        <v>0</v>
      </c>
      <c r="BK15" s="27">
        <f>'Model Assumptions'!BM63</f>
        <v>0</v>
      </c>
      <c r="BL15" s="27">
        <f>'Model Assumptions'!BN63</f>
        <v>0</v>
      </c>
      <c r="BM15" s="27">
        <f>'Model Assumptions'!BO63</f>
        <v>5625000</v>
      </c>
      <c r="BN15" s="27">
        <f>'Model Assumptions'!BP63</f>
        <v>5625000</v>
      </c>
      <c r="BO15" s="27">
        <f>'Model Assumptions'!BQ63</f>
        <v>5625000</v>
      </c>
      <c r="BP15" s="27">
        <f>'Model Assumptions'!BR63</f>
        <v>5625000</v>
      </c>
      <c r="BQ15" s="27">
        <f>'Model Assumptions'!BS63</f>
        <v>5625000</v>
      </c>
      <c r="BR15" s="27">
        <f>'Model Assumptions'!BT63</f>
        <v>5625000</v>
      </c>
      <c r="BS15" s="27">
        <f>'Model Assumptions'!BU63</f>
        <v>5625000</v>
      </c>
      <c r="BT15" s="27">
        <f>'Model Assumptions'!BV63</f>
        <v>5625000</v>
      </c>
      <c r="BU15" s="27">
        <f>'Model Assumptions'!BW63</f>
        <v>5625000</v>
      </c>
      <c r="BV15" s="27">
        <f>'Model Assumptions'!BX63</f>
        <v>5625000</v>
      </c>
      <c r="BW15" s="27">
        <f>'Model Assumptions'!BY63</f>
        <v>5625000</v>
      </c>
      <c r="BX15" s="27">
        <f>'Model Assumptions'!BZ63</f>
        <v>5625000</v>
      </c>
      <c r="BY15" s="27">
        <f>'Model Assumptions'!CA63</f>
        <v>11250000</v>
      </c>
      <c r="BZ15" s="27">
        <f>'Model Assumptions'!CB63</f>
        <v>11250000</v>
      </c>
      <c r="CA15" s="27">
        <f>'Model Assumptions'!CC63</f>
        <v>11250000</v>
      </c>
      <c r="CB15" s="27">
        <f>'Model Assumptions'!CD63</f>
        <v>11250000</v>
      </c>
      <c r="CC15" s="27">
        <f>'Model Assumptions'!CE63</f>
        <v>11250000</v>
      </c>
      <c r="CD15" s="27">
        <f>'Model Assumptions'!CF63</f>
        <v>11250000</v>
      </c>
      <c r="CE15" s="27">
        <f>'Model Assumptions'!CG63</f>
        <v>11250000</v>
      </c>
      <c r="CF15" s="27">
        <f>'Model Assumptions'!CH63</f>
        <v>11250000</v>
      </c>
      <c r="CG15" s="27">
        <f>'Model Assumptions'!CI63</f>
        <v>11250000</v>
      </c>
      <c r="CH15" s="27">
        <f>'Model Assumptions'!CJ63</f>
        <v>11250000</v>
      </c>
      <c r="CI15" s="27">
        <f>'Model Assumptions'!CK63</f>
        <v>11250000</v>
      </c>
      <c r="CJ15" s="27">
        <f>'Model Assumptions'!CL63</f>
        <v>11250000</v>
      </c>
    </row>
    <row r="16" spans="1:889" ht="15.75" customHeight="1"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/>
      <c r="BX16" s="103"/>
      <c r="BY16" s="103"/>
      <c r="BZ16" s="103"/>
      <c r="CA16" s="103"/>
      <c r="CB16" s="103"/>
      <c r="CC16" s="103"/>
      <c r="CD16" s="103"/>
      <c r="CE16" s="103"/>
      <c r="CF16" s="103"/>
      <c r="CG16" s="103"/>
      <c r="CH16" s="103"/>
      <c r="CI16" s="103"/>
      <c r="CJ16" s="103"/>
    </row>
    <row r="17" spans="1:88" ht="13">
      <c r="A17" s="61"/>
      <c r="B17" s="104" t="s">
        <v>26</v>
      </c>
      <c r="C17" s="105"/>
      <c r="D17" s="105"/>
      <c r="E17" s="106">
        <f>'Model Assumptions'!G32+'Model Assumptions'!G40+'Model Assumptions'!G48+'Model Assumptions'!G56+'Model Assumptions'!G64</f>
        <v>0</v>
      </c>
      <c r="F17" s="106">
        <f>'Model Assumptions'!H32+'Model Assumptions'!H40+'Model Assumptions'!H48+'Model Assumptions'!H56+'Model Assumptions'!H64</f>
        <v>0</v>
      </c>
      <c r="G17" s="106">
        <f>'Model Assumptions'!I32+'Model Assumptions'!I40+'Model Assumptions'!I48+'Model Assumptions'!I56+'Model Assumptions'!I64</f>
        <v>0</v>
      </c>
      <c r="H17" s="106">
        <f>'Model Assumptions'!J32+'Model Assumptions'!J40+'Model Assumptions'!J48+'Model Assumptions'!J56+'Model Assumptions'!J64</f>
        <v>0</v>
      </c>
      <c r="I17" s="106">
        <f>'Model Assumptions'!K32+'Model Assumptions'!K40+'Model Assumptions'!K48+'Model Assumptions'!K56+'Model Assumptions'!K64</f>
        <v>0</v>
      </c>
      <c r="J17" s="106">
        <f>'Model Assumptions'!L32+'Model Assumptions'!L40+'Model Assumptions'!L48+'Model Assumptions'!L56+'Model Assumptions'!L64</f>
        <v>0</v>
      </c>
      <c r="K17" s="106">
        <f>'Model Assumptions'!M32+'Model Assumptions'!M40+'Model Assumptions'!M48+'Model Assumptions'!M56+'Model Assumptions'!M64</f>
        <v>0</v>
      </c>
      <c r="L17" s="106">
        <f>'Model Assumptions'!N32+'Model Assumptions'!N40+'Model Assumptions'!N48+'Model Assumptions'!N56+'Model Assumptions'!N64</f>
        <v>0</v>
      </c>
      <c r="M17" s="106">
        <f>'Model Assumptions'!O32+'Model Assumptions'!O40+'Model Assumptions'!O48+'Model Assumptions'!O56+'Model Assumptions'!O64</f>
        <v>0</v>
      </c>
      <c r="N17" s="106">
        <f>'Model Assumptions'!P32+'Model Assumptions'!P40+'Model Assumptions'!P48+'Model Assumptions'!P56+'Model Assumptions'!P64</f>
        <v>0</v>
      </c>
      <c r="O17" s="106">
        <f>'Model Assumptions'!Q32+'Model Assumptions'!Q40+'Model Assumptions'!Q48+'Model Assumptions'!Q56+'Model Assumptions'!Q64</f>
        <v>0</v>
      </c>
      <c r="P17" s="106">
        <f>'Model Assumptions'!R32+'Model Assumptions'!R40+'Model Assumptions'!R48+'Model Assumptions'!R56+'Model Assumptions'!R64</f>
        <v>0</v>
      </c>
      <c r="Q17" s="106">
        <f>'Model Assumptions'!S32+'Model Assumptions'!S40+'Model Assumptions'!S48+'Model Assumptions'!S56+'Model Assumptions'!S64</f>
        <v>0</v>
      </c>
      <c r="R17" s="106">
        <f>'Model Assumptions'!T32+'Model Assumptions'!T40+'Model Assumptions'!T48+'Model Assumptions'!T56+'Model Assumptions'!T64</f>
        <v>0</v>
      </c>
      <c r="S17" s="106">
        <f>'Model Assumptions'!U32+'Model Assumptions'!U40+'Model Assumptions'!U48+'Model Assumptions'!U56+'Model Assumptions'!U64</f>
        <v>0</v>
      </c>
      <c r="T17" s="106">
        <f>'Model Assumptions'!V32+'Model Assumptions'!V40+'Model Assumptions'!V48+'Model Assumptions'!V56+'Model Assumptions'!V64</f>
        <v>0</v>
      </c>
      <c r="U17" s="106">
        <f>'Model Assumptions'!W32+'Model Assumptions'!W40+'Model Assumptions'!W48+'Model Assumptions'!W56+'Model Assumptions'!W64</f>
        <v>0</v>
      </c>
      <c r="V17" s="106">
        <f>'Model Assumptions'!X32+'Model Assumptions'!X40+'Model Assumptions'!X48+'Model Assumptions'!X56+'Model Assumptions'!X64</f>
        <v>0</v>
      </c>
      <c r="W17" s="106">
        <f>'Model Assumptions'!Y32+'Model Assumptions'!Y40+'Model Assumptions'!Y48+'Model Assumptions'!Y56+'Model Assumptions'!Y64</f>
        <v>0</v>
      </c>
      <c r="X17" s="106">
        <f>'Model Assumptions'!Z32+'Model Assumptions'!Z40+'Model Assumptions'!Z48+'Model Assumptions'!Z56+'Model Assumptions'!Z64</f>
        <v>0</v>
      </c>
      <c r="Y17" s="106">
        <f>'Model Assumptions'!AA32+'Model Assumptions'!AA40+'Model Assumptions'!AA48+'Model Assumptions'!AA56+'Model Assumptions'!AA64</f>
        <v>0</v>
      </c>
      <c r="Z17" s="106">
        <f>'Model Assumptions'!AB32+'Model Assumptions'!AB40+'Model Assumptions'!AB48+'Model Assumptions'!AB56+'Model Assumptions'!AB64</f>
        <v>0</v>
      </c>
      <c r="AA17" s="106">
        <f>'Model Assumptions'!AC32+'Model Assumptions'!AC40+'Model Assumptions'!AC48+'Model Assumptions'!AC56+'Model Assumptions'!AC64</f>
        <v>0</v>
      </c>
      <c r="AB17" s="106">
        <f>'Model Assumptions'!AD32+'Model Assumptions'!AD40+'Model Assumptions'!AD48+'Model Assumptions'!AD56+'Model Assumptions'!AD64</f>
        <v>0</v>
      </c>
      <c r="AC17" s="106">
        <f>'Model Assumptions'!AE32+'Model Assumptions'!AE40+'Model Assumptions'!AE48+'Model Assumptions'!AE56+'Model Assumptions'!AE64</f>
        <v>0</v>
      </c>
      <c r="AD17" s="106">
        <f>'Model Assumptions'!AF32+'Model Assumptions'!AF40+'Model Assumptions'!AF48+'Model Assumptions'!AF56+'Model Assumptions'!AF64</f>
        <v>0</v>
      </c>
      <c r="AE17" s="106">
        <f>'Model Assumptions'!AG32+'Model Assumptions'!AG40+'Model Assumptions'!AG48+'Model Assumptions'!AG56+'Model Assumptions'!AG64</f>
        <v>0</v>
      </c>
      <c r="AF17" s="106">
        <f>'Model Assumptions'!AH32+'Model Assumptions'!AH40+'Model Assumptions'!AH48+'Model Assumptions'!AH56+'Model Assumptions'!AH64</f>
        <v>0</v>
      </c>
      <c r="AG17" s="106">
        <f>'Model Assumptions'!AI32+'Model Assumptions'!AI40+'Model Assumptions'!AI48+'Model Assumptions'!AI56+'Model Assumptions'!AI64</f>
        <v>0</v>
      </c>
      <c r="AH17" s="106">
        <f>'Model Assumptions'!AJ32+'Model Assumptions'!AJ40+'Model Assumptions'!AJ48+'Model Assumptions'!AJ56+'Model Assumptions'!AJ64</f>
        <v>0</v>
      </c>
      <c r="AI17" s="106">
        <f>'Model Assumptions'!AK32+'Model Assumptions'!AK40+'Model Assumptions'!AK48+'Model Assumptions'!AK56+'Model Assumptions'!AK64</f>
        <v>0</v>
      </c>
      <c r="AJ17" s="106">
        <f>'Model Assumptions'!AL32+'Model Assumptions'!AL40+'Model Assumptions'!AL48+'Model Assumptions'!AL56+'Model Assumptions'!AL64</f>
        <v>0</v>
      </c>
      <c r="AK17" s="106">
        <f>'Model Assumptions'!AM32+'Model Assumptions'!AM40+'Model Assumptions'!AM48+'Model Assumptions'!AM56+'Model Assumptions'!AM64</f>
        <v>0</v>
      </c>
      <c r="AL17" s="106">
        <f>'Model Assumptions'!AN32+'Model Assumptions'!AN40+'Model Assumptions'!AN48+'Model Assumptions'!AN56+'Model Assumptions'!AN64</f>
        <v>0</v>
      </c>
      <c r="AM17" s="106">
        <f>'Model Assumptions'!AO32+'Model Assumptions'!AO40+'Model Assumptions'!AO48+'Model Assumptions'!AO56+'Model Assumptions'!AO64</f>
        <v>0</v>
      </c>
      <c r="AN17" s="106">
        <f>'Model Assumptions'!AP32+'Model Assumptions'!AP40+'Model Assumptions'!AP48+'Model Assumptions'!AP56+'Model Assumptions'!AP64</f>
        <v>0</v>
      </c>
      <c r="AO17" s="106">
        <f>'Model Assumptions'!AQ32+'Model Assumptions'!AQ40+'Model Assumptions'!AQ48+'Model Assumptions'!AQ56+'Model Assumptions'!AQ64</f>
        <v>196490.13157894739</v>
      </c>
      <c r="AP17" s="106">
        <f>'Model Assumptions'!AR32+'Model Assumptions'!AR40+'Model Assumptions'!AR48+'Model Assumptions'!AR56+'Model Assumptions'!AR64</f>
        <v>196490.13157894739</v>
      </c>
      <c r="AQ17" s="106">
        <f>'Model Assumptions'!AS32+'Model Assumptions'!AS40+'Model Assumptions'!AS48+'Model Assumptions'!AS56+'Model Assumptions'!AS64</f>
        <v>196490.13157894739</v>
      </c>
      <c r="AR17" s="106">
        <f>'Model Assumptions'!AT32+'Model Assumptions'!AT40+'Model Assumptions'!AT48+'Model Assumptions'!AT56+'Model Assumptions'!AT64</f>
        <v>196490.13157894739</v>
      </c>
      <c r="AS17" s="106">
        <f>'Model Assumptions'!AU32+'Model Assumptions'!AU40+'Model Assumptions'!AU48+'Model Assumptions'!AU56+'Model Assumptions'!AU64</f>
        <v>196490.13157894739</v>
      </c>
      <c r="AT17" s="106">
        <f>'Model Assumptions'!AV32+'Model Assumptions'!AV40+'Model Assumptions'!AV48+'Model Assumptions'!AV56+'Model Assumptions'!AV64</f>
        <v>196490.13157894739</v>
      </c>
      <c r="AU17" s="106">
        <f>'Model Assumptions'!AW32+'Model Assumptions'!AW40+'Model Assumptions'!AW48+'Model Assumptions'!AW56+'Model Assumptions'!AW64</f>
        <v>196490.13157894739</v>
      </c>
      <c r="AV17" s="106">
        <f>'Model Assumptions'!AX32+'Model Assumptions'!AX40+'Model Assumptions'!AX48+'Model Assumptions'!AX56+'Model Assumptions'!AX64</f>
        <v>196490.13157894739</v>
      </c>
      <c r="AW17" s="106">
        <f>'Model Assumptions'!AY32+'Model Assumptions'!AY40+'Model Assumptions'!AY48+'Model Assumptions'!AY56+'Model Assumptions'!AY64</f>
        <v>196490.13157894739</v>
      </c>
      <c r="AX17" s="106">
        <f>'Model Assumptions'!AZ32+'Model Assumptions'!AZ40+'Model Assumptions'!AZ48+'Model Assumptions'!AZ56+'Model Assumptions'!AZ64</f>
        <v>196490.13157894739</v>
      </c>
      <c r="AY17" s="106">
        <f>'Model Assumptions'!BA32+'Model Assumptions'!BA40+'Model Assumptions'!BA48+'Model Assumptions'!BA56+'Model Assumptions'!BA64</f>
        <v>196490.13157894739</v>
      </c>
      <c r="AZ17" s="106">
        <f>'Model Assumptions'!BB32+'Model Assumptions'!BB40+'Model Assumptions'!BB48+'Model Assumptions'!BB56+'Model Assumptions'!BB64</f>
        <v>196490.13157894739</v>
      </c>
      <c r="BA17" s="106">
        <f>'Model Assumptions'!BC32+'Model Assumptions'!BC40+'Model Assumptions'!BC48+'Model Assumptions'!BC56+'Model Assumptions'!BC64</f>
        <v>589470.39473684214</v>
      </c>
      <c r="BB17" s="106">
        <f>'Model Assumptions'!BD32+'Model Assumptions'!BD40+'Model Assumptions'!BD48+'Model Assumptions'!BD56+'Model Assumptions'!BD64</f>
        <v>589470.39473684214</v>
      </c>
      <c r="BC17" s="106">
        <f>'Model Assumptions'!BE32+'Model Assumptions'!BE40+'Model Assumptions'!BE48+'Model Assumptions'!BE56+'Model Assumptions'!BE64</f>
        <v>589470.39473684214</v>
      </c>
      <c r="BD17" s="106">
        <f>'Model Assumptions'!BF32+'Model Assumptions'!BF40+'Model Assumptions'!BF48+'Model Assumptions'!BF56+'Model Assumptions'!BF64</f>
        <v>589470.39473684214</v>
      </c>
      <c r="BE17" s="106">
        <f>'Model Assumptions'!BG32+'Model Assumptions'!BG40+'Model Assumptions'!BG48+'Model Assumptions'!BG56+'Model Assumptions'!BG64</f>
        <v>589470.39473684214</v>
      </c>
      <c r="BF17" s="106">
        <f>'Model Assumptions'!BH32+'Model Assumptions'!BH40+'Model Assumptions'!BH48+'Model Assumptions'!BH56+'Model Assumptions'!BH64</f>
        <v>589470.39473684214</v>
      </c>
      <c r="BG17" s="106">
        <f>'Model Assumptions'!BI32+'Model Assumptions'!BI40+'Model Assumptions'!BI48+'Model Assumptions'!BI56+'Model Assumptions'!BI64</f>
        <v>589470.39473684214</v>
      </c>
      <c r="BH17" s="106">
        <f>'Model Assumptions'!BJ32+'Model Assumptions'!BJ40+'Model Assumptions'!BJ48+'Model Assumptions'!BJ56+'Model Assumptions'!BJ64</f>
        <v>589470.39473684214</v>
      </c>
      <c r="BI17" s="106">
        <f>'Model Assumptions'!BK32+'Model Assumptions'!BK40+'Model Assumptions'!BK48+'Model Assumptions'!BK56+'Model Assumptions'!BK64</f>
        <v>589470.39473684214</v>
      </c>
      <c r="BJ17" s="106">
        <f>'Model Assumptions'!BL32+'Model Assumptions'!BL40+'Model Assumptions'!BL48+'Model Assumptions'!BL56+'Model Assumptions'!BL64</f>
        <v>589470.39473684214</v>
      </c>
      <c r="BK17" s="106">
        <f>'Model Assumptions'!BM32+'Model Assumptions'!BM40+'Model Assumptions'!BM48+'Model Assumptions'!BM56+'Model Assumptions'!BM64</f>
        <v>589470.39473684214</v>
      </c>
      <c r="BL17" s="106">
        <f>'Model Assumptions'!BN32+'Model Assumptions'!BN40+'Model Assumptions'!BN48+'Model Assumptions'!BN56+'Model Assumptions'!BN64</f>
        <v>589470.39473684214</v>
      </c>
      <c r="BM17" s="106">
        <f>'Model Assumptions'!BO32+'Model Assumptions'!BO40+'Model Assumptions'!BO48+'Model Assumptions'!BO56+'Model Assumptions'!BO64</f>
        <v>1375430.9210526317</v>
      </c>
      <c r="BN17" s="106">
        <f>'Model Assumptions'!BP32+'Model Assumptions'!BP40+'Model Assumptions'!BP48+'Model Assumptions'!BP56+'Model Assumptions'!BP64</f>
        <v>1375430.9210526317</v>
      </c>
      <c r="BO17" s="106">
        <f>'Model Assumptions'!BQ32+'Model Assumptions'!BQ40+'Model Assumptions'!BQ48+'Model Assumptions'!BQ56+'Model Assumptions'!BQ64</f>
        <v>1375430.9210526317</v>
      </c>
      <c r="BP17" s="106">
        <f>'Model Assumptions'!BR32+'Model Assumptions'!BR40+'Model Assumptions'!BR48+'Model Assumptions'!BR56+'Model Assumptions'!BR64</f>
        <v>1375430.9210526317</v>
      </c>
      <c r="BQ17" s="106">
        <f>'Model Assumptions'!BS32+'Model Assumptions'!BS40+'Model Assumptions'!BS48+'Model Assumptions'!BS56+'Model Assumptions'!BS64</f>
        <v>1375430.9210526317</v>
      </c>
      <c r="BR17" s="106">
        <f>'Model Assumptions'!BT32+'Model Assumptions'!BT40+'Model Assumptions'!BT48+'Model Assumptions'!BT56+'Model Assumptions'!BT64</f>
        <v>1375430.9210526317</v>
      </c>
      <c r="BS17" s="106">
        <f>'Model Assumptions'!BU32+'Model Assumptions'!BU40+'Model Assumptions'!BU48+'Model Assumptions'!BU56+'Model Assumptions'!BU64</f>
        <v>1375430.9210526317</v>
      </c>
      <c r="BT17" s="106">
        <f>'Model Assumptions'!BV32+'Model Assumptions'!BV40+'Model Assumptions'!BV48+'Model Assumptions'!BV56+'Model Assumptions'!BV64</f>
        <v>1375430.9210526317</v>
      </c>
      <c r="BU17" s="106">
        <f>'Model Assumptions'!BW32+'Model Assumptions'!BW40+'Model Assumptions'!BW48+'Model Assumptions'!BW56+'Model Assumptions'!BW64</f>
        <v>1375430.9210526317</v>
      </c>
      <c r="BV17" s="106">
        <f>'Model Assumptions'!BX32+'Model Assumptions'!BX40+'Model Assumptions'!BX48+'Model Assumptions'!BX56+'Model Assumptions'!BX64</f>
        <v>1375430.9210526317</v>
      </c>
      <c r="BW17" s="106">
        <f>'Model Assumptions'!BY32+'Model Assumptions'!BY40+'Model Assumptions'!BY48+'Model Assumptions'!BY56+'Model Assumptions'!BY64</f>
        <v>1375430.9210526317</v>
      </c>
      <c r="BX17" s="106">
        <f>'Model Assumptions'!BZ32+'Model Assumptions'!BZ40+'Model Assumptions'!BZ48+'Model Assumptions'!BZ56+'Model Assumptions'!BZ64</f>
        <v>1375430.9210526317</v>
      </c>
      <c r="BY17" s="106">
        <f>'Model Assumptions'!CA32+'Model Assumptions'!CA40+'Model Assumptions'!CA48+'Model Assumptions'!CA56+'Model Assumptions'!CA64</f>
        <v>1964901.3157894737</v>
      </c>
      <c r="BZ17" s="106">
        <f>'Model Assumptions'!CB32+'Model Assumptions'!CB40+'Model Assumptions'!CB48+'Model Assumptions'!CB56+'Model Assumptions'!CB64</f>
        <v>1964901.3157894737</v>
      </c>
      <c r="CA17" s="106">
        <f>'Model Assumptions'!CC32+'Model Assumptions'!CC40+'Model Assumptions'!CC48+'Model Assumptions'!CC56+'Model Assumptions'!CC64</f>
        <v>1964901.3157894737</v>
      </c>
      <c r="CB17" s="106">
        <f>'Model Assumptions'!CD32+'Model Assumptions'!CD40+'Model Assumptions'!CD48+'Model Assumptions'!CD56+'Model Assumptions'!CD64</f>
        <v>1964901.3157894737</v>
      </c>
      <c r="CC17" s="106">
        <f>'Model Assumptions'!CE32+'Model Assumptions'!CE40+'Model Assumptions'!CE48+'Model Assumptions'!CE56+'Model Assumptions'!CE64</f>
        <v>1964901.3157894737</v>
      </c>
      <c r="CD17" s="106">
        <f>'Model Assumptions'!CF32+'Model Assumptions'!CF40+'Model Assumptions'!CF48+'Model Assumptions'!CF56+'Model Assumptions'!CF64</f>
        <v>1964901.3157894737</v>
      </c>
      <c r="CE17" s="106">
        <f>'Model Assumptions'!CG32+'Model Assumptions'!CG40+'Model Assumptions'!CG48+'Model Assumptions'!CG56+'Model Assumptions'!CG64</f>
        <v>1964901.3157894737</v>
      </c>
      <c r="CF17" s="106">
        <f>'Model Assumptions'!CH32+'Model Assumptions'!CH40+'Model Assumptions'!CH48+'Model Assumptions'!CH56+'Model Assumptions'!CH64</f>
        <v>1964901.3157894737</v>
      </c>
      <c r="CG17" s="106">
        <f>'Model Assumptions'!CI32+'Model Assumptions'!CI40+'Model Assumptions'!CI48+'Model Assumptions'!CI56+'Model Assumptions'!CI64</f>
        <v>1964901.3157894737</v>
      </c>
      <c r="CH17" s="106">
        <f>'Model Assumptions'!CJ32+'Model Assumptions'!CJ40+'Model Assumptions'!CJ48+'Model Assumptions'!CJ56+'Model Assumptions'!CJ64</f>
        <v>1964901.3157894737</v>
      </c>
      <c r="CI17" s="106">
        <f>'Model Assumptions'!CK32+'Model Assumptions'!CK40+'Model Assumptions'!CK48+'Model Assumptions'!CK56+'Model Assumptions'!CK64</f>
        <v>1964901.3157894737</v>
      </c>
      <c r="CJ17" s="106">
        <f>'Model Assumptions'!CL32+'Model Assumptions'!CL40+'Model Assumptions'!CL48+'Model Assumptions'!CL56+'Model Assumptions'!CL64</f>
        <v>1964901.3157894737</v>
      </c>
    </row>
    <row r="18" spans="1:88" ht="15.75" customHeight="1">
      <c r="A18" s="61"/>
      <c r="B18" s="61"/>
      <c r="C18" s="61"/>
      <c r="D18" s="61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</row>
    <row r="19" spans="1:88" ht="13">
      <c r="A19" s="61"/>
      <c r="B19" s="107" t="s">
        <v>27</v>
      </c>
      <c r="C19" s="108"/>
      <c r="D19" s="108"/>
      <c r="E19" s="109">
        <f>'Model Assumptions'!G17+'Model Assumptions'!G25+'Model Assumptions'!G33+'Model Assumptions'!G41+'Model Assumptions'!G49+'Model Assumptions'!G57+'Model Assumptions'!G65</f>
        <v>0</v>
      </c>
      <c r="F19" s="109">
        <f>'Model Assumptions'!H17+'Model Assumptions'!H25+'Model Assumptions'!H33+'Model Assumptions'!H41+'Model Assumptions'!H49+'Model Assumptions'!H57+'Model Assumptions'!H65</f>
        <v>0</v>
      </c>
      <c r="G19" s="109">
        <f>'Model Assumptions'!I17+'Model Assumptions'!I25+'Model Assumptions'!I33+'Model Assumptions'!I41+'Model Assumptions'!I49+'Model Assumptions'!I57+'Model Assumptions'!I65</f>
        <v>0</v>
      </c>
      <c r="H19" s="109">
        <f>'Model Assumptions'!J17+'Model Assumptions'!J25+'Model Assumptions'!J33+'Model Assumptions'!J41+'Model Assumptions'!J49+'Model Assumptions'!J57+'Model Assumptions'!J65</f>
        <v>0</v>
      </c>
      <c r="I19" s="109">
        <f>'Model Assumptions'!K17+'Model Assumptions'!K25+'Model Assumptions'!K33+'Model Assumptions'!K41+'Model Assumptions'!K49+'Model Assumptions'!K57+'Model Assumptions'!K65</f>
        <v>0</v>
      </c>
      <c r="J19" s="109">
        <f>'Model Assumptions'!L17+'Model Assumptions'!L25+'Model Assumptions'!L33+'Model Assumptions'!L41+'Model Assumptions'!L49+'Model Assumptions'!L57+'Model Assumptions'!L65</f>
        <v>0</v>
      </c>
      <c r="K19" s="109">
        <f>'Model Assumptions'!M17+'Model Assumptions'!M25+'Model Assumptions'!M33+'Model Assumptions'!M41+'Model Assumptions'!M49+'Model Assumptions'!M57+'Model Assumptions'!M65</f>
        <v>0</v>
      </c>
      <c r="L19" s="109">
        <f>'Model Assumptions'!N17+'Model Assumptions'!N25+'Model Assumptions'!N33+'Model Assumptions'!N41+'Model Assumptions'!N49+'Model Assumptions'!N57+'Model Assumptions'!N65</f>
        <v>0</v>
      </c>
      <c r="M19" s="109">
        <f>'Model Assumptions'!O17+'Model Assumptions'!O25+'Model Assumptions'!O33+'Model Assumptions'!O41+'Model Assumptions'!O49+'Model Assumptions'!O57+'Model Assumptions'!O65</f>
        <v>0</v>
      </c>
      <c r="N19" s="109">
        <f>'Model Assumptions'!P17+'Model Assumptions'!P25+'Model Assumptions'!P33+'Model Assumptions'!P41+'Model Assumptions'!P49+'Model Assumptions'!P57+'Model Assumptions'!P65</f>
        <v>0</v>
      </c>
      <c r="O19" s="109">
        <f>'Model Assumptions'!Q17+'Model Assumptions'!Q25+'Model Assumptions'!Q33+'Model Assumptions'!Q41+'Model Assumptions'!Q49+'Model Assumptions'!Q57+'Model Assumptions'!Q65</f>
        <v>0</v>
      </c>
      <c r="P19" s="109">
        <f>'Model Assumptions'!R17+'Model Assumptions'!R25+'Model Assumptions'!R33+'Model Assumptions'!R41+'Model Assumptions'!R49+'Model Assumptions'!R57+'Model Assumptions'!R65</f>
        <v>0</v>
      </c>
      <c r="Q19" s="109">
        <f>'Model Assumptions'!S17+'Model Assumptions'!S25+'Model Assumptions'!S33+'Model Assumptions'!S41+'Model Assumptions'!S49+'Model Assumptions'!S57+'Model Assumptions'!S65</f>
        <v>167850.98684210525</v>
      </c>
      <c r="R19" s="109">
        <f>'Model Assumptions'!T17+'Model Assumptions'!T25+'Model Assumptions'!T33+'Model Assumptions'!T41+'Model Assumptions'!T49+'Model Assumptions'!T57+'Model Assumptions'!T65</f>
        <v>167850.98684210525</v>
      </c>
      <c r="S19" s="109">
        <f>'Model Assumptions'!U17+'Model Assumptions'!U25+'Model Assumptions'!U33+'Model Assumptions'!U41+'Model Assumptions'!U49+'Model Assumptions'!U57+'Model Assumptions'!U65</f>
        <v>167850.98684210525</v>
      </c>
      <c r="T19" s="109">
        <f>'Model Assumptions'!V17+'Model Assumptions'!V25+'Model Assumptions'!V33+'Model Assumptions'!V41+'Model Assumptions'!V49+'Model Assumptions'!V57+'Model Assumptions'!V65</f>
        <v>167850.98684210525</v>
      </c>
      <c r="U19" s="109">
        <f>'Model Assumptions'!W17+'Model Assumptions'!W25+'Model Assumptions'!W33+'Model Assumptions'!W41+'Model Assumptions'!W49+'Model Assumptions'!W57+'Model Assumptions'!W65</f>
        <v>167850.98684210525</v>
      </c>
      <c r="V19" s="109">
        <f>'Model Assumptions'!X17+'Model Assumptions'!X25+'Model Assumptions'!X33+'Model Assumptions'!X41+'Model Assumptions'!X49+'Model Assumptions'!X57+'Model Assumptions'!X65</f>
        <v>167850.98684210525</v>
      </c>
      <c r="W19" s="109">
        <f>'Model Assumptions'!Y17+'Model Assumptions'!Y25+'Model Assumptions'!Y33+'Model Assumptions'!Y41+'Model Assumptions'!Y49+'Model Assumptions'!Y57+'Model Assumptions'!Y65</f>
        <v>839254.93421052629</v>
      </c>
      <c r="X19" s="109">
        <f>'Model Assumptions'!Z17+'Model Assumptions'!Z25+'Model Assumptions'!Z33+'Model Assumptions'!Z41+'Model Assumptions'!Z49+'Model Assumptions'!Z57+'Model Assumptions'!Z65</f>
        <v>839254.93421052629</v>
      </c>
      <c r="Y19" s="109">
        <f>'Model Assumptions'!AA17+'Model Assumptions'!AA25+'Model Assumptions'!AA33+'Model Assumptions'!AA41+'Model Assumptions'!AA49+'Model Assumptions'!AA57+'Model Assumptions'!AA65</f>
        <v>839254.93421052629</v>
      </c>
      <c r="Z19" s="109">
        <f>'Model Assumptions'!AB17+'Model Assumptions'!AB25+'Model Assumptions'!AB33+'Model Assumptions'!AB41+'Model Assumptions'!AB49+'Model Assumptions'!AB57+'Model Assumptions'!AB65</f>
        <v>839254.93421052629</v>
      </c>
      <c r="AA19" s="109">
        <f>'Model Assumptions'!AC17+'Model Assumptions'!AC25+'Model Assumptions'!AC33+'Model Assumptions'!AC41+'Model Assumptions'!AC49+'Model Assumptions'!AC57+'Model Assumptions'!AC65</f>
        <v>839254.93421052629</v>
      </c>
      <c r="AB19" s="109">
        <f>'Model Assumptions'!AD17+'Model Assumptions'!AD25+'Model Assumptions'!AD33+'Model Assumptions'!AD41+'Model Assumptions'!AD49+'Model Assumptions'!AD57+'Model Assumptions'!AD65</f>
        <v>839254.93421052629</v>
      </c>
      <c r="AC19" s="109">
        <f>'Model Assumptions'!AE17+'Model Assumptions'!AE25+'Model Assumptions'!AE33+'Model Assumptions'!AE41+'Model Assumptions'!AE49+'Model Assumptions'!AE57+'Model Assumptions'!AE65</f>
        <v>1678509.8684210526</v>
      </c>
      <c r="AD19" s="109">
        <f>'Model Assumptions'!AF17+'Model Assumptions'!AF25+'Model Assumptions'!AF33+'Model Assumptions'!AF41+'Model Assumptions'!AF49+'Model Assumptions'!AF57+'Model Assumptions'!AF65</f>
        <v>1678509.8684210526</v>
      </c>
      <c r="AE19" s="109">
        <f>'Model Assumptions'!AG17+'Model Assumptions'!AG25+'Model Assumptions'!AG33+'Model Assumptions'!AG41+'Model Assumptions'!AG49+'Model Assumptions'!AG57+'Model Assumptions'!AG65</f>
        <v>1678509.8684210526</v>
      </c>
      <c r="AF19" s="109">
        <f>'Model Assumptions'!AH17+'Model Assumptions'!AH25+'Model Assumptions'!AH33+'Model Assumptions'!AH41+'Model Assumptions'!AH49+'Model Assumptions'!AH57+'Model Assumptions'!AH65</f>
        <v>1678509.8684210526</v>
      </c>
      <c r="AG19" s="109">
        <f>'Model Assumptions'!AI17+'Model Assumptions'!AI25+'Model Assumptions'!AI33+'Model Assumptions'!AI41+'Model Assumptions'!AI49+'Model Assumptions'!AI57+'Model Assumptions'!AI65</f>
        <v>1678509.8684210526</v>
      </c>
      <c r="AH19" s="109">
        <f>'Model Assumptions'!AJ17+'Model Assumptions'!AJ25+'Model Assumptions'!AJ33+'Model Assumptions'!AJ41+'Model Assumptions'!AJ49+'Model Assumptions'!AJ57+'Model Assumptions'!AJ65</f>
        <v>1678509.8684210526</v>
      </c>
      <c r="AI19" s="109">
        <f>'Model Assumptions'!AK17+'Model Assumptions'!AK25+'Model Assumptions'!AK33+'Model Assumptions'!AK41+'Model Assumptions'!AK49+'Model Assumptions'!AK57+'Model Assumptions'!AK65</f>
        <v>2517764.8026315789</v>
      </c>
      <c r="AJ19" s="109">
        <f>'Model Assumptions'!AL17+'Model Assumptions'!AL25+'Model Assumptions'!AL33+'Model Assumptions'!AL41+'Model Assumptions'!AL49+'Model Assumptions'!AL57+'Model Assumptions'!AL65</f>
        <v>2517764.8026315789</v>
      </c>
      <c r="AK19" s="109">
        <f>'Model Assumptions'!AM17+'Model Assumptions'!AM25+'Model Assumptions'!AM33+'Model Assumptions'!AM41+'Model Assumptions'!AM49+'Model Assumptions'!AM57+'Model Assumptions'!AM65</f>
        <v>2517764.8026315789</v>
      </c>
      <c r="AL19" s="109">
        <f>'Model Assumptions'!AN17+'Model Assumptions'!AN25+'Model Assumptions'!AN33+'Model Assumptions'!AN41+'Model Assumptions'!AN49+'Model Assumptions'!AN57+'Model Assumptions'!AN65</f>
        <v>2517764.8026315789</v>
      </c>
      <c r="AM19" s="109">
        <f>'Model Assumptions'!AO17+'Model Assumptions'!AO25+'Model Assumptions'!AO33+'Model Assumptions'!AO41+'Model Assumptions'!AO49+'Model Assumptions'!AO57+'Model Assumptions'!AO65</f>
        <v>2517764.8026315789</v>
      </c>
      <c r="AN19" s="109">
        <f>'Model Assumptions'!AP17+'Model Assumptions'!AP25+'Model Assumptions'!AP33+'Model Assumptions'!AP41+'Model Assumptions'!AP49+'Model Assumptions'!AP57+'Model Assumptions'!AP65</f>
        <v>2517764.8026315789</v>
      </c>
      <c r="AO19" s="109">
        <f>'Model Assumptions'!AQ17+'Model Assumptions'!AQ25+'Model Assumptions'!AQ33+'Model Assumptions'!AQ41+'Model Assumptions'!AQ49+'Model Assumptions'!AQ57+'Model Assumptions'!AQ65</f>
        <v>5035529.6052631568</v>
      </c>
      <c r="AP19" s="109">
        <f>'Model Assumptions'!AR17+'Model Assumptions'!AR25+'Model Assumptions'!AR33+'Model Assumptions'!AR41+'Model Assumptions'!AR49+'Model Assumptions'!AR57+'Model Assumptions'!AR65</f>
        <v>5035529.6052631568</v>
      </c>
      <c r="AQ19" s="109">
        <f>'Model Assumptions'!AS17+'Model Assumptions'!AS25+'Model Assumptions'!AS33+'Model Assumptions'!AS41+'Model Assumptions'!AS49+'Model Assumptions'!AS57+'Model Assumptions'!AS65</f>
        <v>5035529.6052631568</v>
      </c>
      <c r="AR19" s="109">
        <f>'Model Assumptions'!AT17+'Model Assumptions'!AT25+'Model Assumptions'!AT33+'Model Assumptions'!AT41+'Model Assumptions'!AT49+'Model Assumptions'!AT57+'Model Assumptions'!AT65</f>
        <v>5035529.6052631568</v>
      </c>
      <c r="AS19" s="109">
        <f>'Model Assumptions'!AU17+'Model Assumptions'!AU25+'Model Assumptions'!AU33+'Model Assumptions'!AU41+'Model Assumptions'!AU49+'Model Assumptions'!AU57+'Model Assumptions'!AU65</f>
        <v>5035529.6052631568</v>
      </c>
      <c r="AT19" s="109">
        <f>'Model Assumptions'!AV17+'Model Assumptions'!AV25+'Model Assumptions'!AV33+'Model Assumptions'!AV41+'Model Assumptions'!AV49+'Model Assumptions'!AV57+'Model Assumptions'!AV65</f>
        <v>5035529.6052631568</v>
      </c>
      <c r="AU19" s="109">
        <f>'Model Assumptions'!AW17+'Model Assumptions'!AW25+'Model Assumptions'!AW33+'Model Assumptions'!AW41+'Model Assumptions'!AW49+'Model Assumptions'!AW57+'Model Assumptions'!AW65</f>
        <v>5035529.6052631568</v>
      </c>
      <c r="AV19" s="109">
        <f>'Model Assumptions'!AX17+'Model Assumptions'!AX25+'Model Assumptions'!AX33+'Model Assumptions'!AX41+'Model Assumptions'!AX49+'Model Assumptions'!AX57+'Model Assumptions'!AX65</f>
        <v>5035529.6052631568</v>
      </c>
      <c r="AW19" s="109">
        <f>'Model Assumptions'!AY17+'Model Assumptions'!AY25+'Model Assumptions'!AY33+'Model Assumptions'!AY41+'Model Assumptions'!AY49+'Model Assumptions'!AY57+'Model Assumptions'!AY65</f>
        <v>5035529.6052631568</v>
      </c>
      <c r="AX19" s="109">
        <f>'Model Assumptions'!AZ17+'Model Assumptions'!AZ25+'Model Assumptions'!AZ33+'Model Assumptions'!AZ41+'Model Assumptions'!AZ49+'Model Assumptions'!AZ57+'Model Assumptions'!AZ65</f>
        <v>5035529.6052631568</v>
      </c>
      <c r="AY19" s="109">
        <f>'Model Assumptions'!BA17+'Model Assumptions'!BA25+'Model Assumptions'!BA33+'Model Assumptions'!BA41+'Model Assumptions'!BA49+'Model Assumptions'!BA57+'Model Assumptions'!BA65</f>
        <v>5035529.6052631568</v>
      </c>
      <c r="AZ19" s="109">
        <f>'Model Assumptions'!BB17+'Model Assumptions'!BB25+'Model Assumptions'!BB33+'Model Assumptions'!BB41+'Model Assumptions'!BB49+'Model Assumptions'!BB57+'Model Assumptions'!BB65</f>
        <v>5035529.6052631568</v>
      </c>
      <c r="BA19" s="109">
        <f>'Model Assumptions'!BC17+'Model Assumptions'!BC25+'Model Assumptions'!BC33+'Model Assumptions'!BC41+'Model Assumptions'!BC49+'Model Assumptions'!BC57+'Model Assumptions'!BC65</f>
        <v>8392549.342105262</v>
      </c>
      <c r="BB19" s="109">
        <f>'Model Assumptions'!BD17+'Model Assumptions'!BD25+'Model Assumptions'!BD33+'Model Assumptions'!BD41+'Model Assumptions'!BD49+'Model Assumptions'!BD57+'Model Assumptions'!BD65</f>
        <v>8392549.342105262</v>
      </c>
      <c r="BC19" s="109">
        <f>'Model Assumptions'!BE17+'Model Assumptions'!BE25+'Model Assumptions'!BE33+'Model Assumptions'!BE41+'Model Assumptions'!BE49+'Model Assumptions'!BE57+'Model Assumptions'!BE65</f>
        <v>8392549.342105262</v>
      </c>
      <c r="BD19" s="109">
        <f>'Model Assumptions'!BF17+'Model Assumptions'!BF25+'Model Assumptions'!BF33+'Model Assumptions'!BF41+'Model Assumptions'!BF49+'Model Assumptions'!BF57+'Model Assumptions'!BF65</f>
        <v>8392549.342105262</v>
      </c>
      <c r="BE19" s="109">
        <f>'Model Assumptions'!BG17+'Model Assumptions'!BG25+'Model Assumptions'!BG33+'Model Assumptions'!BG41+'Model Assumptions'!BG49+'Model Assumptions'!BG57+'Model Assumptions'!BG65</f>
        <v>8392549.342105262</v>
      </c>
      <c r="BF19" s="109">
        <f>'Model Assumptions'!BH17+'Model Assumptions'!BH25+'Model Assumptions'!BH33+'Model Assumptions'!BH41+'Model Assumptions'!BH49+'Model Assumptions'!BH57+'Model Assumptions'!BH65</f>
        <v>8392549.342105262</v>
      </c>
      <c r="BG19" s="109">
        <f>'Model Assumptions'!BI17+'Model Assumptions'!BI25+'Model Assumptions'!BI33+'Model Assumptions'!BI41+'Model Assumptions'!BI49+'Model Assumptions'!BI57+'Model Assumptions'!BI65</f>
        <v>8392549.342105262</v>
      </c>
      <c r="BH19" s="109">
        <f>'Model Assumptions'!BJ17+'Model Assumptions'!BJ25+'Model Assumptions'!BJ33+'Model Assumptions'!BJ41+'Model Assumptions'!BJ49+'Model Assumptions'!BJ57+'Model Assumptions'!BJ65</f>
        <v>8392549.342105262</v>
      </c>
      <c r="BI19" s="109">
        <f>'Model Assumptions'!BK17+'Model Assumptions'!BK25+'Model Assumptions'!BK33+'Model Assumptions'!BK41+'Model Assumptions'!BK49+'Model Assumptions'!BK57+'Model Assumptions'!BK65</f>
        <v>8392549.342105262</v>
      </c>
      <c r="BJ19" s="109">
        <f>'Model Assumptions'!BL17+'Model Assumptions'!BL25+'Model Assumptions'!BL33+'Model Assumptions'!BL41+'Model Assumptions'!BL49+'Model Assumptions'!BL57+'Model Assumptions'!BL65</f>
        <v>8392549.342105262</v>
      </c>
      <c r="BK19" s="109">
        <f>'Model Assumptions'!BM17+'Model Assumptions'!BM25+'Model Assumptions'!BM33+'Model Assumptions'!BM41+'Model Assumptions'!BM49+'Model Assumptions'!BM57+'Model Assumptions'!BM65</f>
        <v>8392549.342105262</v>
      </c>
      <c r="BL19" s="109">
        <f>'Model Assumptions'!BN17+'Model Assumptions'!BN25+'Model Assumptions'!BN33+'Model Assumptions'!BN41+'Model Assumptions'!BN49+'Model Assumptions'!BN57+'Model Assumptions'!BN65</f>
        <v>8392549.342105262</v>
      </c>
      <c r="BM19" s="109">
        <f>'Model Assumptions'!BO17+'Model Assumptions'!BO25+'Model Assumptions'!BO33+'Model Assumptions'!BO41+'Model Assumptions'!BO49+'Model Assumptions'!BO57+'Model Assumptions'!BO65</f>
        <v>15106588.815789472</v>
      </c>
      <c r="BN19" s="109">
        <f>'Model Assumptions'!BP17+'Model Assumptions'!BP25+'Model Assumptions'!BP33+'Model Assumptions'!BP41+'Model Assumptions'!BP49+'Model Assumptions'!BP57+'Model Assumptions'!BP65</f>
        <v>15106588.815789472</v>
      </c>
      <c r="BO19" s="109">
        <f>'Model Assumptions'!BQ17+'Model Assumptions'!BQ25+'Model Assumptions'!BQ33+'Model Assumptions'!BQ41+'Model Assumptions'!BQ49+'Model Assumptions'!BQ57+'Model Assumptions'!BQ65</f>
        <v>15106588.815789472</v>
      </c>
      <c r="BP19" s="109">
        <f>'Model Assumptions'!BR17+'Model Assumptions'!BR25+'Model Assumptions'!BR33+'Model Assumptions'!BR41+'Model Assumptions'!BR49+'Model Assumptions'!BR57+'Model Assumptions'!BR65</f>
        <v>15106588.815789472</v>
      </c>
      <c r="BQ19" s="109">
        <f>'Model Assumptions'!BS17+'Model Assumptions'!BS25+'Model Assumptions'!BS33+'Model Assumptions'!BS41+'Model Assumptions'!BS49+'Model Assumptions'!BS57+'Model Assumptions'!BS65</f>
        <v>15106588.815789472</v>
      </c>
      <c r="BR19" s="109">
        <f>'Model Assumptions'!BT17+'Model Assumptions'!BT25+'Model Assumptions'!BT33+'Model Assumptions'!BT41+'Model Assumptions'!BT49+'Model Assumptions'!BT57+'Model Assumptions'!BT65</f>
        <v>15106588.815789472</v>
      </c>
      <c r="BS19" s="109">
        <f>'Model Assumptions'!BU17+'Model Assumptions'!BU25+'Model Assumptions'!BU33+'Model Assumptions'!BU41+'Model Assumptions'!BU49+'Model Assumptions'!BU57+'Model Assumptions'!BU65</f>
        <v>15106588.815789472</v>
      </c>
      <c r="BT19" s="109">
        <f>'Model Assumptions'!BV17+'Model Assumptions'!BV25+'Model Assumptions'!BV33+'Model Assumptions'!BV41+'Model Assumptions'!BV49+'Model Assumptions'!BV57+'Model Assumptions'!BV65</f>
        <v>15106588.815789472</v>
      </c>
      <c r="BU19" s="109">
        <f>'Model Assumptions'!BW17+'Model Assumptions'!BW25+'Model Assumptions'!BW33+'Model Assumptions'!BW41+'Model Assumptions'!BW49+'Model Assumptions'!BW57+'Model Assumptions'!BW65</f>
        <v>15106588.815789472</v>
      </c>
      <c r="BV19" s="109">
        <f>'Model Assumptions'!BX17+'Model Assumptions'!BX25+'Model Assumptions'!BX33+'Model Assumptions'!BX41+'Model Assumptions'!BX49+'Model Assumptions'!BX57+'Model Assumptions'!BX65</f>
        <v>15106588.815789472</v>
      </c>
      <c r="BW19" s="109">
        <f>'Model Assumptions'!BY17+'Model Assumptions'!BY25+'Model Assumptions'!BY33+'Model Assumptions'!BY41+'Model Assumptions'!BY49+'Model Assumptions'!BY57+'Model Assumptions'!BY65</f>
        <v>15106588.815789472</v>
      </c>
      <c r="BX19" s="109">
        <f>'Model Assumptions'!BZ17+'Model Assumptions'!BZ25+'Model Assumptions'!BZ33+'Model Assumptions'!BZ41+'Model Assumptions'!BZ49+'Model Assumptions'!BZ57+'Model Assumptions'!BZ65</f>
        <v>15106588.815789472</v>
      </c>
      <c r="BY19" s="109">
        <f>'Model Assumptions'!CA17+'Model Assumptions'!CA25+'Model Assumptions'!CA33+'Model Assumptions'!CA41+'Model Assumptions'!CA49+'Model Assumptions'!CA57+'Model Assumptions'!CA65</f>
        <v>20142118.421052627</v>
      </c>
      <c r="BZ19" s="109">
        <f>'Model Assumptions'!CB17+'Model Assumptions'!CB25+'Model Assumptions'!CB33+'Model Assumptions'!CB41+'Model Assumptions'!CB49+'Model Assumptions'!CB57+'Model Assumptions'!CB65</f>
        <v>20142118.421052627</v>
      </c>
      <c r="CA19" s="109">
        <f>'Model Assumptions'!CC17+'Model Assumptions'!CC25+'Model Assumptions'!CC33+'Model Assumptions'!CC41+'Model Assumptions'!CC49+'Model Assumptions'!CC57+'Model Assumptions'!CC65</f>
        <v>20142118.421052627</v>
      </c>
      <c r="CB19" s="109">
        <f>'Model Assumptions'!CD17+'Model Assumptions'!CD25+'Model Assumptions'!CD33+'Model Assumptions'!CD41+'Model Assumptions'!CD49+'Model Assumptions'!CD57+'Model Assumptions'!CD65</f>
        <v>20142118.421052627</v>
      </c>
      <c r="CC19" s="109">
        <f>'Model Assumptions'!CE17+'Model Assumptions'!CE25+'Model Assumptions'!CE33+'Model Assumptions'!CE41+'Model Assumptions'!CE49+'Model Assumptions'!CE57+'Model Assumptions'!CE65</f>
        <v>20142118.421052627</v>
      </c>
      <c r="CD19" s="109">
        <f>'Model Assumptions'!CF17+'Model Assumptions'!CF25+'Model Assumptions'!CF33+'Model Assumptions'!CF41+'Model Assumptions'!CF49+'Model Assumptions'!CF57+'Model Assumptions'!CF65</f>
        <v>20142118.421052627</v>
      </c>
      <c r="CE19" s="109">
        <f>'Model Assumptions'!CG17+'Model Assumptions'!CG25+'Model Assumptions'!CG33+'Model Assumptions'!CG41+'Model Assumptions'!CG49+'Model Assumptions'!CG57+'Model Assumptions'!CG65</f>
        <v>20142118.421052627</v>
      </c>
      <c r="CF19" s="109">
        <f>'Model Assumptions'!CH17+'Model Assumptions'!CH25+'Model Assumptions'!CH33+'Model Assumptions'!CH41+'Model Assumptions'!CH49+'Model Assumptions'!CH57+'Model Assumptions'!CH65</f>
        <v>20142118.421052627</v>
      </c>
      <c r="CG19" s="109">
        <f>'Model Assumptions'!CI17+'Model Assumptions'!CI25+'Model Assumptions'!CI33+'Model Assumptions'!CI41+'Model Assumptions'!CI49+'Model Assumptions'!CI57+'Model Assumptions'!CI65</f>
        <v>20142118.421052627</v>
      </c>
      <c r="CH19" s="109">
        <f>'Model Assumptions'!CJ17+'Model Assumptions'!CJ25+'Model Assumptions'!CJ33+'Model Assumptions'!CJ41+'Model Assumptions'!CJ49+'Model Assumptions'!CJ57+'Model Assumptions'!CJ65</f>
        <v>20142118.421052627</v>
      </c>
      <c r="CI19" s="109">
        <f>'Model Assumptions'!CK17+'Model Assumptions'!CK25+'Model Assumptions'!CK33+'Model Assumptions'!CK41+'Model Assumptions'!CK49+'Model Assumptions'!CK57+'Model Assumptions'!CK65</f>
        <v>20142118.421052627</v>
      </c>
      <c r="CJ19" s="109">
        <f>'Model Assumptions'!CL17+'Model Assumptions'!CL25+'Model Assumptions'!CL33+'Model Assumptions'!CL41+'Model Assumptions'!CL49+'Model Assumptions'!CL57+'Model Assumptions'!CL65</f>
        <v>20142118.421052627</v>
      </c>
    </row>
    <row r="20" spans="1:88" s="275" customFormat="1" ht="13">
      <c r="A20" s="272"/>
      <c r="B20" s="273" t="s">
        <v>78</v>
      </c>
      <c r="C20" s="272"/>
      <c r="D20" s="272"/>
      <c r="E20" s="274" t="e">
        <f t="shared" ref="E20:CJ20" si="2">E19/E8</f>
        <v>#DIV/0!</v>
      </c>
      <c r="F20" s="274" t="e">
        <f t="shared" si="2"/>
        <v>#DIV/0!</v>
      </c>
      <c r="G20" s="274" t="e">
        <f t="shared" si="2"/>
        <v>#DIV/0!</v>
      </c>
      <c r="H20" s="274" t="e">
        <f t="shared" si="2"/>
        <v>#DIV/0!</v>
      </c>
      <c r="I20" s="274" t="e">
        <f t="shared" si="2"/>
        <v>#DIV/0!</v>
      </c>
      <c r="J20" s="274" t="e">
        <f t="shared" si="2"/>
        <v>#DIV/0!</v>
      </c>
      <c r="K20" s="274" t="e">
        <f t="shared" si="2"/>
        <v>#DIV/0!</v>
      </c>
      <c r="L20" s="274" t="e">
        <f t="shared" si="2"/>
        <v>#DIV/0!</v>
      </c>
      <c r="M20" s="274" t="e">
        <f t="shared" si="2"/>
        <v>#DIV/0!</v>
      </c>
      <c r="N20" s="274" t="e">
        <f t="shared" si="2"/>
        <v>#DIV/0!</v>
      </c>
      <c r="O20" s="274" t="e">
        <f t="shared" si="2"/>
        <v>#DIV/0!</v>
      </c>
      <c r="P20" s="274" t="e">
        <f t="shared" si="2"/>
        <v>#DIV/0!</v>
      </c>
      <c r="Q20" s="274">
        <f t="shared" si="2"/>
        <v>0.89520526315789473</v>
      </c>
      <c r="R20" s="274">
        <f t="shared" si="2"/>
        <v>0.89520526315789473</v>
      </c>
      <c r="S20" s="274">
        <f t="shared" si="2"/>
        <v>0.89520526315789473</v>
      </c>
      <c r="T20" s="274">
        <f t="shared" si="2"/>
        <v>0.89520526315789473</v>
      </c>
      <c r="U20" s="274">
        <f t="shared" si="2"/>
        <v>0.89520526315789473</v>
      </c>
      <c r="V20" s="274">
        <f t="shared" si="2"/>
        <v>0.89520526315789473</v>
      </c>
      <c r="W20" s="274">
        <f t="shared" si="2"/>
        <v>0.89520526315789473</v>
      </c>
      <c r="X20" s="274">
        <f t="shared" si="2"/>
        <v>0.89520526315789473</v>
      </c>
      <c r="Y20" s="274">
        <f t="shared" si="2"/>
        <v>0.89520526315789473</v>
      </c>
      <c r="Z20" s="274">
        <f t="shared" si="2"/>
        <v>0.89520526315789473</v>
      </c>
      <c r="AA20" s="274">
        <f t="shared" si="2"/>
        <v>0.89520526315789473</v>
      </c>
      <c r="AB20" s="274">
        <f t="shared" si="2"/>
        <v>0.89520526315789473</v>
      </c>
      <c r="AC20" s="274">
        <f t="shared" si="2"/>
        <v>0.89520526315789473</v>
      </c>
      <c r="AD20" s="274">
        <f t="shared" si="2"/>
        <v>0.89520526315789473</v>
      </c>
      <c r="AE20" s="274">
        <f t="shared" si="2"/>
        <v>0.89520526315789473</v>
      </c>
      <c r="AF20" s="274">
        <f t="shared" si="2"/>
        <v>0.89520526315789473</v>
      </c>
      <c r="AG20" s="274">
        <f t="shared" si="2"/>
        <v>0.89520526315789473</v>
      </c>
      <c r="AH20" s="274">
        <f t="shared" si="2"/>
        <v>0.89520526315789473</v>
      </c>
      <c r="AI20" s="274">
        <f t="shared" si="2"/>
        <v>0.89520526315789473</v>
      </c>
      <c r="AJ20" s="274">
        <f t="shared" si="2"/>
        <v>0.89520526315789473</v>
      </c>
      <c r="AK20" s="274">
        <f t="shared" si="2"/>
        <v>0.89520526315789473</v>
      </c>
      <c r="AL20" s="274">
        <f t="shared" si="2"/>
        <v>0.89520526315789473</v>
      </c>
      <c r="AM20" s="274">
        <f t="shared" si="2"/>
        <v>0.89520526315789473</v>
      </c>
      <c r="AN20" s="274">
        <f t="shared" si="2"/>
        <v>0.89520526315789473</v>
      </c>
      <c r="AO20" s="274">
        <f t="shared" si="2"/>
        <v>0.8952052631578945</v>
      </c>
      <c r="AP20" s="274">
        <f t="shared" si="2"/>
        <v>0.8952052631578945</v>
      </c>
      <c r="AQ20" s="274">
        <f t="shared" si="2"/>
        <v>0.8952052631578945</v>
      </c>
      <c r="AR20" s="274">
        <f t="shared" si="2"/>
        <v>0.8952052631578945</v>
      </c>
      <c r="AS20" s="274">
        <f t="shared" si="2"/>
        <v>0.8952052631578945</v>
      </c>
      <c r="AT20" s="274">
        <f t="shared" si="2"/>
        <v>0.8952052631578945</v>
      </c>
      <c r="AU20" s="274">
        <f t="shared" si="2"/>
        <v>0.8952052631578945</v>
      </c>
      <c r="AV20" s="274">
        <f t="shared" si="2"/>
        <v>0.8952052631578945</v>
      </c>
      <c r="AW20" s="274">
        <f t="shared" si="2"/>
        <v>0.8952052631578945</v>
      </c>
      <c r="AX20" s="274">
        <f t="shared" si="2"/>
        <v>0.8952052631578945</v>
      </c>
      <c r="AY20" s="274">
        <f t="shared" si="2"/>
        <v>0.8952052631578945</v>
      </c>
      <c r="AZ20" s="274">
        <f t="shared" si="2"/>
        <v>0.8952052631578945</v>
      </c>
      <c r="BA20" s="274">
        <f t="shared" si="2"/>
        <v>0.89520526315789462</v>
      </c>
      <c r="BB20" s="274">
        <f t="shared" si="2"/>
        <v>0.89520526315789462</v>
      </c>
      <c r="BC20" s="274">
        <f t="shared" si="2"/>
        <v>0.89520526315789462</v>
      </c>
      <c r="BD20" s="274">
        <f t="shared" si="2"/>
        <v>0.89520526315789462</v>
      </c>
      <c r="BE20" s="274">
        <f t="shared" si="2"/>
        <v>0.89520526315789462</v>
      </c>
      <c r="BF20" s="274">
        <f t="shared" si="2"/>
        <v>0.89520526315789462</v>
      </c>
      <c r="BG20" s="274">
        <f t="shared" si="2"/>
        <v>0.89520526315789462</v>
      </c>
      <c r="BH20" s="274">
        <f t="shared" si="2"/>
        <v>0.89520526315789462</v>
      </c>
      <c r="BI20" s="274">
        <f t="shared" si="2"/>
        <v>0.89520526315789462</v>
      </c>
      <c r="BJ20" s="274">
        <f t="shared" si="2"/>
        <v>0.89520526315789462</v>
      </c>
      <c r="BK20" s="274">
        <f t="shared" si="2"/>
        <v>0.89520526315789462</v>
      </c>
      <c r="BL20" s="274">
        <f t="shared" si="2"/>
        <v>0.89520526315789462</v>
      </c>
      <c r="BM20" s="274">
        <f t="shared" si="2"/>
        <v>0.89520526315789462</v>
      </c>
      <c r="BN20" s="274">
        <f t="shared" si="2"/>
        <v>0.89520526315789462</v>
      </c>
      <c r="BO20" s="274">
        <f t="shared" si="2"/>
        <v>0.89520526315789462</v>
      </c>
      <c r="BP20" s="274">
        <f t="shared" si="2"/>
        <v>0.89520526315789462</v>
      </c>
      <c r="BQ20" s="274">
        <f t="shared" si="2"/>
        <v>0.89520526315789462</v>
      </c>
      <c r="BR20" s="274">
        <f t="shared" si="2"/>
        <v>0.89520526315789462</v>
      </c>
      <c r="BS20" s="274">
        <f t="shared" si="2"/>
        <v>0.89520526315789462</v>
      </c>
      <c r="BT20" s="274">
        <f t="shared" si="2"/>
        <v>0.89520526315789462</v>
      </c>
      <c r="BU20" s="274">
        <f t="shared" si="2"/>
        <v>0.89520526315789462</v>
      </c>
      <c r="BV20" s="274">
        <f t="shared" si="2"/>
        <v>0.89520526315789462</v>
      </c>
      <c r="BW20" s="274">
        <f t="shared" si="2"/>
        <v>0.89520526315789462</v>
      </c>
      <c r="BX20" s="274">
        <f t="shared" si="2"/>
        <v>0.89520526315789462</v>
      </c>
      <c r="BY20" s="274">
        <f t="shared" si="2"/>
        <v>0.8952052631578945</v>
      </c>
      <c r="BZ20" s="274">
        <f t="shared" si="2"/>
        <v>0.8952052631578945</v>
      </c>
      <c r="CA20" s="274">
        <f t="shared" si="2"/>
        <v>0.8952052631578945</v>
      </c>
      <c r="CB20" s="274">
        <f t="shared" si="2"/>
        <v>0.8952052631578945</v>
      </c>
      <c r="CC20" s="274">
        <f t="shared" si="2"/>
        <v>0.8952052631578945</v>
      </c>
      <c r="CD20" s="274">
        <f t="shared" si="2"/>
        <v>0.8952052631578945</v>
      </c>
      <c r="CE20" s="274">
        <f t="shared" si="2"/>
        <v>0.8952052631578945</v>
      </c>
      <c r="CF20" s="274">
        <f t="shared" si="2"/>
        <v>0.8952052631578945</v>
      </c>
      <c r="CG20" s="274">
        <f t="shared" si="2"/>
        <v>0.8952052631578945</v>
      </c>
      <c r="CH20" s="274">
        <f t="shared" si="2"/>
        <v>0.8952052631578945</v>
      </c>
      <c r="CI20" s="274">
        <f t="shared" si="2"/>
        <v>0.8952052631578945</v>
      </c>
      <c r="CJ20" s="274">
        <f t="shared" si="2"/>
        <v>0.8952052631578945</v>
      </c>
    </row>
    <row r="21" spans="1:88" ht="15.75" customHeight="1">
      <c r="A21" s="12"/>
      <c r="B21" s="12"/>
      <c r="C21" s="12"/>
      <c r="D21" s="12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</row>
    <row r="22" spans="1:88" ht="13">
      <c r="A22" s="61"/>
      <c r="B22" s="110" t="s">
        <v>79</v>
      </c>
      <c r="C22" s="61"/>
      <c r="D22" s="61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</row>
    <row r="23" spans="1:88" ht="13">
      <c r="A23" s="61"/>
      <c r="B23" s="62" t="s">
        <v>80</v>
      </c>
      <c r="C23" s="61"/>
      <c r="D23" s="61"/>
      <c r="E23" s="27">
        <f>('Model Assumptions'!G13+'Model Assumptions'!G21+'Model Assumptions'!G29+'Model Assumptions'!G37+'Model Assumptions'!G53+'Model Assumptions'!G61)/(1+0.3736)</f>
        <v>75834.789361289077</v>
      </c>
      <c r="F23" s="27">
        <f>('Model Assumptions'!H13+'Model Assumptions'!H21+'Model Assumptions'!H29+'Model Assumptions'!H37+'Model Assumptions'!H53+'Model Assumptions'!H61)/(1+0.3736)</f>
        <v>75834.789361289077</v>
      </c>
      <c r="G23" s="27">
        <f>('Model Assumptions'!I13+'Model Assumptions'!I21+'Model Assumptions'!I29+'Model Assumptions'!I37+'Model Assumptions'!I53+'Model Assumptions'!I61)/(1+0.3736)</f>
        <v>75834.789361289077</v>
      </c>
      <c r="H23" s="27">
        <f>('Model Assumptions'!J13+'Model Assumptions'!J21+'Model Assumptions'!J29+'Model Assumptions'!J37+'Model Assumptions'!J53+'Model Assumptions'!J61)/(1+0.3736)</f>
        <v>75834.789361289077</v>
      </c>
      <c r="I23" s="27">
        <f>('Model Assumptions'!K13+'Model Assumptions'!K21+'Model Assumptions'!K29+'Model Assumptions'!K37+'Model Assumptions'!K53+'Model Assumptions'!K61)/(1+0.3736)</f>
        <v>75834.789361289077</v>
      </c>
      <c r="J23" s="27">
        <f>('Model Assumptions'!L13+'Model Assumptions'!L21+'Model Assumptions'!L29+'Model Assumptions'!L37+'Model Assumptions'!L53+'Model Assumptions'!L61)/(1+0.3736)</f>
        <v>75834.789361289077</v>
      </c>
      <c r="K23" s="27">
        <f>('Model Assumptions'!M13+'Model Assumptions'!M21+'Model Assumptions'!M29+'Model Assumptions'!M37+'Model Assumptions'!M53+'Model Assumptions'!M61)/(1+0.3736)</f>
        <v>75834.789361289077</v>
      </c>
      <c r="L23" s="27">
        <f>('Model Assumptions'!N13+'Model Assumptions'!N21+'Model Assumptions'!N29+'Model Assumptions'!N37+'Model Assumptions'!N53+'Model Assumptions'!N61)/(1+0.3736)</f>
        <v>75834.789361289077</v>
      </c>
      <c r="M23" s="27">
        <f>('Model Assumptions'!O13+'Model Assumptions'!O21+'Model Assumptions'!O29+'Model Assumptions'!O37+'Model Assumptions'!O53+'Model Assumptions'!O61)/(1+0.3736)</f>
        <v>75834.789361289077</v>
      </c>
      <c r="N23" s="27">
        <f>('Model Assumptions'!P13+'Model Assumptions'!P21+'Model Assumptions'!P29+'Model Assumptions'!P37+'Model Assumptions'!P53+'Model Assumptions'!P61)/(1+0.3736)</f>
        <v>75834.789361289077</v>
      </c>
      <c r="O23" s="27">
        <f>('Model Assumptions'!Q13+'Model Assumptions'!Q21+'Model Assumptions'!Q29+'Model Assumptions'!Q37+'Model Assumptions'!Q53+'Model Assumptions'!Q61)/(1+0.3736)</f>
        <v>75834.789361289077</v>
      </c>
      <c r="P23" s="27">
        <f>('Model Assumptions'!R13+'Model Assumptions'!R21+'Model Assumptions'!R29+'Model Assumptions'!R37+'Model Assumptions'!R53+'Model Assumptions'!R61)/(1+0.3736)</f>
        <v>75834.789361289077</v>
      </c>
      <c r="Q23" s="27">
        <f>('Model Assumptions'!S13+'Model Assumptions'!S21+'Model Assumptions'!S29+'Model Assumptions'!S37+'Model Assumptions'!S53+'Model Assumptions'!S61)/(1+0.3736)</f>
        <v>157204.66899631137</v>
      </c>
      <c r="R23" s="27">
        <f>('Model Assumptions'!T13+'Model Assumptions'!T21+'Model Assumptions'!T29+'Model Assumptions'!T37+'Model Assumptions'!T53+'Model Assumptions'!T61)/(1+0.3736)</f>
        <v>157204.66899631137</v>
      </c>
      <c r="S23" s="27">
        <f>('Model Assumptions'!U13+'Model Assumptions'!U21+'Model Assumptions'!U29+'Model Assumptions'!U37+'Model Assumptions'!U53+'Model Assumptions'!U61)/(1+0.3736)</f>
        <v>157204.66899631137</v>
      </c>
      <c r="T23" s="27">
        <f>('Model Assumptions'!V13+'Model Assumptions'!V21+'Model Assumptions'!V29+'Model Assumptions'!V37+'Model Assumptions'!V53+'Model Assumptions'!V61)/(1+0.3736)</f>
        <v>157204.66899631137</v>
      </c>
      <c r="U23" s="27">
        <f>('Model Assumptions'!W13+'Model Assumptions'!W21+'Model Assumptions'!W29+'Model Assumptions'!W37+'Model Assumptions'!W53+'Model Assumptions'!W61)/(1+0.3736)</f>
        <v>157204.66899631137</v>
      </c>
      <c r="V23" s="27">
        <f>('Model Assumptions'!X13+'Model Assumptions'!X21+'Model Assumptions'!X29+'Model Assumptions'!X37+'Model Assumptions'!X53+'Model Assumptions'!X61)/(1+0.3736)</f>
        <v>157204.66899631137</v>
      </c>
      <c r="W23" s="27">
        <f>('Model Assumptions'!Y13+'Model Assumptions'!Y21+'Model Assumptions'!Y29+'Model Assumptions'!Y37+'Model Assumptions'!Y53+'Model Assumptions'!Y61)/(1+0.3736)</f>
        <v>157204.66899631137</v>
      </c>
      <c r="X23" s="27">
        <f>('Model Assumptions'!Z13+'Model Assumptions'!Z21+'Model Assumptions'!Z29+'Model Assumptions'!Z37+'Model Assumptions'!Z53+'Model Assumptions'!Z61)/(1+0.3736)</f>
        <v>157204.66899631137</v>
      </c>
      <c r="Y23" s="27">
        <f>('Model Assumptions'!AA13+'Model Assumptions'!AA21+'Model Assumptions'!AA29+'Model Assumptions'!AA37+'Model Assumptions'!AA53+'Model Assumptions'!AA61)/(1+0.3736)</f>
        <v>157204.66899631137</v>
      </c>
      <c r="Z23" s="27">
        <f>('Model Assumptions'!AB13+'Model Assumptions'!AB21+'Model Assumptions'!AB29+'Model Assumptions'!AB37+'Model Assumptions'!AB53+'Model Assumptions'!AB61)/(1+0.3736)</f>
        <v>157204.66899631137</v>
      </c>
      <c r="AA23" s="27">
        <f>('Model Assumptions'!AC13+'Model Assumptions'!AC21+'Model Assumptions'!AC29+'Model Assumptions'!AC37+'Model Assumptions'!AC53+'Model Assumptions'!AC61)/(1+0.3736)</f>
        <v>157204.66899631137</v>
      </c>
      <c r="AB23" s="27">
        <f>('Model Assumptions'!AD13+'Model Assumptions'!AD21+'Model Assumptions'!AD29+'Model Assumptions'!AD37+'Model Assumptions'!AD53+'Model Assumptions'!AD61)/(1+0.3736)</f>
        <v>157204.66899631137</v>
      </c>
      <c r="AC23" s="27">
        <f>('Model Assumptions'!AE13+'Model Assumptions'!AE21+'Model Assumptions'!AE29+'Model Assumptions'!AE37+'Model Assumptions'!AE53+'Model Assumptions'!AE61)/(1+0.3736)</f>
        <v>303250.65801263391</v>
      </c>
      <c r="AD23" s="27">
        <f>('Model Assumptions'!AF13+'Model Assumptions'!AF21+'Model Assumptions'!AF29+'Model Assumptions'!AF37+'Model Assumptions'!AF53+'Model Assumptions'!AF61)/(1+0.3736)</f>
        <v>303250.65801263391</v>
      </c>
      <c r="AE23" s="27">
        <f>('Model Assumptions'!AG13+'Model Assumptions'!AG21+'Model Assumptions'!AG29+'Model Assumptions'!AG37+'Model Assumptions'!AG53+'Model Assumptions'!AG61)/(1+0.3736)</f>
        <v>303250.65801263391</v>
      </c>
      <c r="AF23" s="27">
        <f>('Model Assumptions'!AH13+'Model Assumptions'!AH21+'Model Assumptions'!AH29+'Model Assumptions'!AH37+'Model Assumptions'!AH53+'Model Assumptions'!AH61)/(1+0.3736)</f>
        <v>303250.65801263391</v>
      </c>
      <c r="AG23" s="27">
        <f>('Model Assumptions'!AI13+'Model Assumptions'!AI21+'Model Assumptions'!AI29+'Model Assumptions'!AI37+'Model Assumptions'!AI53+'Model Assumptions'!AI61)/(1+0.3736)</f>
        <v>303250.65801263391</v>
      </c>
      <c r="AH23" s="27">
        <f>('Model Assumptions'!AJ13+'Model Assumptions'!AJ21+'Model Assumptions'!AJ29+'Model Assumptions'!AJ37+'Model Assumptions'!AJ53+'Model Assumptions'!AJ61)/(1+0.3736)</f>
        <v>303250.65801263391</v>
      </c>
      <c r="AI23" s="27">
        <f>('Model Assumptions'!AK13+'Model Assumptions'!AK21+'Model Assumptions'!AK29+'Model Assumptions'!AK37+'Model Assumptions'!AK53+'Model Assumptions'!AK61)/(1+0.3736)</f>
        <v>303250.65801263391</v>
      </c>
      <c r="AJ23" s="27">
        <f>('Model Assumptions'!AL13+'Model Assumptions'!AL21+'Model Assumptions'!AL29+'Model Assumptions'!AL37+'Model Assumptions'!AL53+'Model Assumptions'!AL61)/(1+0.3736)</f>
        <v>303250.65801263391</v>
      </c>
      <c r="AK23" s="27">
        <f>('Model Assumptions'!AM13+'Model Assumptions'!AM21+'Model Assumptions'!AM29+'Model Assumptions'!AM37+'Model Assumptions'!AM53+'Model Assumptions'!AM61)/(1+0.3736)</f>
        <v>303250.65801263391</v>
      </c>
      <c r="AL23" s="27">
        <f>('Model Assumptions'!AN13+'Model Assumptions'!AN21+'Model Assumptions'!AN29+'Model Assumptions'!AN37+'Model Assumptions'!AN53+'Model Assumptions'!AN61)/(1+0.3736)</f>
        <v>303250.65801263391</v>
      </c>
      <c r="AM23" s="27">
        <f>('Model Assumptions'!AO13+'Model Assumptions'!AO21+'Model Assumptions'!AO29+'Model Assumptions'!AO37+'Model Assumptions'!AO53+'Model Assumptions'!AO61)/(1+0.3736)</f>
        <v>303250.65801263391</v>
      </c>
      <c r="AN23" s="27">
        <f>('Model Assumptions'!AP13+'Model Assumptions'!AP21+'Model Assumptions'!AP29+'Model Assumptions'!AP37+'Model Assumptions'!AP53+'Model Assumptions'!AP61)/(1+0.3736)</f>
        <v>303250.65801263391</v>
      </c>
      <c r="AO23" s="27">
        <f>('Model Assumptions'!AQ13+'Model Assumptions'!AQ21+'Model Assumptions'!AQ29+'Model Assumptions'!AQ37+'Model Assumptions'!AQ53+'Model Assumptions'!AQ61)/(1+0.3736)</f>
        <v>430155.29505499837</v>
      </c>
      <c r="AP23" s="27">
        <f>('Model Assumptions'!AR13+'Model Assumptions'!AR21+'Model Assumptions'!AR29+'Model Assumptions'!AR37+'Model Assumptions'!AR53+'Model Assumptions'!AR61)/(1+0.3736)</f>
        <v>430155.29505499837</v>
      </c>
      <c r="AQ23" s="27">
        <f>('Model Assumptions'!AS13+'Model Assumptions'!AS21+'Model Assumptions'!AS29+'Model Assumptions'!AS37+'Model Assumptions'!AS53+'Model Assumptions'!AS61)/(1+0.3736)</f>
        <v>430155.29505499837</v>
      </c>
      <c r="AR23" s="27">
        <f>('Model Assumptions'!AT13+'Model Assumptions'!AT21+'Model Assumptions'!AT29+'Model Assumptions'!AT37+'Model Assumptions'!AT53+'Model Assumptions'!AT61)/(1+0.3736)</f>
        <v>430155.29505499837</v>
      </c>
      <c r="AS23" s="27">
        <f>('Model Assumptions'!AU13+'Model Assumptions'!AU21+'Model Assumptions'!AU29+'Model Assumptions'!AU37+'Model Assumptions'!AU53+'Model Assumptions'!AU61)/(1+0.3736)</f>
        <v>430155.29505499837</v>
      </c>
      <c r="AT23" s="27">
        <f>('Model Assumptions'!AV13+'Model Assumptions'!AV21+'Model Assumptions'!AV29+'Model Assumptions'!AV37+'Model Assumptions'!AV53+'Model Assumptions'!AV61)/(1+0.3736)</f>
        <v>430155.29505499837</v>
      </c>
      <c r="AU23" s="27">
        <f>('Model Assumptions'!AW13+'Model Assumptions'!AW21+'Model Assumptions'!AW29+'Model Assumptions'!AW37+'Model Assumptions'!AW53+'Model Assumptions'!AW61)/(1+0.3736)</f>
        <v>430155.29505499837</v>
      </c>
      <c r="AV23" s="27">
        <f>('Model Assumptions'!AX13+'Model Assumptions'!AX21+'Model Assumptions'!AX29+'Model Assumptions'!AX37+'Model Assumptions'!AX53+'Model Assumptions'!AX61)/(1+0.3736)</f>
        <v>430155.29505499837</v>
      </c>
      <c r="AW23" s="27">
        <f>('Model Assumptions'!AY13+'Model Assumptions'!AY21+'Model Assumptions'!AY29+'Model Assumptions'!AY37+'Model Assumptions'!AY53+'Model Assumptions'!AY61)/(1+0.3736)</f>
        <v>430155.29505499837</v>
      </c>
      <c r="AX23" s="27">
        <f>('Model Assumptions'!AZ13+'Model Assumptions'!AZ21+'Model Assumptions'!AZ29+'Model Assumptions'!AZ37+'Model Assumptions'!AZ53+'Model Assumptions'!AZ61)/(1+0.3736)</f>
        <v>430155.29505499837</v>
      </c>
      <c r="AY23" s="27">
        <f>('Model Assumptions'!BA13+'Model Assumptions'!BA21+'Model Assumptions'!BA29+'Model Assumptions'!BA37+'Model Assumptions'!BA53+'Model Assumptions'!BA61)/(1+0.3736)</f>
        <v>430155.29505499837</v>
      </c>
      <c r="AZ23" s="27">
        <f>('Model Assumptions'!BB13+'Model Assumptions'!BB21+'Model Assumptions'!BB29+'Model Assumptions'!BB37+'Model Assumptions'!BB53+'Model Assumptions'!BB61)/(1+0.3736)</f>
        <v>430155.29505499837</v>
      </c>
      <c r="BA23" s="27">
        <f>('Model Assumptions'!BC13+'Model Assumptions'!BC21+'Model Assumptions'!BC29+'Model Assumptions'!BC37+'Model Assumptions'!BC53+'Model Assumptions'!BC61)/(1+0.3736)</f>
        <v>774735.45130499848</v>
      </c>
      <c r="BB23" s="27">
        <f>('Model Assumptions'!BD13+'Model Assumptions'!BD21+'Model Assumptions'!BD29+'Model Assumptions'!BD37+'Model Assumptions'!BD53+'Model Assumptions'!BD61)/(1+0.3736)</f>
        <v>774735.45130499848</v>
      </c>
      <c r="BC23" s="27">
        <f>('Model Assumptions'!BE13+'Model Assumptions'!BE21+'Model Assumptions'!BE29+'Model Assumptions'!BE37+'Model Assumptions'!BE53+'Model Assumptions'!BE61)/(1+0.3736)</f>
        <v>774735.45130499848</v>
      </c>
      <c r="BD23" s="27">
        <f>('Model Assumptions'!BF13+'Model Assumptions'!BF21+'Model Assumptions'!BF29+'Model Assumptions'!BF37+'Model Assumptions'!BF53+'Model Assumptions'!BF61)/(1+0.3736)</f>
        <v>774735.45130499848</v>
      </c>
      <c r="BE23" s="27">
        <f>('Model Assumptions'!BG13+'Model Assumptions'!BG21+'Model Assumptions'!BG29+'Model Assumptions'!BG37+'Model Assumptions'!BG53+'Model Assumptions'!BG61)/(1+0.3736)</f>
        <v>774735.45130499848</v>
      </c>
      <c r="BF23" s="27">
        <f>('Model Assumptions'!BH13+'Model Assumptions'!BH21+'Model Assumptions'!BH29+'Model Assumptions'!BH37+'Model Assumptions'!BH53+'Model Assumptions'!BH61)/(1+0.3736)</f>
        <v>774735.45130499848</v>
      </c>
      <c r="BG23" s="27">
        <f>('Model Assumptions'!BI13+'Model Assumptions'!BI21+'Model Assumptions'!BI29+'Model Assumptions'!BI37+'Model Assumptions'!BI53+'Model Assumptions'!BI61)/(1+0.3736)</f>
        <v>774735.45130499848</v>
      </c>
      <c r="BH23" s="27">
        <f>('Model Assumptions'!BJ13+'Model Assumptions'!BJ21+'Model Assumptions'!BJ29+'Model Assumptions'!BJ37+'Model Assumptions'!BJ53+'Model Assumptions'!BJ61)/(1+0.3736)</f>
        <v>774735.45130499848</v>
      </c>
      <c r="BI23" s="27">
        <f>('Model Assumptions'!BK13+'Model Assumptions'!BK21+'Model Assumptions'!BK29+'Model Assumptions'!BK37+'Model Assumptions'!BK53+'Model Assumptions'!BK61)/(1+0.3736)</f>
        <v>774735.45130499848</v>
      </c>
      <c r="BJ23" s="27">
        <f>('Model Assumptions'!BL13+'Model Assumptions'!BL21+'Model Assumptions'!BL29+'Model Assumptions'!BL37+'Model Assumptions'!BL53+'Model Assumptions'!BL61)/(1+0.3736)</f>
        <v>774735.45130499848</v>
      </c>
      <c r="BK23" s="27">
        <f>('Model Assumptions'!BM13+'Model Assumptions'!BM21+'Model Assumptions'!BM29+'Model Assumptions'!BM37+'Model Assumptions'!BM53+'Model Assumptions'!BM61)/(1+0.3736)</f>
        <v>774735.45130499848</v>
      </c>
      <c r="BL23" s="27">
        <f>('Model Assumptions'!BN13+'Model Assumptions'!BN21+'Model Assumptions'!BN29+'Model Assumptions'!BN37+'Model Assumptions'!BN53+'Model Assumptions'!BN61)/(1+0.3736)</f>
        <v>774735.45130499848</v>
      </c>
      <c r="BM23" s="27">
        <f>('Model Assumptions'!BO13+'Model Assumptions'!BO21+'Model Assumptions'!BO29+'Model Assumptions'!BO37+'Model Assumptions'!BO53+'Model Assumptions'!BO61)/(1+0.3736)</f>
        <v>903605.13880499848</v>
      </c>
      <c r="BN23" s="27">
        <f>('Model Assumptions'!BP13+'Model Assumptions'!BP21+'Model Assumptions'!BP29+'Model Assumptions'!BP37+'Model Assumptions'!BP53+'Model Assumptions'!BP61)/(1+0.3736)</f>
        <v>903605.13880499848</v>
      </c>
      <c r="BO23" s="27">
        <f>('Model Assumptions'!BQ13+'Model Assumptions'!BQ21+'Model Assumptions'!BQ29+'Model Assumptions'!BQ37+'Model Assumptions'!BQ53+'Model Assumptions'!BQ61)/(1+0.3736)</f>
        <v>903605.13880499848</v>
      </c>
      <c r="BP23" s="27">
        <f>('Model Assumptions'!BR13+'Model Assumptions'!BR21+'Model Assumptions'!BR29+'Model Assumptions'!BR37+'Model Assumptions'!BR53+'Model Assumptions'!BR61)/(1+0.3736)</f>
        <v>903605.13880499848</v>
      </c>
      <c r="BQ23" s="27">
        <f>('Model Assumptions'!BS13+'Model Assumptions'!BS21+'Model Assumptions'!BS29+'Model Assumptions'!BS37+'Model Assumptions'!BS53+'Model Assumptions'!BS61)/(1+0.3736)</f>
        <v>903605.13880499848</v>
      </c>
      <c r="BR23" s="27">
        <f>('Model Assumptions'!BT13+'Model Assumptions'!BT21+'Model Assumptions'!BT29+'Model Assumptions'!BT37+'Model Assumptions'!BT53+'Model Assumptions'!BT61)/(1+0.3736)</f>
        <v>903605.13880499848</v>
      </c>
      <c r="BS23" s="27">
        <f>('Model Assumptions'!BU13+'Model Assumptions'!BU21+'Model Assumptions'!BU29+'Model Assumptions'!BU37+'Model Assumptions'!BU53+'Model Assumptions'!BU61)/(1+0.3736)</f>
        <v>903605.13880499848</v>
      </c>
      <c r="BT23" s="27">
        <f>('Model Assumptions'!BV13+'Model Assumptions'!BV21+'Model Assumptions'!BV29+'Model Assumptions'!BV37+'Model Assumptions'!BV53+'Model Assumptions'!BV61)/(1+0.3736)</f>
        <v>903605.13880499848</v>
      </c>
      <c r="BU23" s="27">
        <f>('Model Assumptions'!BW13+'Model Assumptions'!BW21+'Model Assumptions'!BW29+'Model Assumptions'!BW37+'Model Assumptions'!BW53+'Model Assumptions'!BW61)/(1+0.3736)</f>
        <v>903605.13880499848</v>
      </c>
      <c r="BV23" s="27">
        <f>('Model Assumptions'!BX13+'Model Assumptions'!BX21+'Model Assumptions'!BX29+'Model Assumptions'!BX37+'Model Assumptions'!BX53+'Model Assumptions'!BX61)/(1+0.3736)</f>
        <v>903605.13880499848</v>
      </c>
      <c r="BW23" s="27">
        <f>('Model Assumptions'!BY13+'Model Assumptions'!BY21+'Model Assumptions'!BY29+'Model Assumptions'!BY37+'Model Assumptions'!BY53+'Model Assumptions'!BY61)/(1+0.3736)</f>
        <v>903605.13880499848</v>
      </c>
      <c r="BX23" s="27">
        <f>('Model Assumptions'!BZ13+'Model Assumptions'!BZ21+'Model Assumptions'!BZ29+'Model Assumptions'!BZ37+'Model Assumptions'!BZ53+'Model Assumptions'!BZ61)/(1+0.3736)</f>
        <v>903605.13880499848</v>
      </c>
      <c r="BY23" s="27">
        <f>('Model Assumptions'!CA13+'Model Assumptions'!CA21+'Model Assumptions'!CA29+'Model Assumptions'!CA37+'Model Assumptions'!CA53+'Model Assumptions'!CA61)/(1+0.3736)</f>
        <v>974010.29505499825</v>
      </c>
      <c r="BZ23" s="27">
        <f>('Model Assumptions'!CB13+'Model Assumptions'!CB21+'Model Assumptions'!CB29+'Model Assumptions'!CB37+'Model Assumptions'!CB53+'Model Assumptions'!CB61)/(1+0.3736)</f>
        <v>974010.29505499825</v>
      </c>
      <c r="CA23" s="27">
        <f>('Model Assumptions'!CC13+'Model Assumptions'!CC21+'Model Assumptions'!CC29+'Model Assumptions'!CC37+'Model Assumptions'!CC53+'Model Assumptions'!CC61)/(1+0.3736)</f>
        <v>974010.29505499825</v>
      </c>
      <c r="CB23" s="27">
        <f>('Model Assumptions'!CD13+'Model Assumptions'!CD21+'Model Assumptions'!CD29+'Model Assumptions'!CD37+'Model Assumptions'!CD53+'Model Assumptions'!CD61)/(1+0.3736)</f>
        <v>974010.29505499825</v>
      </c>
      <c r="CC23" s="27">
        <f>('Model Assumptions'!CE13+'Model Assumptions'!CE21+'Model Assumptions'!CE29+'Model Assumptions'!CE37+'Model Assumptions'!CE53+'Model Assumptions'!CE61)/(1+0.3736)</f>
        <v>974010.29505499825</v>
      </c>
      <c r="CD23" s="27">
        <f>('Model Assumptions'!CF13+'Model Assumptions'!CF21+'Model Assumptions'!CF29+'Model Assumptions'!CF37+'Model Assumptions'!CF53+'Model Assumptions'!CF61)/(1+0.3736)</f>
        <v>974010.29505499825</v>
      </c>
      <c r="CE23" s="27">
        <f>('Model Assumptions'!CG13+'Model Assumptions'!CG21+'Model Assumptions'!CG29+'Model Assumptions'!CG37+'Model Assumptions'!CG53+'Model Assumptions'!CG61)/(1+0.3736)</f>
        <v>974010.29505499825</v>
      </c>
      <c r="CF23" s="27">
        <f>('Model Assumptions'!CH13+'Model Assumptions'!CH21+'Model Assumptions'!CH29+'Model Assumptions'!CH37+'Model Assumptions'!CH53+'Model Assumptions'!CH61)/(1+0.3736)</f>
        <v>974010.29505499825</v>
      </c>
      <c r="CG23" s="27">
        <f>('Model Assumptions'!CI13+'Model Assumptions'!CI21+'Model Assumptions'!CI29+'Model Assumptions'!CI37+'Model Assumptions'!CI53+'Model Assumptions'!CI61)/(1+0.3736)</f>
        <v>974010.29505499825</v>
      </c>
      <c r="CH23" s="27">
        <f>('Model Assumptions'!CJ13+'Model Assumptions'!CJ21+'Model Assumptions'!CJ29+'Model Assumptions'!CJ37+'Model Assumptions'!CJ53+'Model Assumptions'!CJ61)/(1+0.3736)</f>
        <v>974010.29505499825</v>
      </c>
      <c r="CI23" s="27">
        <f>('Model Assumptions'!CK13+'Model Assumptions'!CK21+'Model Assumptions'!CK29+'Model Assumptions'!CK37+'Model Assumptions'!CK53+'Model Assumptions'!CK61)/(1+0.3736)</f>
        <v>974010.29505499825</v>
      </c>
      <c r="CJ23" s="27">
        <f>('Model Assumptions'!CL13+'Model Assumptions'!CL21+'Model Assumptions'!CL29+'Model Assumptions'!CL37+'Model Assumptions'!CL53+'Model Assumptions'!CL61)/(1+0.3736)</f>
        <v>974010.29505499825</v>
      </c>
    </row>
    <row r="24" spans="1:88" ht="13">
      <c r="A24" s="61"/>
      <c r="B24" s="62" t="s">
        <v>81</v>
      </c>
      <c r="C24" s="61"/>
      <c r="D24" s="61"/>
      <c r="E24" s="27">
        <f>('Model Assumptions'!G13+'Model Assumptions'!G21+'Model Assumptions'!G29+'Model Assumptions'!G37+'Model Assumptions'!G53+'Model Assumptions'!G61)-E23</f>
        <v>28331.877305377595</v>
      </c>
      <c r="F24" s="27">
        <f>('Model Assumptions'!H13+'Model Assumptions'!H21+'Model Assumptions'!H29+'Model Assumptions'!H37+'Model Assumptions'!H53+'Model Assumptions'!H61)-F23</f>
        <v>28331.877305377595</v>
      </c>
      <c r="G24" s="27">
        <f>('Model Assumptions'!I13+'Model Assumptions'!I21+'Model Assumptions'!I29+'Model Assumptions'!I37+'Model Assumptions'!I53+'Model Assumptions'!I61)-G23</f>
        <v>28331.877305377595</v>
      </c>
      <c r="H24" s="27">
        <f>('Model Assumptions'!J13+'Model Assumptions'!J21+'Model Assumptions'!J29+'Model Assumptions'!J37+'Model Assumptions'!J53+'Model Assumptions'!J61)-H23</f>
        <v>28331.877305377595</v>
      </c>
      <c r="I24" s="27">
        <f>('Model Assumptions'!K13+'Model Assumptions'!K21+'Model Assumptions'!K29+'Model Assumptions'!K37+'Model Assumptions'!K53+'Model Assumptions'!K61)-I23</f>
        <v>28331.877305377595</v>
      </c>
      <c r="J24" s="27">
        <f>('Model Assumptions'!L13+'Model Assumptions'!L21+'Model Assumptions'!L29+'Model Assumptions'!L37+'Model Assumptions'!L53+'Model Assumptions'!L61)-J23</f>
        <v>28331.877305377595</v>
      </c>
      <c r="K24" s="27">
        <f>('Model Assumptions'!M13+'Model Assumptions'!M21+'Model Assumptions'!M29+'Model Assumptions'!M37+'Model Assumptions'!M53+'Model Assumptions'!M61)-K23</f>
        <v>28331.877305377595</v>
      </c>
      <c r="L24" s="27">
        <f>('Model Assumptions'!N13+'Model Assumptions'!N21+'Model Assumptions'!N29+'Model Assumptions'!N37+'Model Assumptions'!N53+'Model Assumptions'!N61)-L23</f>
        <v>28331.877305377595</v>
      </c>
      <c r="M24" s="27">
        <f>('Model Assumptions'!O13+'Model Assumptions'!O21+'Model Assumptions'!O29+'Model Assumptions'!O37+'Model Assumptions'!O53+'Model Assumptions'!O61)-M23</f>
        <v>28331.877305377595</v>
      </c>
      <c r="N24" s="27">
        <f>('Model Assumptions'!P13+'Model Assumptions'!P21+'Model Assumptions'!P29+'Model Assumptions'!P37+'Model Assumptions'!P53+'Model Assumptions'!P61)-N23</f>
        <v>28331.877305377595</v>
      </c>
      <c r="O24" s="27">
        <f>('Model Assumptions'!Q13+'Model Assumptions'!Q21+'Model Assumptions'!Q29+'Model Assumptions'!Q37+'Model Assumptions'!Q53+'Model Assumptions'!Q61)-O23</f>
        <v>28331.877305377595</v>
      </c>
      <c r="P24" s="27">
        <f>('Model Assumptions'!R13+'Model Assumptions'!R21+'Model Assumptions'!R29+'Model Assumptions'!R37+'Model Assumptions'!R53+'Model Assumptions'!R61)-P23</f>
        <v>28331.877305377595</v>
      </c>
      <c r="Q24" s="27">
        <f>('Model Assumptions'!S13+'Model Assumptions'!S21+'Model Assumptions'!S29+'Model Assumptions'!S37+'Model Assumptions'!S53+'Model Assumptions'!S61)-Q23</f>
        <v>58731.664337021939</v>
      </c>
      <c r="R24" s="27">
        <f>('Model Assumptions'!T13+'Model Assumptions'!T21+'Model Assumptions'!T29+'Model Assumptions'!T37+'Model Assumptions'!T53+'Model Assumptions'!T61)-R23</f>
        <v>58731.664337021939</v>
      </c>
      <c r="S24" s="27">
        <f>('Model Assumptions'!U13+'Model Assumptions'!U21+'Model Assumptions'!U29+'Model Assumptions'!U37+'Model Assumptions'!U53+'Model Assumptions'!U61)-S23</f>
        <v>58731.664337021939</v>
      </c>
      <c r="T24" s="27">
        <f>('Model Assumptions'!V13+'Model Assumptions'!V21+'Model Assumptions'!V29+'Model Assumptions'!V37+'Model Assumptions'!V53+'Model Assumptions'!V61)-T23</f>
        <v>58731.664337021939</v>
      </c>
      <c r="U24" s="27">
        <f>('Model Assumptions'!W13+'Model Assumptions'!W21+'Model Assumptions'!W29+'Model Assumptions'!W37+'Model Assumptions'!W53+'Model Assumptions'!W61)-U23</f>
        <v>58731.664337021939</v>
      </c>
      <c r="V24" s="27">
        <f>('Model Assumptions'!X13+'Model Assumptions'!X21+'Model Assumptions'!X29+'Model Assumptions'!X37+'Model Assumptions'!X53+'Model Assumptions'!X61)-V23</f>
        <v>58731.664337021939</v>
      </c>
      <c r="W24" s="27">
        <f>('Model Assumptions'!Y13+'Model Assumptions'!Y21+'Model Assumptions'!Y29+'Model Assumptions'!Y37+'Model Assumptions'!Y53+'Model Assumptions'!Y61)-W23</f>
        <v>58731.664337021939</v>
      </c>
      <c r="X24" s="27">
        <f>('Model Assumptions'!Z13+'Model Assumptions'!Z21+'Model Assumptions'!Z29+'Model Assumptions'!Z37+'Model Assumptions'!Z53+'Model Assumptions'!Z61)-X23</f>
        <v>58731.664337021939</v>
      </c>
      <c r="Y24" s="27">
        <f>('Model Assumptions'!AA13+'Model Assumptions'!AA21+'Model Assumptions'!AA29+'Model Assumptions'!AA37+'Model Assumptions'!AA53+'Model Assumptions'!AA61)-Y23</f>
        <v>58731.664337021939</v>
      </c>
      <c r="Z24" s="27">
        <f>('Model Assumptions'!AB13+'Model Assumptions'!AB21+'Model Assumptions'!AB29+'Model Assumptions'!AB37+'Model Assumptions'!AB53+'Model Assumptions'!AB61)-Z23</f>
        <v>58731.664337021939</v>
      </c>
      <c r="AA24" s="27">
        <f>('Model Assumptions'!AC13+'Model Assumptions'!AC21+'Model Assumptions'!AC29+'Model Assumptions'!AC37+'Model Assumptions'!AC53+'Model Assumptions'!AC61)-AA23</f>
        <v>58731.664337021939</v>
      </c>
      <c r="AB24" s="27">
        <f>('Model Assumptions'!AD13+'Model Assumptions'!AD21+'Model Assumptions'!AD29+'Model Assumptions'!AD37+'Model Assumptions'!AD53+'Model Assumptions'!AD61)-AB23</f>
        <v>58731.664337021939</v>
      </c>
      <c r="AC24" s="27">
        <f>('Model Assumptions'!AE13+'Model Assumptions'!AE21+'Model Assumptions'!AE29+'Model Assumptions'!AE37+'Model Assumptions'!AE53+'Model Assumptions'!AE61)-AC23</f>
        <v>113294.44583351997</v>
      </c>
      <c r="AD24" s="27">
        <f>('Model Assumptions'!AF13+'Model Assumptions'!AF21+'Model Assumptions'!AF29+'Model Assumptions'!AF37+'Model Assumptions'!AF53+'Model Assumptions'!AF61)-AD23</f>
        <v>113294.44583351997</v>
      </c>
      <c r="AE24" s="27">
        <f>('Model Assumptions'!AG13+'Model Assumptions'!AG21+'Model Assumptions'!AG29+'Model Assumptions'!AG37+'Model Assumptions'!AG53+'Model Assumptions'!AG61)-AE23</f>
        <v>113294.44583351997</v>
      </c>
      <c r="AF24" s="27">
        <f>('Model Assumptions'!AH13+'Model Assumptions'!AH21+'Model Assumptions'!AH29+'Model Assumptions'!AH37+'Model Assumptions'!AH53+'Model Assumptions'!AH61)-AF23</f>
        <v>113294.44583351997</v>
      </c>
      <c r="AG24" s="27">
        <f>('Model Assumptions'!AI13+'Model Assumptions'!AI21+'Model Assumptions'!AI29+'Model Assumptions'!AI37+'Model Assumptions'!AI53+'Model Assumptions'!AI61)-AG23</f>
        <v>113294.44583351997</v>
      </c>
      <c r="AH24" s="27">
        <f>('Model Assumptions'!AJ13+'Model Assumptions'!AJ21+'Model Assumptions'!AJ29+'Model Assumptions'!AJ37+'Model Assumptions'!AJ53+'Model Assumptions'!AJ61)-AH23</f>
        <v>113294.44583351997</v>
      </c>
      <c r="AI24" s="27">
        <f>('Model Assumptions'!AK13+'Model Assumptions'!AK21+'Model Assumptions'!AK29+'Model Assumptions'!AK37+'Model Assumptions'!AK53+'Model Assumptions'!AK61)-AI23</f>
        <v>113294.44583351997</v>
      </c>
      <c r="AJ24" s="27">
        <f>('Model Assumptions'!AL13+'Model Assumptions'!AL21+'Model Assumptions'!AL29+'Model Assumptions'!AL37+'Model Assumptions'!AL53+'Model Assumptions'!AL61)-AJ23</f>
        <v>113294.44583351997</v>
      </c>
      <c r="AK24" s="27">
        <f>('Model Assumptions'!AM13+'Model Assumptions'!AM21+'Model Assumptions'!AM29+'Model Assumptions'!AM37+'Model Assumptions'!AM53+'Model Assumptions'!AM61)-AK23</f>
        <v>113294.44583351997</v>
      </c>
      <c r="AL24" s="27">
        <f>('Model Assumptions'!AN13+'Model Assumptions'!AN21+'Model Assumptions'!AN29+'Model Assumptions'!AN37+'Model Assumptions'!AN53+'Model Assumptions'!AN61)-AL23</f>
        <v>113294.44583351997</v>
      </c>
      <c r="AM24" s="27">
        <f>('Model Assumptions'!AO13+'Model Assumptions'!AO21+'Model Assumptions'!AO29+'Model Assumptions'!AO37+'Model Assumptions'!AO53+'Model Assumptions'!AO61)-AM23</f>
        <v>113294.44583351997</v>
      </c>
      <c r="AN24" s="27">
        <f>('Model Assumptions'!AP13+'Model Assumptions'!AP21+'Model Assumptions'!AP29+'Model Assumptions'!AP37+'Model Assumptions'!AP53+'Model Assumptions'!AP61)-AN23</f>
        <v>113294.44583351997</v>
      </c>
      <c r="AO24" s="27">
        <f>('Model Assumptions'!AQ13+'Model Assumptions'!AQ21+'Model Assumptions'!AQ29+'Model Assumptions'!AQ37+'Model Assumptions'!AQ53+'Model Assumptions'!AQ61)-AO23</f>
        <v>160706.01823254733</v>
      </c>
      <c r="AP24" s="27">
        <f>('Model Assumptions'!AR13+'Model Assumptions'!AR21+'Model Assumptions'!AR29+'Model Assumptions'!AR37+'Model Assumptions'!AR53+'Model Assumptions'!AR61)-AP23</f>
        <v>160706.01823254733</v>
      </c>
      <c r="AQ24" s="27">
        <f>('Model Assumptions'!AS13+'Model Assumptions'!AS21+'Model Assumptions'!AS29+'Model Assumptions'!AS37+'Model Assumptions'!AS53+'Model Assumptions'!AS61)-AQ23</f>
        <v>160706.01823254733</v>
      </c>
      <c r="AR24" s="27">
        <f>('Model Assumptions'!AT13+'Model Assumptions'!AT21+'Model Assumptions'!AT29+'Model Assumptions'!AT37+'Model Assumptions'!AT53+'Model Assumptions'!AT61)-AR23</f>
        <v>160706.01823254733</v>
      </c>
      <c r="AS24" s="27">
        <f>('Model Assumptions'!AU13+'Model Assumptions'!AU21+'Model Assumptions'!AU29+'Model Assumptions'!AU37+'Model Assumptions'!AU53+'Model Assumptions'!AU61)-AS23</f>
        <v>160706.01823254733</v>
      </c>
      <c r="AT24" s="27">
        <f>('Model Assumptions'!AV13+'Model Assumptions'!AV21+'Model Assumptions'!AV29+'Model Assumptions'!AV37+'Model Assumptions'!AV53+'Model Assumptions'!AV61)-AT23</f>
        <v>160706.01823254733</v>
      </c>
      <c r="AU24" s="27">
        <f>('Model Assumptions'!AW13+'Model Assumptions'!AW21+'Model Assumptions'!AW29+'Model Assumptions'!AW37+'Model Assumptions'!AW53+'Model Assumptions'!AW61)-AU23</f>
        <v>160706.01823254733</v>
      </c>
      <c r="AV24" s="27">
        <f>('Model Assumptions'!AX13+'Model Assumptions'!AX21+'Model Assumptions'!AX29+'Model Assumptions'!AX37+'Model Assumptions'!AX53+'Model Assumptions'!AX61)-AV23</f>
        <v>160706.01823254733</v>
      </c>
      <c r="AW24" s="27">
        <f>('Model Assumptions'!AY13+'Model Assumptions'!AY21+'Model Assumptions'!AY29+'Model Assumptions'!AY37+'Model Assumptions'!AY53+'Model Assumptions'!AY61)-AW23</f>
        <v>160706.01823254733</v>
      </c>
      <c r="AX24" s="27">
        <f>('Model Assumptions'!AZ13+'Model Assumptions'!AZ21+'Model Assumptions'!AZ29+'Model Assumptions'!AZ37+'Model Assumptions'!AZ53+'Model Assumptions'!AZ61)-AX23</f>
        <v>160706.01823254733</v>
      </c>
      <c r="AY24" s="27">
        <f>('Model Assumptions'!BA13+'Model Assumptions'!BA21+'Model Assumptions'!BA29+'Model Assumptions'!BA37+'Model Assumptions'!BA53+'Model Assumptions'!BA61)-AY23</f>
        <v>160706.01823254733</v>
      </c>
      <c r="AZ24" s="27">
        <f>('Model Assumptions'!BB13+'Model Assumptions'!BB21+'Model Assumptions'!BB29+'Model Assumptions'!BB37+'Model Assumptions'!BB53+'Model Assumptions'!BB61)-AZ23</f>
        <v>160706.01823254733</v>
      </c>
      <c r="BA24" s="27">
        <f>('Model Assumptions'!BC13+'Model Assumptions'!BC21+'Model Assumptions'!BC29+'Model Assumptions'!BC37+'Model Assumptions'!BC53+'Model Assumptions'!BC61)-BA23</f>
        <v>289441.16460754746</v>
      </c>
      <c r="BB24" s="27">
        <f>('Model Assumptions'!BD13+'Model Assumptions'!BD21+'Model Assumptions'!BD29+'Model Assumptions'!BD37+'Model Assumptions'!BD53+'Model Assumptions'!BD61)-BB23</f>
        <v>289441.16460754746</v>
      </c>
      <c r="BC24" s="27">
        <f>('Model Assumptions'!BE13+'Model Assumptions'!BE21+'Model Assumptions'!BE29+'Model Assumptions'!BE37+'Model Assumptions'!BE53+'Model Assumptions'!BE61)-BC23</f>
        <v>289441.16460754746</v>
      </c>
      <c r="BD24" s="27">
        <f>('Model Assumptions'!BF13+'Model Assumptions'!BF21+'Model Assumptions'!BF29+'Model Assumptions'!BF37+'Model Assumptions'!BF53+'Model Assumptions'!BF61)-BD23</f>
        <v>289441.16460754746</v>
      </c>
      <c r="BE24" s="27">
        <f>('Model Assumptions'!BG13+'Model Assumptions'!BG21+'Model Assumptions'!BG29+'Model Assumptions'!BG37+'Model Assumptions'!BG53+'Model Assumptions'!BG61)-BE23</f>
        <v>289441.16460754746</v>
      </c>
      <c r="BF24" s="27">
        <f>('Model Assumptions'!BH13+'Model Assumptions'!BH21+'Model Assumptions'!BH29+'Model Assumptions'!BH37+'Model Assumptions'!BH53+'Model Assumptions'!BH61)-BF23</f>
        <v>289441.16460754746</v>
      </c>
      <c r="BG24" s="27">
        <f>('Model Assumptions'!BI13+'Model Assumptions'!BI21+'Model Assumptions'!BI29+'Model Assumptions'!BI37+'Model Assumptions'!BI53+'Model Assumptions'!BI61)-BG23</f>
        <v>289441.16460754746</v>
      </c>
      <c r="BH24" s="27">
        <f>('Model Assumptions'!BJ13+'Model Assumptions'!BJ21+'Model Assumptions'!BJ29+'Model Assumptions'!BJ37+'Model Assumptions'!BJ53+'Model Assumptions'!BJ61)-BH23</f>
        <v>289441.16460754746</v>
      </c>
      <c r="BI24" s="27">
        <f>('Model Assumptions'!BK13+'Model Assumptions'!BK21+'Model Assumptions'!BK29+'Model Assumptions'!BK37+'Model Assumptions'!BK53+'Model Assumptions'!BK61)-BI23</f>
        <v>289441.16460754746</v>
      </c>
      <c r="BJ24" s="27">
        <f>('Model Assumptions'!BL13+'Model Assumptions'!BL21+'Model Assumptions'!BL29+'Model Assumptions'!BL37+'Model Assumptions'!BL53+'Model Assumptions'!BL61)-BJ23</f>
        <v>289441.16460754746</v>
      </c>
      <c r="BK24" s="27">
        <f>('Model Assumptions'!BM13+'Model Assumptions'!BM21+'Model Assumptions'!BM29+'Model Assumptions'!BM37+'Model Assumptions'!BM53+'Model Assumptions'!BM61)-BK23</f>
        <v>289441.16460754746</v>
      </c>
      <c r="BL24" s="27">
        <f>('Model Assumptions'!BN13+'Model Assumptions'!BN21+'Model Assumptions'!BN29+'Model Assumptions'!BN37+'Model Assumptions'!BN53+'Model Assumptions'!BN61)-BL23</f>
        <v>289441.16460754746</v>
      </c>
      <c r="BM24" s="27">
        <f>('Model Assumptions'!BO13+'Model Assumptions'!BO21+'Model Assumptions'!BO29+'Model Assumptions'!BO37+'Model Assumptions'!BO53+'Model Assumptions'!BO61)-BM23</f>
        <v>337586.87985754735</v>
      </c>
      <c r="BN24" s="27">
        <f>('Model Assumptions'!BP13+'Model Assumptions'!BP21+'Model Assumptions'!BP29+'Model Assumptions'!BP37+'Model Assumptions'!BP53+'Model Assumptions'!BP61)-BN23</f>
        <v>337586.87985754735</v>
      </c>
      <c r="BO24" s="27">
        <f>('Model Assumptions'!BQ13+'Model Assumptions'!BQ21+'Model Assumptions'!BQ29+'Model Assumptions'!BQ37+'Model Assumptions'!BQ53+'Model Assumptions'!BQ61)-BO23</f>
        <v>337586.87985754735</v>
      </c>
      <c r="BP24" s="27">
        <f>('Model Assumptions'!BR13+'Model Assumptions'!BR21+'Model Assumptions'!BR29+'Model Assumptions'!BR37+'Model Assumptions'!BR53+'Model Assumptions'!BR61)-BP23</f>
        <v>337586.87985754735</v>
      </c>
      <c r="BQ24" s="27">
        <f>('Model Assumptions'!BS13+'Model Assumptions'!BS21+'Model Assumptions'!BS29+'Model Assumptions'!BS37+'Model Assumptions'!BS53+'Model Assumptions'!BS61)-BQ23</f>
        <v>337586.87985754735</v>
      </c>
      <c r="BR24" s="27">
        <f>('Model Assumptions'!BT13+'Model Assumptions'!BT21+'Model Assumptions'!BT29+'Model Assumptions'!BT37+'Model Assumptions'!BT53+'Model Assumptions'!BT61)-BR23</f>
        <v>337586.87985754735</v>
      </c>
      <c r="BS24" s="27">
        <f>('Model Assumptions'!BU13+'Model Assumptions'!BU21+'Model Assumptions'!BU29+'Model Assumptions'!BU37+'Model Assumptions'!BU53+'Model Assumptions'!BU61)-BS23</f>
        <v>337586.87985754735</v>
      </c>
      <c r="BT24" s="27">
        <f>('Model Assumptions'!BV13+'Model Assumptions'!BV21+'Model Assumptions'!BV29+'Model Assumptions'!BV37+'Model Assumptions'!BV53+'Model Assumptions'!BV61)-BT23</f>
        <v>337586.87985754735</v>
      </c>
      <c r="BU24" s="27">
        <f>('Model Assumptions'!BW13+'Model Assumptions'!BW21+'Model Assumptions'!BW29+'Model Assumptions'!BW37+'Model Assumptions'!BW53+'Model Assumptions'!BW61)-BU23</f>
        <v>337586.87985754735</v>
      </c>
      <c r="BV24" s="27">
        <f>('Model Assumptions'!BX13+'Model Assumptions'!BX21+'Model Assumptions'!BX29+'Model Assumptions'!BX37+'Model Assumptions'!BX53+'Model Assumptions'!BX61)-BV23</f>
        <v>337586.87985754735</v>
      </c>
      <c r="BW24" s="27">
        <f>('Model Assumptions'!BY13+'Model Assumptions'!BY21+'Model Assumptions'!BY29+'Model Assumptions'!BY37+'Model Assumptions'!BY53+'Model Assumptions'!BY61)-BW23</f>
        <v>337586.87985754735</v>
      </c>
      <c r="BX24" s="27">
        <f>('Model Assumptions'!BZ13+'Model Assumptions'!BZ21+'Model Assumptions'!BZ29+'Model Assumptions'!BZ37+'Model Assumptions'!BZ53+'Model Assumptions'!BZ61)-BX23</f>
        <v>337586.87985754735</v>
      </c>
      <c r="BY24" s="27">
        <f>('Model Assumptions'!CA13+'Model Assumptions'!CA21+'Model Assumptions'!CA29+'Model Assumptions'!CA37+'Model Assumptions'!CA53+'Model Assumptions'!CA61)-BY23</f>
        <v>363890.24623254733</v>
      </c>
      <c r="BZ24" s="27">
        <f>('Model Assumptions'!CB13+'Model Assumptions'!CB21+'Model Assumptions'!CB29+'Model Assumptions'!CB37+'Model Assumptions'!CB53+'Model Assumptions'!CB61)-BZ23</f>
        <v>363890.24623254733</v>
      </c>
      <c r="CA24" s="27">
        <f>('Model Assumptions'!CC13+'Model Assumptions'!CC21+'Model Assumptions'!CC29+'Model Assumptions'!CC37+'Model Assumptions'!CC53+'Model Assumptions'!CC61)-CA23</f>
        <v>363890.24623254733</v>
      </c>
      <c r="CB24" s="27">
        <f>('Model Assumptions'!CD13+'Model Assumptions'!CD21+'Model Assumptions'!CD29+'Model Assumptions'!CD37+'Model Assumptions'!CD53+'Model Assumptions'!CD61)-CB23</f>
        <v>363890.24623254733</v>
      </c>
      <c r="CC24" s="27">
        <f>('Model Assumptions'!CE13+'Model Assumptions'!CE21+'Model Assumptions'!CE29+'Model Assumptions'!CE37+'Model Assumptions'!CE53+'Model Assumptions'!CE61)-CC23</f>
        <v>363890.24623254733</v>
      </c>
      <c r="CD24" s="27">
        <f>('Model Assumptions'!CF13+'Model Assumptions'!CF21+'Model Assumptions'!CF29+'Model Assumptions'!CF37+'Model Assumptions'!CF53+'Model Assumptions'!CF61)-CD23</f>
        <v>363890.24623254733</v>
      </c>
      <c r="CE24" s="27">
        <f>('Model Assumptions'!CG13+'Model Assumptions'!CG21+'Model Assumptions'!CG29+'Model Assumptions'!CG37+'Model Assumptions'!CG53+'Model Assumptions'!CG61)-CE23</f>
        <v>363890.24623254733</v>
      </c>
      <c r="CF24" s="27">
        <f>('Model Assumptions'!CH13+'Model Assumptions'!CH21+'Model Assumptions'!CH29+'Model Assumptions'!CH37+'Model Assumptions'!CH53+'Model Assumptions'!CH61)-CF23</f>
        <v>363890.24623254733</v>
      </c>
      <c r="CG24" s="27">
        <f>('Model Assumptions'!CI13+'Model Assumptions'!CI21+'Model Assumptions'!CI29+'Model Assumptions'!CI37+'Model Assumptions'!CI53+'Model Assumptions'!CI61)-CG23</f>
        <v>363890.24623254733</v>
      </c>
      <c r="CH24" s="27">
        <f>('Model Assumptions'!CJ13+'Model Assumptions'!CJ21+'Model Assumptions'!CJ29+'Model Assumptions'!CJ37+'Model Assumptions'!CJ53+'Model Assumptions'!CJ61)-CH23</f>
        <v>363890.24623254733</v>
      </c>
      <c r="CI24" s="27">
        <f>('Model Assumptions'!CK13+'Model Assumptions'!CK21+'Model Assumptions'!CK29+'Model Assumptions'!CK37+'Model Assumptions'!CK53+'Model Assumptions'!CK61)-CI23</f>
        <v>363890.24623254733</v>
      </c>
      <c r="CJ24" s="27">
        <f>('Model Assumptions'!CL13+'Model Assumptions'!CL21+'Model Assumptions'!CL29+'Model Assumptions'!CL37+'Model Assumptions'!CL53+'Model Assumptions'!CL61)-CJ23</f>
        <v>363890.24623254733</v>
      </c>
    </row>
    <row r="25" spans="1:88" ht="13">
      <c r="A25" s="61"/>
      <c r="B25" s="62" t="s">
        <v>82</v>
      </c>
      <c r="C25" s="61"/>
      <c r="D25" s="61"/>
      <c r="E25" s="27">
        <v>8750</v>
      </c>
      <c r="F25" s="27">
        <v>8750</v>
      </c>
      <c r="G25" s="27">
        <v>8750</v>
      </c>
      <c r="H25" s="27">
        <v>8750</v>
      </c>
      <c r="I25" s="27">
        <v>8750</v>
      </c>
      <c r="J25" s="27">
        <v>8750</v>
      </c>
      <c r="K25" s="27">
        <v>8750</v>
      </c>
      <c r="L25" s="27">
        <v>8750</v>
      </c>
      <c r="M25" s="27">
        <v>8750</v>
      </c>
      <c r="N25" s="27">
        <v>8750</v>
      </c>
      <c r="O25" s="27">
        <v>8750</v>
      </c>
      <c r="P25" s="27">
        <v>8750</v>
      </c>
      <c r="Q25" s="27">
        <f t="shared" ref="Q25:AB25" si="3">8750*2</f>
        <v>17500</v>
      </c>
      <c r="R25" s="27">
        <f t="shared" si="3"/>
        <v>17500</v>
      </c>
      <c r="S25" s="27">
        <f t="shared" si="3"/>
        <v>17500</v>
      </c>
      <c r="T25" s="27">
        <f t="shared" si="3"/>
        <v>17500</v>
      </c>
      <c r="U25" s="27">
        <f t="shared" si="3"/>
        <v>17500</v>
      </c>
      <c r="V25" s="27">
        <f t="shared" si="3"/>
        <v>17500</v>
      </c>
      <c r="W25" s="27">
        <f t="shared" si="3"/>
        <v>17500</v>
      </c>
      <c r="X25" s="27">
        <f t="shared" si="3"/>
        <v>17500</v>
      </c>
      <c r="Y25" s="27">
        <f t="shared" si="3"/>
        <v>17500</v>
      </c>
      <c r="Z25" s="27">
        <f t="shared" si="3"/>
        <v>17500</v>
      </c>
      <c r="AA25" s="27">
        <f t="shared" si="3"/>
        <v>17500</v>
      </c>
      <c r="AB25" s="27">
        <f t="shared" si="3"/>
        <v>17500</v>
      </c>
      <c r="AC25" s="27">
        <f t="shared" ref="AC25:AN25" si="4">8750*4</f>
        <v>35000</v>
      </c>
      <c r="AD25" s="27">
        <f t="shared" si="4"/>
        <v>35000</v>
      </c>
      <c r="AE25" s="27">
        <f t="shared" si="4"/>
        <v>35000</v>
      </c>
      <c r="AF25" s="27">
        <f t="shared" si="4"/>
        <v>35000</v>
      </c>
      <c r="AG25" s="27">
        <f t="shared" si="4"/>
        <v>35000</v>
      </c>
      <c r="AH25" s="27">
        <f t="shared" si="4"/>
        <v>35000</v>
      </c>
      <c r="AI25" s="27">
        <f t="shared" si="4"/>
        <v>35000</v>
      </c>
      <c r="AJ25" s="27">
        <f t="shared" si="4"/>
        <v>35000</v>
      </c>
      <c r="AK25" s="27">
        <f t="shared" si="4"/>
        <v>35000</v>
      </c>
      <c r="AL25" s="27">
        <f t="shared" si="4"/>
        <v>35000</v>
      </c>
      <c r="AM25" s="27">
        <f t="shared" si="4"/>
        <v>35000</v>
      </c>
      <c r="AN25" s="27">
        <f t="shared" si="4"/>
        <v>35000</v>
      </c>
      <c r="AO25" s="27">
        <f t="shared" ref="AO25:AZ25" si="5">8750*6</f>
        <v>52500</v>
      </c>
      <c r="AP25" s="27">
        <f t="shared" si="5"/>
        <v>52500</v>
      </c>
      <c r="AQ25" s="27">
        <f t="shared" si="5"/>
        <v>52500</v>
      </c>
      <c r="AR25" s="27">
        <f t="shared" si="5"/>
        <v>52500</v>
      </c>
      <c r="AS25" s="27">
        <f t="shared" si="5"/>
        <v>52500</v>
      </c>
      <c r="AT25" s="27">
        <f t="shared" si="5"/>
        <v>52500</v>
      </c>
      <c r="AU25" s="27">
        <f t="shared" si="5"/>
        <v>52500</v>
      </c>
      <c r="AV25" s="27">
        <f t="shared" si="5"/>
        <v>52500</v>
      </c>
      <c r="AW25" s="27">
        <f t="shared" si="5"/>
        <v>52500</v>
      </c>
      <c r="AX25" s="27">
        <f t="shared" si="5"/>
        <v>52500</v>
      </c>
      <c r="AY25" s="27">
        <f t="shared" si="5"/>
        <v>52500</v>
      </c>
      <c r="AZ25" s="27">
        <f t="shared" si="5"/>
        <v>52500</v>
      </c>
      <c r="BA25" s="27">
        <f t="shared" ref="BA25:CJ25" si="6">8750*12</f>
        <v>105000</v>
      </c>
      <c r="BB25" s="27">
        <f t="shared" si="6"/>
        <v>105000</v>
      </c>
      <c r="BC25" s="27">
        <f t="shared" si="6"/>
        <v>105000</v>
      </c>
      <c r="BD25" s="27">
        <f t="shared" si="6"/>
        <v>105000</v>
      </c>
      <c r="BE25" s="27">
        <f t="shared" si="6"/>
        <v>105000</v>
      </c>
      <c r="BF25" s="27">
        <f t="shared" si="6"/>
        <v>105000</v>
      </c>
      <c r="BG25" s="27">
        <f t="shared" si="6"/>
        <v>105000</v>
      </c>
      <c r="BH25" s="27">
        <f t="shared" si="6"/>
        <v>105000</v>
      </c>
      <c r="BI25" s="27">
        <f t="shared" si="6"/>
        <v>105000</v>
      </c>
      <c r="BJ25" s="27">
        <f t="shared" si="6"/>
        <v>105000</v>
      </c>
      <c r="BK25" s="27">
        <f t="shared" si="6"/>
        <v>105000</v>
      </c>
      <c r="BL25" s="27">
        <f t="shared" si="6"/>
        <v>105000</v>
      </c>
      <c r="BM25" s="27">
        <f t="shared" si="6"/>
        <v>105000</v>
      </c>
      <c r="BN25" s="27">
        <f t="shared" si="6"/>
        <v>105000</v>
      </c>
      <c r="BO25" s="27">
        <f t="shared" si="6"/>
        <v>105000</v>
      </c>
      <c r="BP25" s="27">
        <f t="shared" si="6"/>
        <v>105000</v>
      </c>
      <c r="BQ25" s="27">
        <f t="shared" si="6"/>
        <v>105000</v>
      </c>
      <c r="BR25" s="27">
        <f t="shared" si="6"/>
        <v>105000</v>
      </c>
      <c r="BS25" s="27">
        <f t="shared" si="6"/>
        <v>105000</v>
      </c>
      <c r="BT25" s="27">
        <f t="shared" si="6"/>
        <v>105000</v>
      </c>
      <c r="BU25" s="27">
        <f t="shared" si="6"/>
        <v>105000</v>
      </c>
      <c r="BV25" s="27">
        <f t="shared" si="6"/>
        <v>105000</v>
      </c>
      <c r="BW25" s="27">
        <f t="shared" si="6"/>
        <v>105000</v>
      </c>
      <c r="BX25" s="27">
        <f t="shared" si="6"/>
        <v>105000</v>
      </c>
      <c r="BY25" s="27">
        <f t="shared" si="6"/>
        <v>105000</v>
      </c>
      <c r="BZ25" s="27">
        <f t="shared" si="6"/>
        <v>105000</v>
      </c>
      <c r="CA25" s="27">
        <f t="shared" si="6"/>
        <v>105000</v>
      </c>
      <c r="CB25" s="27">
        <f t="shared" si="6"/>
        <v>105000</v>
      </c>
      <c r="CC25" s="27">
        <f t="shared" si="6"/>
        <v>105000</v>
      </c>
      <c r="CD25" s="27">
        <f t="shared" si="6"/>
        <v>105000</v>
      </c>
      <c r="CE25" s="27">
        <f t="shared" si="6"/>
        <v>105000</v>
      </c>
      <c r="CF25" s="27">
        <f t="shared" si="6"/>
        <v>105000</v>
      </c>
      <c r="CG25" s="27">
        <f t="shared" si="6"/>
        <v>105000</v>
      </c>
      <c r="CH25" s="27">
        <f t="shared" si="6"/>
        <v>105000</v>
      </c>
      <c r="CI25" s="27">
        <f t="shared" si="6"/>
        <v>105000</v>
      </c>
      <c r="CJ25" s="27">
        <f t="shared" si="6"/>
        <v>105000</v>
      </c>
    </row>
    <row r="26" spans="1:88" ht="13">
      <c r="A26" s="61"/>
      <c r="B26" s="62" t="s">
        <v>83</v>
      </c>
      <c r="C26" s="61"/>
      <c r="D26" s="61"/>
      <c r="E26" s="27">
        <f t="shared" ref="E26:CJ26" si="7">E19*0.03</f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5035.5296052631575</v>
      </c>
      <c r="R26" s="27">
        <f t="shared" si="7"/>
        <v>5035.5296052631575</v>
      </c>
      <c r="S26" s="27">
        <f t="shared" si="7"/>
        <v>5035.5296052631575</v>
      </c>
      <c r="T26" s="27">
        <f t="shared" si="7"/>
        <v>5035.5296052631575</v>
      </c>
      <c r="U26" s="27">
        <f t="shared" si="7"/>
        <v>5035.5296052631575</v>
      </c>
      <c r="V26" s="27">
        <f t="shared" si="7"/>
        <v>5035.5296052631575</v>
      </c>
      <c r="W26" s="27">
        <f t="shared" si="7"/>
        <v>25177.648026315786</v>
      </c>
      <c r="X26" s="27">
        <f t="shared" si="7"/>
        <v>25177.648026315786</v>
      </c>
      <c r="Y26" s="27">
        <f t="shared" si="7"/>
        <v>25177.648026315786</v>
      </c>
      <c r="Z26" s="27">
        <f t="shared" si="7"/>
        <v>25177.648026315786</v>
      </c>
      <c r="AA26" s="27">
        <f t="shared" si="7"/>
        <v>25177.648026315786</v>
      </c>
      <c r="AB26" s="27">
        <f t="shared" si="7"/>
        <v>25177.648026315786</v>
      </c>
      <c r="AC26" s="27">
        <f t="shared" si="7"/>
        <v>50355.296052631573</v>
      </c>
      <c r="AD26" s="27">
        <f t="shared" si="7"/>
        <v>50355.296052631573</v>
      </c>
      <c r="AE26" s="27">
        <f t="shared" si="7"/>
        <v>50355.296052631573</v>
      </c>
      <c r="AF26" s="27">
        <f t="shared" si="7"/>
        <v>50355.296052631573</v>
      </c>
      <c r="AG26" s="27">
        <f t="shared" si="7"/>
        <v>50355.296052631573</v>
      </c>
      <c r="AH26" s="27">
        <f t="shared" si="7"/>
        <v>50355.296052631573</v>
      </c>
      <c r="AI26" s="27">
        <f t="shared" si="7"/>
        <v>75532.944078947359</v>
      </c>
      <c r="AJ26" s="27">
        <f t="shared" si="7"/>
        <v>75532.944078947359</v>
      </c>
      <c r="AK26" s="27">
        <f t="shared" si="7"/>
        <v>75532.944078947359</v>
      </c>
      <c r="AL26" s="27">
        <f t="shared" si="7"/>
        <v>75532.944078947359</v>
      </c>
      <c r="AM26" s="27">
        <f t="shared" si="7"/>
        <v>75532.944078947359</v>
      </c>
      <c r="AN26" s="27">
        <f t="shared" si="7"/>
        <v>75532.944078947359</v>
      </c>
      <c r="AO26" s="27">
        <f t="shared" si="7"/>
        <v>151065.88815789469</v>
      </c>
      <c r="AP26" s="27">
        <f t="shared" si="7"/>
        <v>151065.88815789469</v>
      </c>
      <c r="AQ26" s="27">
        <f t="shared" si="7"/>
        <v>151065.88815789469</v>
      </c>
      <c r="AR26" s="27">
        <f t="shared" si="7"/>
        <v>151065.88815789469</v>
      </c>
      <c r="AS26" s="27">
        <f t="shared" si="7"/>
        <v>151065.88815789469</v>
      </c>
      <c r="AT26" s="27">
        <f t="shared" si="7"/>
        <v>151065.88815789469</v>
      </c>
      <c r="AU26" s="27">
        <f t="shared" si="7"/>
        <v>151065.88815789469</v>
      </c>
      <c r="AV26" s="27">
        <f t="shared" si="7"/>
        <v>151065.88815789469</v>
      </c>
      <c r="AW26" s="27">
        <f t="shared" si="7"/>
        <v>151065.88815789469</v>
      </c>
      <c r="AX26" s="27">
        <f t="shared" si="7"/>
        <v>151065.88815789469</v>
      </c>
      <c r="AY26" s="27">
        <f t="shared" si="7"/>
        <v>151065.88815789469</v>
      </c>
      <c r="AZ26" s="27">
        <f t="shared" si="7"/>
        <v>151065.88815789469</v>
      </c>
      <c r="BA26" s="27">
        <f t="shared" si="7"/>
        <v>251776.48026315786</v>
      </c>
      <c r="BB26" s="27">
        <f t="shared" si="7"/>
        <v>251776.48026315786</v>
      </c>
      <c r="BC26" s="27">
        <f t="shared" si="7"/>
        <v>251776.48026315786</v>
      </c>
      <c r="BD26" s="27">
        <f t="shared" si="7"/>
        <v>251776.48026315786</v>
      </c>
      <c r="BE26" s="27">
        <f t="shared" si="7"/>
        <v>251776.48026315786</v>
      </c>
      <c r="BF26" s="27">
        <f t="shared" si="7"/>
        <v>251776.48026315786</v>
      </c>
      <c r="BG26" s="27">
        <f t="shared" si="7"/>
        <v>251776.48026315786</v>
      </c>
      <c r="BH26" s="27">
        <f t="shared" si="7"/>
        <v>251776.48026315786</v>
      </c>
      <c r="BI26" s="27">
        <f t="shared" si="7"/>
        <v>251776.48026315786</v>
      </c>
      <c r="BJ26" s="27">
        <f t="shared" si="7"/>
        <v>251776.48026315786</v>
      </c>
      <c r="BK26" s="27">
        <f t="shared" si="7"/>
        <v>251776.48026315786</v>
      </c>
      <c r="BL26" s="27">
        <f t="shared" si="7"/>
        <v>251776.48026315786</v>
      </c>
      <c r="BM26" s="27">
        <f t="shared" si="7"/>
        <v>453197.66447368416</v>
      </c>
      <c r="BN26" s="27">
        <f t="shared" si="7"/>
        <v>453197.66447368416</v>
      </c>
      <c r="BO26" s="27">
        <f t="shared" si="7"/>
        <v>453197.66447368416</v>
      </c>
      <c r="BP26" s="27">
        <f t="shared" si="7"/>
        <v>453197.66447368416</v>
      </c>
      <c r="BQ26" s="27">
        <f t="shared" si="7"/>
        <v>453197.66447368416</v>
      </c>
      <c r="BR26" s="27">
        <f t="shared" si="7"/>
        <v>453197.66447368416</v>
      </c>
      <c r="BS26" s="27">
        <f t="shared" si="7"/>
        <v>453197.66447368416</v>
      </c>
      <c r="BT26" s="27">
        <f t="shared" si="7"/>
        <v>453197.66447368416</v>
      </c>
      <c r="BU26" s="27">
        <f t="shared" si="7"/>
        <v>453197.66447368416</v>
      </c>
      <c r="BV26" s="27">
        <f t="shared" si="7"/>
        <v>453197.66447368416</v>
      </c>
      <c r="BW26" s="27">
        <f t="shared" si="7"/>
        <v>453197.66447368416</v>
      </c>
      <c r="BX26" s="27">
        <f t="shared" si="7"/>
        <v>453197.66447368416</v>
      </c>
      <c r="BY26" s="27">
        <f t="shared" si="7"/>
        <v>604263.55263157876</v>
      </c>
      <c r="BZ26" s="27">
        <f t="shared" si="7"/>
        <v>604263.55263157876</v>
      </c>
      <c r="CA26" s="27">
        <f t="shared" si="7"/>
        <v>604263.55263157876</v>
      </c>
      <c r="CB26" s="27">
        <f t="shared" si="7"/>
        <v>604263.55263157876</v>
      </c>
      <c r="CC26" s="27">
        <f t="shared" si="7"/>
        <v>604263.55263157876</v>
      </c>
      <c r="CD26" s="27">
        <f t="shared" si="7"/>
        <v>604263.55263157876</v>
      </c>
      <c r="CE26" s="27">
        <f t="shared" si="7"/>
        <v>604263.55263157876</v>
      </c>
      <c r="CF26" s="27">
        <f t="shared" si="7"/>
        <v>604263.55263157876</v>
      </c>
      <c r="CG26" s="27">
        <f t="shared" si="7"/>
        <v>604263.55263157876</v>
      </c>
      <c r="CH26" s="27">
        <f t="shared" si="7"/>
        <v>604263.55263157876</v>
      </c>
      <c r="CI26" s="27">
        <f t="shared" si="7"/>
        <v>604263.55263157876</v>
      </c>
      <c r="CJ26" s="27">
        <f t="shared" si="7"/>
        <v>604263.55263157876</v>
      </c>
    </row>
    <row r="27" spans="1:88" ht="13">
      <c r="A27" s="61"/>
      <c r="B27" s="111" t="s">
        <v>84</v>
      </c>
      <c r="C27" s="105"/>
      <c r="D27" s="105"/>
      <c r="E27" s="112">
        <f t="shared" ref="E27:CJ27" si="8">E19*0.02</f>
        <v>0</v>
      </c>
      <c r="F27" s="112">
        <f t="shared" si="8"/>
        <v>0</v>
      </c>
      <c r="G27" s="112">
        <f t="shared" si="8"/>
        <v>0</v>
      </c>
      <c r="H27" s="112">
        <f t="shared" si="8"/>
        <v>0</v>
      </c>
      <c r="I27" s="112">
        <f t="shared" si="8"/>
        <v>0</v>
      </c>
      <c r="J27" s="112">
        <f t="shared" si="8"/>
        <v>0</v>
      </c>
      <c r="K27" s="112">
        <f t="shared" si="8"/>
        <v>0</v>
      </c>
      <c r="L27" s="112">
        <f t="shared" si="8"/>
        <v>0</v>
      </c>
      <c r="M27" s="112">
        <f t="shared" si="8"/>
        <v>0</v>
      </c>
      <c r="N27" s="112">
        <f t="shared" si="8"/>
        <v>0</v>
      </c>
      <c r="O27" s="112">
        <f t="shared" si="8"/>
        <v>0</v>
      </c>
      <c r="P27" s="112">
        <f t="shared" si="8"/>
        <v>0</v>
      </c>
      <c r="Q27" s="112">
        <f t="shared" si="8"/>
        <v>3357.019736842105</v>
      </c>
      <c r="R27" s="112">
        <f t="shared" si="8"/>
        <v>3357.019736842105</v>
      </c>
      <c r="S27" s="112">
        <f t="shared" si="8"/>
        <v>3357.019736842105</v>
      </c>
      <c r="T27" s="112">
        <f t="shared" si="8"/>
        <v>3357.019736842105</v>
      </c>
      <c r="U27" s="112">
        <f t="shared" si="8"/>
        <v>3357.019736842105</v>
      </c>
      <c r="V27" s="112">
        <f t="shared" si="8"/>
        <v>3357.019736842105</v>
      </c>
      <c r="W27" s="112">
        <f t="shared" si="8"/>
        <v>16785.098684210527</v>
      </c>
      <c r="X27" s="112">
        <f t="shared" si="8"/>
        <v>16785.098684210527</v>
      </c>
      <c r="Y27" s="112">
        <f t="shared" si="8"/>
        <v>16785.098684210527</v>
      </c>
      <c r="Z27" s="112">
        <f t="shared" si="8"/>
        <v>16785.098684210527</v>
      </c>
      <c r="AA27" s="112">
        <f t="shared" si="8"/>
        <v>16785.098684210527</v>
      </c>
      <c r="AB27" s="112">
        <f t="shared" si="8"/>
        <v>16785.098684210527</v>
      </c>
      <c r="AC27" s="112">
        <f t="shared" si="8"/>
        <v>33570.197368421053</v>
      </c>
      <c r="AD27" s="112">
        <f t="shared" si="8"/>
        <v>33570.197368421053</v>
      </c>
      <c r="AE27" s="112">
        <f t="shared" si="8"/>
        <v>33570.197368421053</v>
      </c>
      <c r="AF27" s="112">
        <f t="shared" si="8"/>
        <v>33570.197368421053</v>
      </c>
      <c r="AG27" s="112">
        <f t="shared" si="8"/>
        <v>33570.197368421053</v>
      </c>
      <c r="AH27" s="112">
        <f t="shared" si="8"/>
        <v>33570.197368421053</v>
      </c>
      <c r="AI27" s="112">
        <f t="shared" si="8"/>
        <v>50355.29605263158</v>
      </c>
      <c r="AJ27" s="112">
        <f t="shared" si="8"/>
        <v>50355.29605263158</v>
      </c>
      <c r="AK27" s="112">
        <f t="shared" si="8"/>
        <v>50355.29605263158</v>
      </c>
      <c r="AL27" s="112">
        <f t="shared" si="8"/>
        <v>50355.29605263158</v>
      </c>
      <c r="AM27" s="112">
        <f t="shared" si="8"/>
        <v>50355.29605263158</v>
      </c>
      <c r="AN27" s="112">
        <f t="shared" si="8"/>
        <v>50355.29605263158</v>
      </c>
      <c r="AO27" s="112">
        <f t="shared" si="8"/>
        <v>100710.59210526315</v>
      </c>
      <c r="AP27" s="112">
        <f t="shared" si="8"/>
        <v>100710.59210526315</v>
      </c>
      <c r="AQ27" s="112">
        <f t="shared" si="8"/>
        <v>100710.59210526315</v>
      </c>
      <c r="AR27" s="112">
        <f t="shared" si="8"/>
        <v>100710.59210526315</v>
      </c>
      <c r="AS27" s="112">
        <f t="shared" si="8"/>
        <v>100710.59210526315</v>
      </c>
      <c r="AT27" s="112">
        <f t="shared" si="8"/>
        <v>100710.59210526315</v>
      </c>
      <c r="AU27" s="112">
        <f t="shared" si="8"/>
        <v>100710.59210526315</v>
      </c>
      <c r="AV27" s="112">
        <f t="shared" si="8"/>
        <v>100710.59210526315</v>
      </c>
      <c r="AW27" s="112">
        <f t="shared" si="8"/>
        <v>100710.59210526315</v>
      </c>
      <c r="AX27" s="112">
        <f t="shared" si="8"/>
        <v>100710.59210526315</v>
      </c>
      <c r="AY27" s="112">
        <f t="shared" si="8"/>
        <v>100710.59210526315</v>
      </c>
      <c r="AZ27" s="112">
        <f t="shared" si="8"/>
        <v>100710.59210526315</v>
      </c>
      <c r="BA27" s="112">
        <f t="shared" si="8"/>
        <v>167850.98684210525</v>
      </c>
      <c r="BB27" s="112">
        <f t="shared" si="8"/>
        <v>167850.98684210525</v>
      </c>
      <c r="BC27" s="112">
        <f t="shared" si="8"/>
        <v>167850.98684210525</v>
      </c>
      <c r="BD27" s="112">
        <f t="shared" si="8"/>
        <v>167850.98684210525</v>
      </c>
      <c r="BE27" s="112">
        <f t="shared" si="8"/>
        <v>167850.98684210525</v>
      </c>
      <c r="BF27" s="112">
        <f t="shared" si="8"/>
        <v>167850.98684210525</v>
      </c>
      <c r="BG27" s="112">
        <f t="shared" si="8"/>
        <v>167850.98684210525</v>
      </c>
      <c r="BH27" s="112">
        <f t="shared" si="8"/>
        <v>167850.98684210525</v>
      </c>
      <c r="BI27" s="112">
        <f t="shared" si="8"/>
        <v>167850.98684210525</v>
      </c>
      <c r="BJ27" s="112">
        <f t="shared" si="8"/>
        <v>167850.98684210525</v>
      </c>
      <c r="BK27" s="112">
        <f t="shared" si="8"/>
        <v>167850.98684210525</v>
      </c>
      <c r="BL27" s="112">
        <f t="shared" si="8"/>
        <v>167850.98684210525</v>
      </c>
      <c r="BM27" s="112">
        <f t="shared" si="8"/>
        <v>302131.77631578944</v>
      </c>
      <c r="BN27" s="112">
        <f t="shared" si="8"/>
        <v>302131.77631578944</v>
      </c>
      <c r="BO27" s="112">
        <f t="shared" si="8"/>
        <v>302131.77631578944</v>
      </c>
      <c r="BP27" s="112">
        <f t="shared" si="8"/>
        <v>302131.77631578944</v>
      </c>
      <c r="BQ27" s="112">
        <f t="shared" si="8"/>
        <v>302131.77631578944</v>
      </c>
      <c r="BR27" s="112">
        <f t="shared" si="8"/>
        <v>302131.77631578944</v>
      </c>
      <c r="BS27" s="112">
        <f t="shared" si="8"/>
        <v>302131.77631578944</v>
      </c>
      <c r="BT27" s="112">
        <f t="shared" si="8"/>
        <v>302131.77631578944</v>
      </c>
      <c r="BU27" s="112">
        <f t="shared" si="8"/>
        <v>302131.77631578944</v>
      </c>
      <c r="BV27" s="112">
        <f t="shared" si="8"/>
        <v>302131.77631578944</v>
      </c>
      <c r="BW27" s="112">
        <f t="shared" si="8"/>
        <v>302131.77631578944</v>
      </c>
      <c r="BX27" s="112">
        <f t="shared" si="8"/>
        <v>302131.77631578944</v>
      </c>
      <c r="BY27" s="112">
        <f t="shared" si="8"/>
        <v>402842.36842105258</v>
      </c>
      <c r="BZ27" s="112">
        <f t="shared" si="8"/>
        <v>402842.36842105258</v>
      </c>
      <c r="CA27" s="112">
        <f t="shared" si="8"/>
        <v>402842.36842105258</v>
      </c>
      <c r="CB27" s="112">
        <f t="shared" si="8"/>
        <v>402842.36842105258</v>
      </c>
      <c r="CC27" s="112">
        <f t="shared" si="8"/>
        <v>402842.36842105258</v>
      </c>
      <c r="CD27" s="112">
        <f t="shared" si="8"/>
        <v>402842.36842105258</v>
      </c>
      <c r="CE27" s="112">
        <f t="shared" si="8"/>
        <v>402842.36842105258</v>
      </c>
      <c r="CF27" s="112">
        <f t="shared" si="8"/>
        <v>402842.36842105258</v>
      </c>
      <c r="CG27" s="112">
        <f t="shared" si="8"/>
        <v>402842.36842105258</v>
      </c>
      <c r="CH27" s="112">
        <f t="shared" si="8"/>
        <v>402842.36842105258</v>
      </c>
      <c r="CI27" s="112">
        <f t="shared" si="8"/>
        <v>402842.36842105258</v>
      </c>
      <c r="CJ27" s="112">
        <f t="shared" si="8"/>
        <v>402842.36842105258</v>
      </c>
    </row>
    <row r="28" spans="1:88" ht="13">
      <c r="A28" s="61"/>
      <c r="B28" s="110" t="s">
        <v>85</v>
      </c>
      <c r="C28" s="61"/>
      <c r="D28" s="61"/>
      <c r="E28" s="66">
        <f t="shared" ref="E28:CJ28" si="9">SUM(E23:E27)</f>
        <v>112916.66666666667</v>
      </c>
      <c r="F28" s="66">
        <f t="shared" si="9"/>
        <v>112916.66666666667</v>
      </c>
      <c r="G28" s="66">
        <f t="shared" si="9"/>
        <v>112916.66666666667</v>
      </c>
      <c r="H28" s="66">
        <f t="shared" si="9"/>
        <v>112916.66666666667</v>
      </c>
      <c r="I28" s="66">
        <f t="shared" si="9"/>
        <v>112916.66666666667</v>
      </c>
      <c r="J28" s="66">
        <f t="shared" si="9"/>
        <v>112916.66666666667</v>
      </c>
      <c r="K28" s="66">
        <f t="shared" si="9"/>
        <v>112916.66666666667</v>
      </c>
      <c r="L28" s="66">
        <f t="shared" si="9"/>
        <v>112916.66666666667</v>
      </c>
      <c r="M28" s="66">
        <f t="shared" si="9"/>
        <v>112916.66666666667</v>
      </c>
      <c r="N28" s="66">
        <f t="shared" si="9"/>
        <v>112916.66666666667</v>
      </c>
      <c r="O28" s="66">
        <f t="shared" si="9"/>
        <v>112916.66666666667</v>
      </c>
      <c r="P28" s="66">
        <f t="shared" si="9"/>
        <v>112916.66666666667</v>
      </c>
      <c r="Q28" s="66">
        <f t="shared" si="9"/>
        <v>241828.88267543857</v>
      </c>
      <c r="R28" s="66">
        <f t="shared" si="9"/>
        <v>241828.88267543857</v>
      </c>
      <c r="S28" s="66">
        <f t="shared" si="9"/>
        <v>241828.88267543857</v>
      </c>
      <c r="T28" s="66">
        <f t="shared" si="9"/>
        <v>241828.88267543857</v>
      </c>
      <c r="U28" s="66">
        <f t="shared" si="9"/>
        <v>241828.88267543857</v>
      </c>
      <c r="V28" s="66">
        <f t="shared" si="9"/>
        <v>241828.88267543857</v>
      </c>
      <c r="W28" s="66">
        <f t="shared" si="9"/>
        <v>275399.08004385961</v>
      </c>
      <c r="X28" s="66">
        <f t="shared" si="9"/>
        <v>275399.08004385961</v>
      </c>
      <c r="Y28" s="66">
        <f t="shared" si="9"/>
        <v>275399.08004385961</v>
      </c>
      <c r="Z28" s="66">
        <f t="shared" si="9"/>
        <v>275399.08004385961</v>
      </c>
      <c r="AA28" s="66">
        <f t="shared" si="9"/>
        <v>275399.08004385961</v>
      </c>
      <c r="AB28" s="66">
        <f t="shared" si="9"/>
        <v>275399.08004385961</v>
      </c>
      <c r="AC28" s="66">
        <f t="shared" si="9"/>
        <v>535470.59726720653</v>
      </c>
      <c r="AD28" s="66">
        <f t="shared" si="9"/>
        <v>535470.59726720653</v>
      </c>
      <c r="AE28" s="66">
        <f t="shared" si="9"/>
        <v>535470.59726720653</v>
      </c>
      <c r="AF28" s="66">
        <f t="shared" si="9"/>
        <v>535470.59726720653</v>
      </c>
      <c r="AG28" s="66">
        <f t="shared" si="9"/>
        <v>535470.59726720653</v>
      </c>
      <c r="AH28" s="66">
        <f t="shared" si="9"/>
        <v>535470.59726720653</v>
      </c>
      <c r="AI28" s="66">
        <f t="shared" si="9"/>
        <v>577433.34397773282</v>
      </c>
      <c r="AJ28" s="66">
        <f t="shared" si="9"/>
        <v>577433.34397773282</v>
      </c>
      <c r="AK28" s="66">
        <f t="shared" si="9"/>
        <v>577433.34397773282</v>
      </c>
      <c r="AL28" s="66">
        <f t="shared" si="9"/>
        <v>577433.34397773282</v>
      </c>
      <c r="AM28" s="66">
        <f t="shared" si="9"/>
        <v>577433.34397773282</v>
      </c>
      <c r="AN28" s="66">
        <f t="shared" si="9"/>
        <v>577433.34397773282</v>
      </c>
      <c r="AO28" s="66">
        <f t="shared" si="9"/>
        <v>895137.79355070356</v>
      </c>
      <c r="AP28" s="66">
        <f t="shared" si="9"/>
        <v>895137.79355070356</v>
      </c>
      <c r="AQ28" s="66">
        <f t="shared" si="9"/>
        <v>895137.79355070356</v>
      </c>
      <c r="AR28" s="66">
        <f t="shared" si="9"/>
        <v>895137.79355070356</v>
      </c>
      <c r="AS28" s="66">
        <f t="shared" si="9"/>
        <v>895137.79355070356</v>
      </c>
      <c r="AT28" s="66">
        <f t="shared" si="9"/>
        <v>895137.79355070356</v>
      </c>
      <c r="AU28" s="66">
        <f t="shared" si="9"/>
        <v>895137.79355070356</v>
      </c>
      <c r="AV28" s="66">
        <f t="shared" si="9"/>
        <v>895137.79355070356</v>
      </c>
      <c r="AW28" s="66">
        <f t="shared" si="9"/>
        <v>895137.79355070356</v>
      </c>
      <c r="AX28" s="66">
        <f t="shared" si="9"/>
        <v>895137.79355070356</v>
      </c>
      <c r="AY28" s="66">
        <f t="shared" si="9"/>
        <v>895137.79355070356</v>
      </c>
      <c r="AZ28" s="66">
        <f t="shared" si="9"/>
        <v>895137.79355070356</v>
      </c>
      <c r="BA28" s="66">
        <f t="shared" si="9"/>
        <v>1588804.0830178089</v>
      </c>
      <c r="BB28" s="66">
        <f t="shared" si="9"/>
        <v>1588804.0830178089</v>
      </c>
      <c r="BC28" s="66">
        <f t="shared" si="9"/>
        <v>1588804.0830178089</v>
      </c>
      <c r="BD28" s="66">
        <f t="shared" si="9"/>
        <v>1588804.0830178089</v>
      </c>
      <c r="BE28" s="66">
        <f t="shared" si="9"/>
        <v>1588804.0830178089</v>
      </c>
      <c r="BF28" s="66">
        <f t="shared" si="9"/>
        <v>1588804.0830178089</v>
      </c>
      <c r="BG28" s="66">
        <f t="shared" si="9"/>
        <v>1588804.0830178089</v>
      </c>
      <c r="BH28" s="66">
        <f t="shared" si="9"/>
        <v>1588804.0830178089</v>
      </c>
      <c r="BI28" s="66">
        <f t="shared" si="9"/>
        <v>1588804.0830178089</v>
      </c>
      <c r="BJ28" s="66">
        <f t="shared" si="9"/>
        <v>1588804.0830178089</v>
      </c>
      <c r="BK28" s="66">
        <f t="shared" si="9"/>
        <v>1588804.0830178089</v>
      </c>
      <c r="BL28" s="66">
        <f t="shared" si="9"/>
        <v>1588804.0830178089</v>
      </c>
      <c r="BM28" s="66">
        <f t="shared" si="9"/>
        <v>2101521.4594520191</v>
      </c>
      <c r="BN28" s="66">
        <f t="shared" si="9"/>
        <v>2101521.4594520191</v>
      </c>
      <c r="BO28" s="66">
        <f t="shared" si="9"/>
        <v>2101521.4594520191</v>
      </c>
      <c r="BP28" s="66">
        <f t="shared" si="9"/>
        <v>2101521.4594520191</v>
      </c>
      <c r="BQ28" s="66">
        <f t="shared" si="9"/>
        <v>2101521.4594520191</v>
      </c>
      <c r="BR28" s="66">
        <f t="shared" si="9"/>
        <v>2101521.4594520191</v>
      </c>
      <c r="BS28" s="66">
        <f t="shared" si="9"/>
        <v>2101521.4594520191</v>
      </c>
      <c r="BT28" s="66">
        <f t="shared" si="9"/>
        <v>2101521.4594520191</v>
      </c>
      <c r="BU28" s="66">
        <f t="shared" si="9"/>
        <v>2101521.4594520191</v>
      </c>
      <c r="BV28" s="66">
        <f t="shared" si="9"/>
        <v>2101521.4594520191</v>
      </c>
      <c r="BW28" s="66">
        <f t="shared" si="9"/>
        <v>2101521.4594520191</v>
      </c>
      <c r="BX28" s="66">
        <f t="shared" si="9"/>
        <v>2101521.4594520191</v>
      </c>
      <c r="BY28" s="66">
        <f t="shared" si="9"/>
        <v>2450006.462340177</v>
      </c>
      <c r="BZ28" s="66">
        <f t="shared" si="9"/>
        <v>2450006.462340177</v>
      </c>
      <c r="CA28" s="66">
        <f t="shared" si="9"/>
        <v>2450006.462340177</v>
      </c>
      <c r="CB28" s="66">
        <f t="shared" si="9"/>
        <v>2450006.462340177</v>
      </c>
      <c r="CC28" s="66">
        <f t="shared" si="9"/>
        <v>2450006.462340177</v>
      </c>
      <c r="CD28" s="66">
        <f t="shared" si="9"/>
        <v>2450006.462340177</v>
      </c>
      <c r="CE28" s="66">
        <f t="shared" si="9"/>
        <v>2450006.462340177</v>
      </c>
      <c r="CF28" s="66">
        <f t="shared" si="9"/>
        <v>2450006.462340177</v>
      </c>
      <c r="CG28" s="66">
        <f t="shared" si="9"/>
        <v>2450006.462340177</v>
      </c>
      <c r="CH28" s="66">
        <f t="shared" si="9"/>
        <v>2450006.462340177</v>
      </c>
      <c r="CI28" s="66">
        <f t="shared" si="9"/>
        <v>2450006.462340177</v>
      </c>
      <c r="CJ28" s="66">
        <f t="shared" si="9"/>
        <v>2450006.462340177</v>
      </c>
    </row>
    <row r="29" spans="1:88" ht="15.75" customHeight="1">
      <c r="A29" s="12"/>
      <c r="B29" s="12"/>
      <c r="C29" s="12"/>
      <c r="D29" s="12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</row>
    <row r="30" spans="1:88" ht="13">
      <c r="A30" s="61"/>
      <c r="B30" s="107" t="s">
        <v>86</v>
      </c>
      <c r="C30" s="108"/>
      <c r="D30" s="108"/>
      <c r="E30" s="113">
        <f t="shared" ref="E30:CJ30" si="10">E19-E28</f>
        <v>-112916.66666666667</v>
      </c>
      <c r="F30" s="113">
        <f t="shared" si="10"/>
        <v>-112916.66666666667</v>
      </c>
      <c r="G30" s="113">
        <f t="shared" si="10"/>
        <v>-112916.66666666667</v>
      </c>
      <c r="H30" s="113">
        <f t="shared" si="10"/>
        <v>-112916.66666666667</v>
      </c>
      <c r="I30" s="113">
        <f t="shared" si="10"/>
        <v>-112916.66666666667</v>
      </c>
      <c r="J30" s="113">
        <f t="shared" si="10"/>
        <v>-112916.66666666667</v>
      </c>
      <c r="K30" s="113">
        <f t="shared" si="10"/>
        <v>-112916.66666666667</v>
      </c>
      <c r="L30" s="113">
        <f t="shared" si="10"/>
        <v>-112916.66666666667</v>
      </c>
      <c r="M30" s="113">
        <f t="shared" si="10"/>
        <v>-112916.66666666667</v>
      </c>
      <c r="N30" s="113">
        <f t="shared" si="10"/>
        <v>-112916.66666666667</v>
      </c>
      <c r="O30" s="113">
        <f t="shared" si="10"/>
        <v>-112916.66666666667</v>
      </c>
      <c r="P30" s="113">
        <f>P19-P28</f>
        <v>-112916.66666666667</v>
      </c>
      <c r="Q30" s="113">
        <f t="shared" si="10"/>
        <v>-73977.895833333314</v>
      </c>
      <c r="R30" s="113">
        <f t="shared" si="10"/>
        <v>-73977.895833333314</v>
      </c>
      <c r="S30" s="113">
        <f t="shared" si="10"/>
        <v>-73977.895833333314</v>
      </c>
      <c r="T30" s="113">
        <f t="shared" si="10"/>
        <v>-73977.895833333314</v>
      </c>
      <c r="U30" s="113">
        <f t="shared" si="10"/>
        <v>-73977.895833333314</v>
      </c>
      <c r="V30" s="113">
        <f t="shared" si="10"/>
        <v>-73977.895833333314</v>
      </c>
      <c r="W30" s="113">
        <f t="shared" si="10"/>
        <v>563855.85416666674</v>
      </c>
      <c r="X30" s="113">
        <f t="shared" si="10"/>
        <v>563855.85416666674</v>
      </c>
      <c r="Y30" s="113">
        <f t="shared" si="10"/>
        <v>563855.85416666674</v>
      </c>
      <c r="Z30" s="113">
        <f t="shared" si="10"/>
        <v>563855.85416666674</v>
      </c>
      <c r="AA30" s="113">
        <f t="shared" si="10"/>
        <v>563855.85416666674</v>
      </c>
      <c r="AB30" s="113">
        <f t="shared" si="10"/>
        <v>563855.85416666674</v>
      </c>
      <c r="AC30" s="113">
        <f t="shared" si="10"/>
        <v>1143039.2711538461</v>
      </c>
      <c r="AD30" s="113">
        <f t="shared" si="10"/>
        <v>1143039.2711538461</v>
      </c>
      <c r="AE30" s="113">
        <f t="shared" si="10"/>
        <v>1143039.2711538461</v>
      </c>
      <c r="AF30" s="113">
        <f t="shared" si="10"/>
        <v>1143039.2711538461</v>
      </c>
      <c r="AG30" s="113">
        <f t="shared" si="10"/>
        <v>1143039.2711538461</v>
      </c>
      <c r="AH30" s="113">
        <f t="shared" si="10"/>
        <v>1143039.2711538461</v>
      </c>
      <c r="AI30" s="113">
        <f t="shared" si="10"/>
        <v>1940331.4586538461</v>
      </c>
      <c r="AJ30" s="113">
        <f t="shared" si="10"/>
        <v>1940331.4586538461</v>
      </c>
      <c r="AK30" s="113">
        <f t="shared" si="10"/>
        <v>1940331.4586538461</v>
      </c>
      <c r="AL30" s="113">
        <f t="shared" si="10"/>
        <v>1940331.4586538461</v>
      </c>
      <c r="AM30" s="113">
        <f t="shared" si="10"/>
        <v>1940331.4586538461</v>
      </c>
      <c r="AN30" s="113">
        <f t="shared" si="10"/>
        <v>1940331.4586538461</v>
      </c>
      <c r="AO30" s="113">
        <f t="shared" si="10"/>
        <v>4140391.8117124531</v>
      </c>
      <c r="AP30" s="113">
        <f t="shared" si="10"/>
        <v>4140391.8117124531</v>
      </c>
      <c r="AQ30" s="113">
        <f t="shared" si="10"/>
        <v>4140391.8117124531</v>
      </c>
      <c r="AR30" s="113">
        <f t="shared" si="10"/>
        <v>4140391.8117124531</v>
      </c>
      <c r="AS30" s="113">
        <f t="shared" si="10"/>
        <v>4140391.8117124531</v>
      </c>
      <c r="AT30" s="113">
        <f t="shared" si="10"/>
        <v>4140391.8117124531</v>
      </c>
      <c r="AU30" s="113">
        <f t="shared" si="10"/>
        <v>4140391.8117124531</v>
      </c>
      <c r="AV30" s="113">
        <f t="shared" si="10"/>
        <v>4140391.8117124531</v>
      </c>
      <c r="AW30" s="113">
        <f t="shared" si="10"/>
        <v>4140391.8117124531</v>
      </c>
      <c r="AX30" s="113">
        <f t="shared" si="10"/>
        <v>4140391.8117124531</v>
      </c>
      <c r="AY30" s="113">
        <f t="shared" si="10"/>
        <v>4140391.8117124531</v>
      </c>
      <c r="AZ30" s="113">
        <f t="shared" si="10"/>
        <v>4140391.8117124531</v>
      </c>
      <c r="BA30" s="113">
        <f t="shared" si="10"/>
        <v>6803745.2590874527</v>
      </c>
      <c r="BB30" s="113">
        <f t="shared" si="10"/>
        <v>6803745.2590874527</v>
      </c>
      <c r="BC30" s="113">
        <f t="shared" si="10"/>
        <v>6803745.2590874527</v>
      </c>
      <c r="BD30" s="113">
        <f t="shared" si="10"/>
        <v>6803745.2590874527</v>
      </c>
      <c r="BE30" s="113">
        <f t="shared" si="10"/>
        <v>6803745.2590874527</v>
      </c>
      <c r="BF30" s="113">
        <f t="shared" si="10"/>
        <v>6803745.2590874527</v>
      </c>
      <c r="BG30" s="113">
        <f t="shared" si="10"/>
        <v>6803745.2590874527</v>
      </c>
      <c r="BH30" s="109">
        <f t="shared" si="10"/>
        <v>6803745.2590874527</v>
      </c>
      <c r="BI30" s="109">
        <f t="shared" si="10"/>
        <v>6803745.2590874527</v>
      </c>
      <c r="BJ30" s="109">
        <f t="shared" si="10"/>
        <v>6803745.2590874527</v>
      </c>
      <c r="BK30" s="109">
        <f t="shared" si="10"/>
        <v>6803745.2590874527</v>
      </c>
      <c r="BL30" s="109">
        <f t="shared" si="10"/>
        <v>6803745.2590874527</v>
      </c>
      <c r="BM30" s="109">
        <f t="shared" si="10"/>
        <v>13005067.356337454</v>
      </c>
      <c r="BN30" s="113">
        <f t="shared" si="10"/>
        <v>13005067.356337454</v>
      </c>
      <c r="BO30" s="113">
        <f t="shared" si="10"/>
        <v>13005067.356337454</v>
      </c>
      <c r="BP30" s="113">
        <f t="shared" si="10"/>
        <v>13005067.356337454</v>
      </c>
      <c r="BQ30" s="113">
        <f t="shared" si="10"/>
        <v>13005067.356337454</v>
      </c>
      <c r="BR30" s="113">
        <f t="shared" si="10"/>
        <v>13005067.356337454</v>
      </c>
      <c r="BS30" s="113">
        <f t="shared" si="10"/>
        <v>13005067.356337454</v>
      </c>
      <c r="BT30" s="113">
        <f t="shared" si="10"/>
        <v>13005067.356337454</v>
      </c>
      <c r="BU30" s="113">
        <f t="shared" si="10"/>
        <v>13005067.356337454</v>
      </c>
      <c r="BV30" s="113">
        <f t="shared" si="10"/>
        <v>13005067.356337454</v>
      </c>
      <c r="BW30" s="113">
        <f t="shared" si="10"/>
        <v>13005067.356337454</v>
      </c>
      <c r="BX30" s="113">
        <f t="shared" si="10"/>
        <v>13005067.356337454</v>
      </c>
      <c r="BY30" s="113">
        <f t="shared" si="10"/>
        <v>17692111.958712451</v>
      </c>
      <c r="BZ30" s="113">
        <f t="shared" si="10"/>
        <v>17692111.958712451</v>
      </c>
      <c r="CA30" s="113">
        <f t="shared" si="10"/>
        <v>17692111.958712451</v>
      </c>
      <c r="CB30" s="113">
        <f t="shared" si="10"/>
        <v>17692111.958712451</v>
      </c>
      <c r="CC30" s="113">
        <f t="shared" si="10"/>
        <v>17692111.958712451</v>
      </c>
      <c r="CD30" s="113">
        <f t="shared" si="10"/>
        <v>17692111.958712451</v>
      </c>
      <c r="CE30" s="113">
        <f t="shared" si="10"/>
        <v>17692111.958712451</v>
      </c>
      <c r="CF30" s="113">
        <f t="shared" si="10"/>
        <v>17692111.958712451</v>
      </c>
      <c r="CG30" s="113">
        <f t="shared" si="10"/>
        <v>17692111.958712451</v>
      </c>
      <c r="CH30" s="113">
        <f t="shared" si="10"/>
        <v>17692111.958712451</v>
      </c>
      <c r="CI30" s="113">
        <f t="shared" si="10"/>
        <v>17692111.958712451</v>
      </c>
      <c r="CJ30" s="113">
        <f t="shared" si="10"/>
        <v>17692111.958712451</v>
      </c>
    </row>
    <row r="31" spans="1:88" ht="13">
      <c r="A31" s="61"/>
      <c r="B31" s="62" t="s">
        <v>87</v>
      </c>
      <c r="C31" s="61"/>
      <c r="D31" s="61"/>
      <c r="E31" s="27">
        <f>SUM('Model Assumptions'!G95:G109)-SUM('Model Assumptions'!F95:F109)</f>
        <v>29629.629629629631</v>
      </c>
      <c r="F31" s="27">
        <f>SUM('Model Assumptions'!H95:H109)-SUM('Model Assumptions'!G95:G109)</f>
        <v>29629.629629629631</v>
      </c>
      <c r="G31" s="27">
        <f>SUM('Model Assumptions'!I95:I109)-SUM('Model Assumptions'!H95:H109)</f>
        <v>29629.629629629628</v>
      </c>
      <c r="H31" s="27">
        <f>SUM('Model Assumptions'!J95:J109)-SUM('Model Assumptions'!I95:I109)</f>
        <v>29629.629629629635</v>
      </c>
      <c r="I31" s="27">
        <f>SUM('Model Assumptions'!K95:K109)-SUM('Model Assumptions'!J95:J109)</f>
        <v>29629.62962962962</v>
      </c>
      <c r="J31" s="27">
        <f>SUM('Model Assumptions'!L95:L109)-SUM('Model Assumptions'!K95:K109)</f>
        <v>29629.629629629635</v>
      </c>
      <c r="K31" s="27">
        <f>SUM('Model Assumptions'!M95:M109)-SUM('Model Assumptions'!L95:L109)</f>
        <v>29629.629629629635</v>
      </c>
      <c r="L31" s="27">
        <f>SUM('Model Assumptions'!N95:N109)-SUM('Model Assumptions'!M95:M109)</f>
        <v>29629.629629629635</v>
      </c>
      <c r="M31" s="27">
        <f>SUM('Model Assumptions'!O95:O109)-SUM('Model Assumptions'!N95:N109)</f>
        <v>29629.629629629635</v>
      </c>
      <c r="N31" s="27">
        <f>SUM('Model Assumptions'!P95:P109)-SUM('Model Assumptions'!O95:O109)</f>
        <v>29629.629629629606</v>
      </c>
      <c r="O31" s="27">
        <f>SUM('Model Assumptions'!Q95:Q109)-SUM('Model Assumptions'!P95:P109)</f>
        <v>29629.629629629606</v>
      </c>
      <c r="P31" s="27">
        <f>SUM('Model Assumptions'!R95:R109)-SUM('Model Assumptions'!Q95:Q109)</f>
        <v>29629.629629629606</v>
      </c>
      <c r="Q31" s="27">
        <f>SUM('Model Assumptions'!S95:S109)-SUM('Model Assumptions'!R95:R109)</f>
        <v>68888.888888888876</v>
      </c>
      <c r="R31" s="27">
        <f>SUM('Model Assumptions'!T95:T109)-SUM('Model Assumptions'!S95:S109)</f>
        <v>68888.888888888876</v>
      </c>
      <c r="S31" s="27">
        <f>SUM('Model Assumptions'!U95:U109)-SUM('Model Assumptions'!T95:T109)</f>
        <v>68888.88888888876</v>
      </c>
      <c r="T31" s="27">
        <f>SUM('Model Assumptions'!V95:V109)-SUM('Model Assumptions'!U95:U109)</f>
        <v>68888.888888888992</v>
      </c>
      <c r="U31" s="27">
        <f>SUM('Model Assumptions'!W95:W109)-SUM('Model Assumptions'!V95:V109)</f>
        <v>68888.88888888876</v>
      </c>
      <c r="V31" s="27">
        <f>SUM('Model Assumptions'!X95:X109)-SUM('Model Assumptions'!W95:W109)</f>
        <v>68888.888888888876</v>
      </c>
      <c r="W31" s="27">
        <f>SUM('Model Assumptions'!Y95:Y109)-SUM('Model Assumptions'!X95:X109)</f>
        <v>68888.888888888992</v>
      </c>
      <c r="X31" s="27">
        <f>SUM('Model Assumptions'!Z95:Z109)-SUM('Model Assumptions'!Y95:Y109)</f>
        <v>68888.888888888876</v>
      </c>
      <c r="Y31" s="27">
        <f>SUM('Model Assumptions'!AA95:AA109)-SUM('Model Assumptions'!Z95:Z109)</f>
        <v>68888.888888888992</v>
      </c>
      <c r="Z31" s="27">
        <f>SUM('Model Assumptions'!AB95:AB109)-SUM('Model Assumptions'!AA95:AA109)</f>
        <v>68888.888888888876</v>
      </c>
      <c r="AA31" s="27">
        <f>SUM('Model Assumptions'!AC95:AC109)-SUM('Model Assumptions'!AB95:AB109)</f>
        <v>68888.888888888876</v>
      </c>
      <c r="AB31" s="27">
        <f>SUM('Model Assumptions'!AD95:AD109)-SUM('Model Assumptions'!AC95:AC109)</f>
        <v>68888.888888888992</v>
      </c>
      <c r="AC31" s="27">
        <f>SUM('Model Assumptions'!AE95:AE109)-SUM('Model Assumptions'!AD95:AD109)</f>
        <v>156666.66666666674</v>
      </c>
      <c r="AD31" s="27">
        <f>SUM('Model Assumptions'!AF95:AF109)-SUM('Model Assumptions'!AE95:AE109)</f>
        <v>156666.66666666651</v>
      </c>
      <c r="AE31" s="27">
        <f>SUM('Model Assumptions'!AG95:AG109)-SUM('Model Assumptions'!AF95:AF109)</f>
        <v>156666.66666666674</v>
      </c>
      <c r="AF31" s="27">
        <f>SUM('Model Assumptions'!AH95:AH109)-SUM('Model Assumptions'!AG95:AG109)</f>
        <v>156666.66666666674</v>
      </c>
      <c r="AG31" s="27">
        <f>SUM('Model Assumptions'!AI95:AI109)-SUM('Model Assumptions'!AH95:AH109)</f>
        <v>156666.66666666674</v>
      </c>
      <c r="AH31" s="27">
        <f>SUM('Model Assumptions'!AJ95:AJ109)-SUM('Model Assumptions'!AI95:AI109)</f>
        <v>156666.66666666628</v>
      </c>
      <c r="AI31" s="27">
        <f>SUM('Model Assumptions'!AK95:AK109)-SUM('Model Assumptions'!AJ95:AJ109)</f>
        <v>156666.66666666698</v>
      </c>
      <c r="AJ31" s="27">
        <f>SUM('Model Assumptions'!AL95:AL109)-SUM('Model Assumptions'!AK95:AK109)</f>
        <v>156666.66666666698</v>
      </c>
      <c r="AK31" s="27">
        <f>SUM('Model Assumptions'!AM95:AM109)-SUM('Model Assumptions'!AL95:AL109)</f>
        <v>156666.66666666651</v>
      </c>
      <c r="AL31" s="27">
        <f>SUM('Model Assumptions'!AN95:AN109)-SUM('Model Assumptions'!AM95:AM109)</f>
        <v>156666.66666666698</v>
      </c>
      <c r="AM31" s="27">
        <f>SUM('Model Assumptions'!AO95:AO109)-SUM('Model Assumptions'!AN95:AN109)</f>
        <v>156666.66666666651</v>
      </c>
      <c r="AN31" s="27">
        <f>SUM('Model Assumptions'!AP95:AP109)-SUM('Model Assumptions'!AO95:AO109)</f>
        <v>156666.66666666651</v>
      </c>
      <c r="AO31" s="27">
        <f>SUM('Model Assumptions'!AQ95:AQ109)-SUM('Model Assumptions'!AP95:AP109)</f>
        <v>244444.44444444496</v>
      </c>
      <c r="AP31" s="27">
        <f>SUM('Model Assumptions'!AR95:AR109)-SUM('Model Assumptions'!AQ95:AQ109)</f>
        <v>244444.4444444445</v>
      </c>
      <c r="AQ31" s="27">
        <f>SUM('Model Assumptions'!AS95:AS109)-SUM('Model Assumptions'!AR95:AR109)</f>
        <v>244444.4444444431</v>
      </c>
      <c r="AR31" s="27">
        <f>SUM('Model Assumptions'!AT95:AT109)-SUM('Model Assumptions'!AS95:AS109)</f>
        <v>244444.44444444496</v>
      </c>
      <c r="AS31" s="27">
        <f>SUM('Model Assumptions'!AU95:AU109)-SUM('Model Assumptions'!AT95:AT109)</f>
        <v>244444.44444444496</v>
      </c>
      <c r="AT31" s="27">
        <f>SUM('Model Assumptions'!AV95:AV109)-SUM('Model Assumptions'!AU95:AU109)</f>
        <v>244444.44444444496</v>
      </c>
      <c r="AU31" s="27">
        <f>SUM('Model Assumptions'!AW95:AW109)-SUM('Model Assumptions'!AV95:AV109)</f>
        <v>244444.4444444431</v>
      </c>
      <c r="AV31" s="27">
        <f>SUM('Model Assumptions'!AX95:AX109)-SUM('Model Assumptions'!AW95:AW109)</f>
        <v>244444.44444444496</v>
      </c>
      <c r="AW31" s="27">
        <f>SUM('Model Assumptions'!AY95:AY109)-SUM('Model Assumptions'!AX95:AX109)</f>
        <v>244444.44444444403</v>
      </c>
      <c r="AX31" s="27">
        <f>SUM('Model Assumptions'!AZ95:AZ109)-SUM('Model Assumptions'!AY95:AY109)</f>
        <v>244444.44444444496</v>
      </c>
      <c r="AY31" s="27">
        <f>SUM('Model Assumptions'!BA95:BA109)-SUM('Model Assumptions'!AZ95:AZ109)</f>
        <v>244444.44444444496</v>
      </c>
      <c r="AZ31" s="27">
        <f>SUM('Model Assumptions'!BB95:BB109)-SUM('Model Assumptions'!BA95:BA109)</f>
        <v>244444.44444444403</v>
      </c>
      <c r="BA31" s="27">
        <f>SUM('Model Assumptions'!BC95:BC109)-SUM('Model Assumptions'!BB95:BB109)</f>
        <v>452222.22222222388</v>
      </c>
      <c r="BB31" s="27">
        <f>SUM('Model Assumptions'!BD95:BD109)-SUM('Model Assumptions'!BC95:BC109)</f>
        <v>452222.22222222015</v>
      </c>
      <c r="BC31" s="27">
        <f>SUM('Model Assumptions'!BE95:BE109)-SUM('Model Assumptions'!BD95:BD109)</f>
        <v>452222.22222222295</v>
      </c>
      <c r="BD31" s="27">
        <f>SUM('Model Assumptions'!BF95:BF109)-SUM('Model Assumptions'!BE95:BE109)</f>
        <v>452222.22222222295</v>
      </c>
      <c r="BE31" s="27">
        <f>SUM('Model Assumptions'!BG95:BG109)-SUM('Model Assumptions'!BF95:BF109)</f>
        <v>452222.22222222015</v>
      </c>
      <c r="BF31" s="27">
        <f>SUM('Model Assumptions'!BH95:BH109)-SUM('Model Assumptions'!BG95:BG109)</f>
        <v>452222.22222222202</v>
      </c>
      <c r="BG31" s="27">
        <f>SUM('Model Assumptions'!BI95:BI109)-SUM('Model Assumptions'!BH95:BH109)</f>
        <v>452222.22222222388</v>
      </c>
      <c r="BH31" s="27">
        <f>SUM('Model Assumptions'!BJ95:BJ109)-SUM('Model Assumptions'!BI95:BI109)</f>
        <v>452222.22222222202</v>
      </c>
      <c r="BI31" s="27">
        <f>SUM('Model Assumptions'!BK95:BK109)-SUM('Model Assumptions'!BJ95:BJ109)</f>
        <v>452222.22222222202</v>
      </c>
      <c r="BJ31" s="27">
        <f>SUM('Model Assumptions'!BL95:BL109)-SUM('Model Assumptions'!BK95:BK109)</f>
        <v>452222.22222222015</v>
      </c>
      <c r="BK31" s="27">
        <f>SUM('Model Assumptions'!BM95:BM109)-SUM('Model Assumptions'!BL95:BL109)</f>
        <v>452222.22222222574</v>
      </c>
      <c r="BL31" s="27">
        <f>SUM('Model Assumptions'!BN95:BN109)-SUM('Model Assumptions'!BM95:BM109)</f>
        <v>452222.22222222015</v>
      </c>
      <c r="BM31" s="27">
        <f>SUM('Model Assumptions'!BO95:BO109)-SUM('Model Assumptions'!BN95:BN109)</f>
        <v>535555.55555555783</v>
      </c>
      <c r="BN31" s="27">
        <f>SUM('Model Assumptions'!BP95:BP109)-SUM('Model Assumptions'!BO95:BO109)</f>
        <v>535555.55555555224</v>
      </c>
      <c r="BO31" s="27">
        <f>SUM('Model Assumptions'!BQ95:BQ109)-SUM('Model Assumptions'!BP95:BP109)</f>
        <v>535555.55555555969</v>
      </c>
      <c r="BP31" s="27">
        <f>SUM('Model Assumptions'!BR95:BR109)-SUM('Model Assumptions'!BQ95:BQ109)</f>
        <v>535555.55555555411</v>
      </c>
      <c r="BQ31" s="27">
        <f>SUM('Model Assumptions'!BS95:BS109)-SUM('Model Assumptions'!BR95:BR109)</f>
        <v>535555.55555555597</v>
      </c>
      <c r="BR31" s="27">
        <f>SUM('Model Assumptions'!BT95:BT109)-SUM('Model Assumptions'!BS95:BS109)</f>
        <v>535555.55555555411</v>
      </c>
      <c r="BS31" s="27">
        <f>SUM('Model Assumptions'!BU95:BU109)-SUM('Model Assumptions'!BT95:BT109)</f>
        <v>535555.55555555411</v>
      </c>
      <c r="BT31" s="27">
        <f>SUM('Model Assumptions'!BV95:BV109)-SUM('Model Assumptions'!BU95:BU109)</f>
        <v>535555.55555555597</v>
      </c>
      <c r="BU31" s="27">
        <f>SUM('Model Assumptions'!BW95:BW109)-SUM('Model Assumptions'!BV95:BV109)</f>
        <v>535555.55555555411</v>
      </c>
      <c r="BV31" s="27">
        <f>SUM('Model Assumptions'!BX95:BX109)-SUM('Model Assumptions'!BW95:BW109)</f>
        <v>535555.55555555969</v>
      </c>
      <c r="BW31" s="27">
        <f>SUM('Model Assumptions'!BY95:BY109)-SUM('Model Assumptions'!BX95:BX109)</f>
        <v>535555.55555555224</v>
      </c>
      <c r="BX31" s="27">
        <f>SUM('Model Assumptions'!BZ95:BZ109)-SUM('Model Assumptions'!BY95:BY109)</f>
        <v>535555.55555555969</v>
      </c>
      <c r="BY31" s="27">
        <f>SUM('Model Assumptions'!CA95:CA109)-SUM('Model Assumptions'!BZ95:BZ109)</f>
        <v>535555.55555555224</v>
      </c>
      <c r="BZ31" s="27">
        <f>SUM('Model Assumptions'!CB95:CB109)-SUM('Model Assumptions'!CA95:CA109)</f>
        <v>535555.55555555224</v>
      </c>
      <c r="CA31" s="27">
        <f>SUM('Model Assumptions'!CC95:CC109)-SUM('Model Assumptions'!CB95:CB109)</f>
        <v>535555.55555555597</v>
      </c>
      <c r="CB31" s="27">
        <f>SUM('Model Assumptions'!CD95:CD109)-SUM('Model Assumptions'!CC95:CC109)</f>
        <v>535555.55555555597</v>
      </c>
      <c r="CC31" s="27">
        <f>SUM('Model Assumptions'!CE95:CE109)-SUM('Model Assumptions'!CD95:CD109)</f>
        <v>535555.55555555969</v>
      </c>
      <c r="CD31" s="27">
        <f>SUM('Model Assumptions'!CF95:CF109)-SUM('Model Assumptions'!CE95:CE109)</f>
        <v>535555.55555555224</v>
      </c>
      <c r="CE31" s="27">
        <f>SUM('Model Assumptions'!CG95:CG109)-SUM('Model Assumptions'!CF95:CF109)</f>
        <v>535555.55555555597</v>
      </c>
      <c r="CF31" s="27">
        <f>SUM('Model Assumptions'!CH95:CH109)-SUM('Model Assumptions'!CG95:CG109)</f>
        <v>535555.55555555597</v>
      </c>
      <c r="CG31" s="27">
        <f>SUM('Model Assumptions'!CI95:CI109)-SUM('Model Assumptions'!CH95:CH109)</f>
        <v>535555.55555555597</v>
      </c>
      <c r="CH31" s="27">
        <f>SUM('Model Assumptions'!CJ95:CJ109)-SUM('Model Assumptions'!CI95:CI109)</f>
        <v>535555.55555555224</v>
      </c>
      <c r="CI31" s="27">
        <f>SUM('Model Assumptions'!CK95:CK109)-SUM('Model Assumptions'!CJ95:CJ109)</f>
        <v>535555.55555555969</v>
      </c>
      <c r="CJ31" s="27">
        <f>SUM('Model Assumptions'!CL95:CL109)-SUM('Model Assumptions'!CK95:CK109)</f>
        <v>535555.55555555597</v>
      </c>
    </row>
    <row r="32" spans="1:88" ht="13">
      <c r="A32" s="61"/>
      <c r="B32" s="107" t="s">
        <v>88</v>
      </c>
      <c r="C32" s="108"/>
      <c r="D32" s="108"/>
      <c r="E32" s="113">
        <f t="shared" ref="E32:CJ32" si="11">E30-E31</f>
        <v>-142546.29629629629</v>
      </c>
      <c r="F32" s="113">
        <f t="shared" si="11"/>
        <v>-142546.29629629629</v>
      </c>
      <c r="G32" s="113">
        <f t="shared" si="11"/>
        <v>-142546.29629629629</v>
      </c>
      <c r="H32" s="113">
        <f t="shared" si="11"/>
        <v>-142546.29629629629</v>
      </c>
      <c r="I32" s="113">
        <f t="shared" si="11"/>
        <v>-142546.29629629629</v>
      </c>
      <c r="J32" s="113">
        <f t="shared" si="11"/>
        <v>-142546.29629629629</v>
      </c>
      <c r="K32" s="113">
        <f t="shared" si="11"/>
        <v>-142546.29629629629</v>
      </c>
      <c r="L32" s="113">
        <f t="shared" si="11"/>
        <v>-142546.29629629629</v>
      </c>
      <c r="M32" s="113">
        <f t="shared" si="11"/>
        <v>-142546.29629629629</v>
      </c>
      <c r="N32" s="113">
        <f t="shared" si="11"/>
        <v>-142546.29629629629</v>
      </c>
      <c r="O32" s="113">
        <f t="shared" si="11"/>
        <v>-142546.29629629629</v>
      </c>
      <c r="P32" s="113">
        <f t="shared" si="11"/>
        <v>-142546.29629629629</v>
      </c>
      <c r="Q32" s="113">
        <f t="shared" si="11"/>
        <v>-142866.78472222219</v>
      </c>
      <c r="R32" s="113">
        <f t="shared" si="11"/>
        <v>-142866.78472222219</v>
      </c>
      <c r="S32" s="113">
        <f t="shared" si="11"/>
        <v>-142866.78472222207</v>
      </c>
      <c r="T32" s="113">
        <f t="shared" si="11"/>
        <v>-142866.78472222231</v>
      </c>
      <c r="U32" s="113">
        <f t="shared" si="11"/>
        <v>-142866.78472222207</v>
      </c>
      <c r="V32" s="113">
        <f t="shared" si="11"/>
        <v>-142866.78472222219</v>
      </c>
      <c r="W32" s="113">
        <f t="shared" si="11"/>
        <v>494966.96527777775</v>
      </c>
      <c r="X32" s="113">
        <f t="shared" si="11"/>
        <v>494966.96527777787</v>
      </c>
      <c r="Y32" s="113">
        <f t="shared" si="11"/>
        <v>494966.96527777775</v>
      </c>
      <c r="Z32" s="113">
        <f t="shared" si="11"/>
        <v>494966.96527777787</v>
      </c>
      <c r="AA32" s="113">
        <f t="shared" si="11"/>
        <v>494966.96527777787</v>
      </c>
      <c r="AB32" s="113">
        <f t="shared" si="11"/>
        <v>494966.96527777775</v>
      </c>
      <c r="AC32" s="113">
        <f t="shared" si="11"/>
        <v>986372.60448717931</v>
      </c>
      <c r="AD32" s="113">
        <f t="shared" si="11"/>
        <v>986372.60448717955</v>
      </c>
      <c r="AE32" s="113">
        <f t="shared" si="11"/>
        <v>986372.60448717931</v>
      </c>
      <c r="AF32" s="113">
        <f t="shared" si="11"/>
        <v>986372.60448717931</v>
      </c>
      <c r="AG32" s="113">
        <f t="shared" si="11"/>
        <v>986372.60448717931</v>
      </c>
      <c r="AH32" s="113">
        <f t="shared" si="11"/>
        <v>986372.60448717978</v>
      </c>
      <c r="AI32" s="113">
        <f t="shared" si="11"/>
        <v>1783664.7919871791</v>
      </c>
      <c r="AJ32" s="113">
        <f t="shared" si="11"/>
        <v>1783664.7919871791</v>
      </c>
      <c r="AK32" s="113">
        <f t="shared" si="11"/>
        <v>1783664.7919871795</v>
      </c>
      <c r="AL32" s="113">
        <f t="shared" si="11"/>
        <v>1783664.7919871791</v>
      </c>
      <c r="AM32" s="113">
        <f t="shared" si="11"/>
        <v>1783664.7919871795</v>
      </c>
      <c r="AN32" s="113">
        <f t="shared" si="11"/>
        <v>1783664.7919871795</v>
      </c>
      <c r="AO32" s="113">
        <f t="shared" si="11"/>
        <v>3895947.3672680082</v>
      </c>
      <c r="AP32" s="113">
        <f t="shared" si="11"/>
        <v>3895947.3672680086</v>
      </c>
      <c r="AQ32" s="113">
        <f t="shared" si="11"/>
        <v>3895947.36726801</v>
      </c>
      <c r="AR32" s="113">
        <f t="shared" si="11"/>
        <v>3895947.3672680082</v>
      </c>
      <c r="AS32" s="113">
        <f t="shared" si="11"/>
        <v>3895947.3672680082</v>
      </c>
      <c r="AT32" s="113">
        <f t="shared" si="11"/>
        <v>3895947.3672680082</v>
      </c>
      <c r="AU32" s="113">
        <f t="shared" si="11"/>
        <v>3895947.36726801</v>
      </c>
      <c r="AV32" s="113">
        <f t="shared" si="11"/>
        <v>3895947.3672680082</v>
      </c>
      <c r="AW32" s="113">
        <f t="shared" si="11"/>
        <v>3895947.3672680091</v>
      </c>
      <c r="AX32" s="113">
        <f t="shared" si="11"/>
        <v>3895947.3672680082</v>
      </c>
      <c r="AY32" s="113">
        <f t="shared" si="11"/>
        <v>3895947.3672680082</v>
      </c>
      <c r="AZ32" s="113">
        <f t="shared" si="11"/>
        <v>3895947.3672680091</v>
      </c>
      <c r="BA32" s="113">
        <f t="shared" si="11"/>
        <v>6351523.0368652288</v>
      </c>
      <c r="BB32" s="113">
        <f t="shared" si="11"/>
        <v>6351523.0368652325</v>
      </c>
      <c r="BC32" s="113">
        <f t="shared" si="11"/>
        <v>6351523.0368652297</v>
      </c>
      <c r="BD32" s="113">
        <f t="shared" si="11"/>
        <v>6351523.0368652297</v>
      </c>
      <c r="BE32" s="113">
        <f t="shared" si="11"/>
        <v>6351523.0368652325</v>
      </c>
      <c r="BF32" s="113">
        <f t="shared" si="11"/>
        <v>6351523.0368652306</v>
      </c>
      <c r="BG32" s="113">
        <f t="shared" si="11"/>
        <v>6351523.0368652288</v>
      </c>
      <c r="BH32" s="109">
        <f t="shared" si="11"/>
        <v>6351523.0368652306</v>
      </c>
      <c r="BI32" s="109">
        <f t="shared" si="11"/>
        <v>6351523.0368652306</v>
      </c>
      <c r="BJ32" s="109">
        <f t="shared" si="11"/>
        <v>6351523.0368652325</v>
      </c>
      <c r="BK32" s="109">
        <f t="shared" si="11"/>
        <v>6351523.0368652269</v>
      </c>
      <c r="BL32" s="109">
        <f t="shared" si="11"/>
        <v>6351523.0368652325</v>
      </c>
      <c r="BM32" s="109">
        <f t="shared" si="11"/>
        <v>12469511.800781896</v>
      </c>
      <c r="BN32" s="113">
        <f t="shared" si="11"/>
        <v>12469511.800781902</v>
      </c>
      <c r="BO32" s="113">
        <f t="shared" si="11"/>
        <v>12469511.800781894</v>
      </c>
      <c r="BP32" s="113">
        <f t="shared" si="11"/>
        <v>12469511.8007819</v>
      </c>
      <c r="BQ32" s="113">
        <f t="shared" si="11"/>
        <v>12469511.800781898</v>
      </c>
      <c r="BR32" s="113">
        <f t="shared" si="11"/>
        <v>12469511.8007819</v>
      </c>
      <c r="BS32" s="113">
        <f t="shared" si="11"/>
        <v>12469511.8007819</v>
      </c>
      <c r="BT32" s="113">
        <f t="shared" si="11"/>
        <v>12469511.800781898</v>
      </c>
      <c r="BU32" s="113">
        <f t="shared" si="11"/>
        <v>12469511.8007819</v>
      </c>
      <c r="BV32" s="113">
        <f t="shared" si="11"/>
        <v>12469511.800781894</v>
      </c>
      <c r="BW32" s="113">
        <f t="shared" si="11"/>
        <v>12469511.800781902</v>
      </c>
      <c r="BX32" s="113">
        <f t="shared" si="11"/>
        <v>12469511.800781894</v>
      </c>
      <c r="BY32" s="113">
        <f t="shared" si="11"/>
        <v>17156556.403156899</v>
      </c>
      <c r="BZ32" s="113">
        <f t="shared" si="11"/>
        <v>17156556.403156899</v>
      </c>
      <c r="CA32" s="113">
        <f t="shared" si="11"/>
        <v>17156556.403156895</v>
      </c>
      <c r="CB32" s="113">
        <f t="shared" si="11"/>
        <v>17156556.403156895</v>
      </c>
      <c r="CC32" s="113">
        <f t="shared" si="11"/>
        <v>17156556.403156891</v>
      </c>
      <c r="CD32" s="113">
        <f t="shared" si="11"/>
        <v>17156556.403156899</v>
      </c>
      <c r="CE32" s="113">
        <f t="shared" si="11"/>
        <v>17156556.403156895</v>
      </c>
      <c r="CF32" s="113">
        <f t="shared" si="11"/>
        <v>17156556.403156895</v>
      </c>
      <c r="CG32" s="113">
        <f t="shared" si="11"/>
        <v>17156556.403156895</v>
      </c>
      <c r="CH32" s="113">
        <f t="shared" si="11"/>
        <v>17156556.403156899</v>
      </c>
      <c r="CI32" s="113">
        <f t="shared" si="11"/>
        <v>17156556.403156891</v>
      </c>
      <c r="CJ32" s="113">
        <f t="shared" si="11"/>
        <v>17156556.403156895</v>
      </c>
    </row>
    <row r="33" spans="1:88" ht="13">
      <c r="A33" s="61"/>
      <c r="B33" s="111" t="s">
        <v>89</v>
      </c>
      <c r="C33" s="105"/>
      <c r="D33" s="105"/>
      <c r="E33" s="112">
        <f>IF(E32&gt;0,E32*'Model Assumptions'!$C$67,0)</f>
        <v>0</v>
      </c>
      <c r="F33" s="112">
        <f>IF(F32&gt;0,F32*'Model Assumptions'!$C$67,0)</f>
        <v>0</v>
      </c>
      <c r="G33" s="112">
        <f>IF(G32&gt;0,G32*'Model Assumptions'!$C$67,0)</f>
        <v>0</v>
      </c>
      <c r="H33" s="112">
        <f>IF(H32&gt;0,H32*'Model Assumptions'!$C$67,0)</f>
        <v>0</v>
      </c>
      <c r="I33" s="112">
        <f>IF(I32&gt;0,I32*'Model Assumptions'!$C$67,0)</f>
        <v>0</v>
      </c>
      <c r="J33" s="112">
        <f>IF(J32&gt;0,J32*'Model Assumptions'!$C$67,0)</f>
        <v>0</v>
      </c>
      <c r="K33" s="112">
        <f>IF(K32&gt;0,K32*'Model Assumptions'!$C$67,0)</f>
        <v>0</v>
      </c>
      <c r="L33" s="112">
        <f>IF(L32&gt;0,L32*'Model Assumptions'!$C$67,0)</f>
        <v>0</v>
      </c>
      <c r="M33" s="112">
        <f>IF(M32&gt;0,M32*'Model Assumptions'!$C$67,0)</f>
        <v>0</v>
      </c>
      <c r="N33" s="112">
        <f>IF(N32&gt;0,N32*'Model Assumptions'!$C$67,0)</f>
        <v>0</v>
      </c>
      <c r="O33" s="112">
        <f>IF(O32&gt;0,O32*'Model Assumptions'!$C$67,0)</f>
        <v>0</v>
      </c>
      <c r="P33" s="112">
        <f>IF(P32&gt;0,P32*'Model Assumptions'!$C$67,0)</f>
        <v>0</v>
      </c>
      <c r="Q33" s="112">
        <f>IF(Q32&gt;0,Q32*'Model Assumptions'!$C$67,0)</f>
        <v>0</v>
      </c>
      <c r="R33" s="112">
        <f>IF(R32&gt;0,R32*'Model Assumptions'!$C$67,0)</f>
        <v>0</v>
      </c>
      <c r="S33" s="112">
        <f>IF(S32&gt;0,S32*'Model Assumptions'!$C$67,0)</f>
        <v>0</v>
      </c>
      <c r="T33" s="112">
        <f>IF(T32&gt;0,T32*'Model Assumptions'!$C$67,0)</f>
        <v>0</v>
      </c>
      <c r="U33" s="112">
        <f>IF(U32&gt;0,U32*'Model Assumptions'!$C$67,0)</f>
        <v>0</v>
      </c>
      <c r="V33" s="112">
        <f>IF(V32&gt;0,V32*'Model Assumptions'!$C$67,0)</f>
        <v>0</v>
      </c>
      <c r="W33" s="112">
        <f>IF(W32&gt;0,W32*'Model Assumptions'!$C$67,0)</f>
        <v>133641.080625</v>
      </c>
      <c r="X33" s="112">
        <f>IF(X32&gt;0,X32*'Model Assumptions'!$C$67,0)</f>
        <v>133641.08062500003</v>
      </c>
      <c r="Y33" s="112">
        <f>IF(Y32&gt;0,Y32*'Model Assumptions'!$C$67,0)</f>
        <v>133641.080625</v>
      </c>
      <c r="Z33" s="112">
        <f>IF(Z32&gt;0,Z32*'Model Assumptions'!$C$67,0)</f>
        <v>133641.08062500003</v>
      </c>
      <c r="AA33" s="112">
        <f>IF(AA32&gt;0,AA32*'Model Assumptions'!$C$67,0)</f>
        <v>133641.08062500003</v>
      </c>
      <c r="AB33" s="112">
        <f>IF(AB32&gt;0,AB32*'Model Assumptions'!$C$67,0)</f>
        <v>133641.080625</v>
      </c>
      <c r="AC33" s="112">
        <f>IF(AC32&gt;0,AC32*'Model Assumptions'!$C$67,0)</f>
        <v>266320.60321153846</v>
      </c>
      <c r="AD33" s="112">
        <f>IF(AD32&gt;0,AD32*'Model Assumptions'!$C$67,0)</f>
        <v>266320.60321153852</v>
      </c>
      <c r="AE33" s="112">
        <f>IF(AE32&gt;0,AE32*'Model Assumptions'!$C$67,0)</f>
        <v>266320.60321153846</v>
      </c>
      <c r="AF33" s="112">
        <f>IF(AF32&gt;0,AF32*'Model Assumptions'!$C$67,0)</f>
        <v>266320.60321153846</v>
      </c>
      <c r="AG33" s="112">
        <f>IF(AG32&gt;0,AG32*'Model Assumptions'!$C$67,0)</f>
        <v>266320.60321153846</v>
      </c>
      <c r="AH33" s="112">
        <f>IF(AH32&gt;0,AH32*'Model Assumptions'!$C$67,0)</f>
        <v>266320.60321153858</v>
      </c>
      <c r="AI33" s="112">
        <f>IF(AI32&gt;0,AI32*'Model Assumptions'!$C$67,0)</f>
        <v>481589.4938365384</v>
      </c>
      <c r="AJ33" s="112">
        <f>IF(AJ32&gt;0,AJ32*'Model Assumptions'!$C$67,0)</f>
        <v>481589.4938365384</v>
      </c>
      <c r="AK33" s="112">
        <f>IF(AK32&gt;0,AK32*'Model Assumptions'!$C$67,0)</f>
        <v>481589.49383653852</v>
      </c>
      <c r="AL33" s="112">
        <f>IF(AL32&gt;0,AL32*'Model Assumptions'!$C$67,0)</f>
        <v>481589.4938365384</v>
      </c>
      <c r="AM33" s="112">
        <f>IF(AM32&gt;0,AM32*'Model Assumptions'!$C$67,0)</f>
        <v>481589.49383653852</v>
      </c>
      <c r="AN33" s="112">
        <f>IF(AN32&gt;0,AN32*'Model Assumptions'!$C$67,0)</f>
        <v>481589.49383653852</v>
      </c>
      <c r="AO33" s="112">
        <f>IF(AO32&gt;0,AO32*'Model Assumptions'!$C$67,0)</f>
        <v>1051905.7891623622</v>
      </c>
      <c r="AP33" s="112">
        <f>IF(AP32&gt;0,AP32*'Model Assumptions'!$C$67,0)</f>
        <v>1051905.7891623625</v>
      </c>
      <c r="AQ33" s="112">
        <f>IF(AQ32&gt;0,AQ32*'Model Assumptions'!$C$67,0)</f>
        <v>1051905.7891623627</v>
      </c>
      <c r="AR33" s="112">
        <f>IF(AR32&gt;0,AR32*'Model Assumptions'!$C$67,0)</f>
        <v>1051905.7891623622</v>
      </c>
      <c r="AS33" s="112">
        <f>IF(AS32&gt;0,AS32*'Model Assumptions'!$C$67,0)</f>
        <v>1051905.7891623622</v>
      </c>
      <c r="AT33" s="112">
        <f>IF(AT32&gt;0,AT32*'Model Assumptions'!$C$67,0)</f>
        <v>1051905.7891623622</v>
      </c>
      <c r="AU33" s="112">
        <f>IF(AU32&gt;0,AU32*'Model Assumptions'!$C$67,0)</f>
        <v>1051905.7891623627</v>
      </c>
      <c r="AV33" s="112">
        <f>IF(AV32&gt;0,AV32*'Model Assumptions'!$C$67,0)</f>
        <v>1051905.7891623622</v>
      </c>
      <c r="AW33" s="112">
        <f>IF(AW32&gt;0,AW32*'Model Assumptions'!$C$67,0)</f>
        <v>1051905.7891623625</v>
      </c>
      <c r="AX33" s="112">
        <f>IF(AX32&gt;0,AX32*'Model Assumptions'!$C$67,0)</f>
        <v>1051905.7891623622</v>
      </c>
      <c r="AY33" s="112">
        <f>IF(AY32&gt;0,AY32*'Model Assumptions'!$C$67,0)</f>
        <v>1051905.7891623622</v>
      </c>
      <c r="AZ33" s="112">
        <f>IF(AZ32&gt;0,AZ32*'Model Assumptions'!$C$67,0)</f>
        <v>1051905.7891623625</v>
      </c>
      <c r="BA33" s="112">
        <f>IF(BA32&gt;0,BA32*'Model Assumptions'!$C$67,0)</f>
        <v>1714911.219953612</v>
      </c>
      <c r="BB33" s="112">
        <f>IF(BB32&gt;0,BB32*'Model Assumptions'!$C$67,0)</f>
        <v>1714911.2199536129</v>
      </c>
      <c r="BC33" s="112">
        <f>IF(BC32&gt;0,BC32*'Model Assumptions'!$C$67,0)</f>
        <v>1714911.2199536122</v>
      </c>
      <c r="BD33" s="112">
        <f>IF(BD32&gt;0,BD32*'Model Assumptions'!$C$67,0)</f>
        <v>1714911.2199536122</v>
      </c>
      <c r="BE33" s="112">
        <f>IF(BE32&gt;0,BE32*'Model Assumptions'!$C$67,0)</f>
        <v>1714911.2199536129</v>
      </c>
      <c r="BF33" s="112">
        <f>IF(BF32&gt;0,BF32*'Model Assumptions'!$C$67,0)</f>
        <v>1714911.2199536124</v>
      </c>
      <c r="BG33" s="112">
        <f>IF(BG32&gt;0,BG32*'Model Assumptions'!$C$67,0)</f>
        <v>1714911.219953612</v>
      </c>
      <c r="BH33" s="112">
        <f>IF(BH32&gt;0,BH32*'Model Assumptions'!$C$67,0)</f>
        <v>1714911.2199536124</v>
      </c>
      <c r="BI33" s="112">
        <f>IF(BI32&gt;0,BI32*'Model Assumptions'!$C$67,0)</f>
        <v>1714911.2199536124</v>
      </c>
      <c r="BJ33" s="112">
        <f>IF(BJ32&gt;0,BJ32*'Model Assumptions'!$C$67,0)</f>
        <v>1714911.2199536129</v>
      </c>
      <c r="BK33" s="112">
        <f>IF(BK32&gt;0,BK32*'Model Assumptions'!$C$67,0)</f>
        <v>1714911.2199536115</v>
      </c>
      <c r="BL33" s="112">
        <f>IF(BL32&gt;0,BL32*'Model Assumptions'!$C$67,0)</f>
        <v>1714911.2199536129</v>
      </c>
      <c r="BM33" s="112">
        <f>IF(BM32&gt;0,BM32*'Model Assumptions'!$C$67,0)</f>
        <v>3366768.1862111124</v>
      </c>
      <c r="BN33" s="112">
        <f>IF(BN32&gt;0,BN32*'Model Assumptions'!$C$67,0)</f>
        <v>3366768.1862111138</v>
      </c>
      <c r="BO33" s="112">
        <f>IF(BO32&gt;0,BO32*'Model Assumptions'!$C$67,0)</f>
        <v>3366768.186211112</v>
      </c>
      <c r="BP33" s="112">
        <f>IF(BP32&gt;0,BP32*'Model Assumptions'!$C$67,0)</f>
        <v>3366768.1862111134</v>
      </c>
      <c r="BQ33" s="112">
        <f>IF(BQ32&gt;0,BQ32*'Model Assumptions'!$C$67,0)</f>
        <v>3366768.1862111129</v>
      </c>
      <c r="BR33" s="112">
        <f>IF(BR32&gt;0,BR32*'Model Assumptions'!$C$67,0)</f>
        <v>3366768.1862111134</v>
      </c>
      <c r="BS33" s="112">
        <f>IF(BS32&gt;0,BS32*'Model Assumptions'!$C$67,0)</f>
        <v>3366768.1862111134</v>
      </c>
      <c r="BT33" s="112">
        <f>IF(BT32&gt;0,BT32*'Model Assumptions'!$C$67,0)</f>
        <v>3366768.1862111129</v>
      </c>
      <c r="BU33" s="112">
        <f>IF(BU32&gt;0,BU32*'Model Assumptions'!$C$67,0)</f>
        <v>3366768.1862111134</v>
      </c>
      <c r="BV33" s="112">
        <f>IF(BV32&gt;0,BV32*'Model Assumptions'!$C$67,0)</f>
        <v>3366768.186211112</v>
      </c>
      <c r="BW33" s="112">
        <f>IF(BW32&gt;0,BW32*'Model Assumptions'!$C$67,0)</f>
        <v>3366768.1862111138</v>
      </c>
      <c r="BX33" s="112">
        <f>IF(BX32&gt;0,BX32*'Model Assumptions'!$C$67,0)</f>
        <v>3366768.186211112</v>
      </c>
      <c r="BY33" s="112">
        <f>IF(BY32&gt;0,BY32*'Model Assumptions'!$C$67,0)</f>
        <v>4632270.2288523633</v>
      </c>
      <c r="BZ33" s="112">
        <f>IF(BZ32&gt;0,BZ32*'Model Assumptions'!$C$67,0)</f>
        <v>4632270.2288523633</v>
      </c>
      <c r="CA33" s="112">
        <f>IF(CA32&gt;0,CA32*'Model Assumptions'!$C$67,0)</f>
        <v>4632270.2288523624</v>
      </c>
      <c r="CB33" s="112">
        <f>IF(CB32&gt;0,CB32*'Model Assumptions'!$C$67,0)</f>
        <v>4632270.2288523624</v>
      </c>
      <c r="CC33" s="112">
        <f>IF(CC32&gt;0,CC32*'Model Assumptions'!$C$67,0)</f>
        <v>4632270.2288523614</v>
      </c>
      <c r="CD33" s="112">
        <f>IF(CD32&gt;0,CD32*'Model Assumptions'!$C$67,0)</f>
        <v>4632270.2288523633</v>
      </c>
      <c r="CE33" s="112">
        <f>IF(CE32&gt;0,CE32*'Model Assumptions'!$C$67,0)</f>
        <v>4632270.2288523624</v>
      </c>
      <c r="CF33" s="112">
        <f>IF(CF32&gt;0,CF32*'Model Assumptions'!$C$67,0)</f>
        <v>4632270.2288523624</v>
      </c>
      <c r="CG33" s="112">
        <f>IF(CG32&gt;0,CG32*'Model Assumptions'!$C$67,0)</f>
        <v>4632270.2288523624</v>
      </c>
      <c r="CH33" s="112">
        <f>IF(CH32&gt;0,CH32*'Model Assumptions'!$C$67,0)</f>
        <v>4632270.2288523633</v>
      </c>
      <c r="CI33" s="112">
        <f>IF(CI32&gt;0,CI32*'Model Assumptions'!$C$67,0)</f>
        <v>4632270.2288523614</v>
      </c>
      <c r="CJ33" s="112">
        <f>IF(CJ32&gt;0,CJ32*'Model Assumptions'!$C$67,0)</f>
        <v>4632270.2288523624</v>
      </c>
    </row>
    <row r="34" spans="1:88" ht="13">
      <c r="A34" s="61"/>
      <c r="B34" s="110" t="s">
        <v>90</v>
      </c>
      <c r="C34" s="61"/>
      <c r="D34" s="61"/>
      <c r="E34" s="114">
        <f t="shared" ref="E34:CJ34" si="12">E32-E33</f>
        <v>-142546.29629629629</v>
      </c>
      <c r="F34" s="114">
        <f t="shared" si="12"/>
        <v>-142546.29629629629</v>
      </c>
      <c r="G34" s="114">
        <f t="shared" si="12"/>
        <v>-142546.29629629629</v>
      </c>
      <c r="H34" s="114">
        <f t="shared" si="12"/>
        <v>-142546.29629629629</v>
      </c>
      <c r="I34" s="114">
        <f t="shared" si="12"/>
        <v>-142546.29629629629</v>
      </c>
      <c r="J34" s="114">
        <f t="shared" si="12"/>
        <v>-142546.29629629629</v>
      </c>
      <c r="K34" s="114">
        <f t="shared" si="12"/>
        <v>-142546.29629629629</v>
      </c>
      <c r="L34" s="114">
        <f t="shared" si="12"/>
        <v>-142546.29629629629</v>
      </c>
      <c r="M34" s="114">
        <f t="shared" si="12"/>
        <v>-142546.29629629629</v>
      </c>
      <c r="N34" s="114">
        <f t="shared" si="12"/>
        <v>-142546.29629629629</v>
      </c>
      <c r="O34" s="114">
        <f t="shared" si="12"/>
        <v>-142546.29629629629</v>
      </c>
      <c r="P34" s="114">
        <f t="shared" si="12"/>
        <v>-142546.29629629629</v>
      </c>
      <c r="Q34" s="114">
        <f t="shared" si="12"/>
        <v>-142866.78472222219</v>
      </c>
      <c r="R34" s="114">
        <f t="shared" si="12"/>
        <v>-142866.78472222219</v>
      </c>
      <c r="S34" s="114">
        <f t="shared" si="12"/>
        <v>-142866.78472222207</v>
      </c>
      <c r="T34" s="114">
        <f t="shared" si="12"/>
        <v>-142866.78472222231</v>
      </c>
      <c r="U34" s="114">
        <f t="shared" si="12"/>
        <v>-142866.78472222207</v>
      </c>
      <c r="V34" s="114">
        <f t="shared" si="12"/>
        <v>-142866.78472222219</v>
      </c>
      <c r="W34" s="114">
        <f t="shared" si="12"/>
        <v>361325.88465277775</v>
      </c>
      <c r="X34" s="114">
        <f t="shared" si="12"/>
        <v>361325.88465277781</v>
      </c>
      <c r="Y34" s="114">
        <f t="shared" si="12"/>
        <v>361325.88465277775</v>
      </c>
      <c r="Z34" s="114">
        <f t="shared" si="12"/>
        <v>361325.88465277781</v>
      </c>
      <c r="AA34" s="114">
        <f t="shared" si="12"/>
        <v>361325.88465277781</v>
      </c>
      <c r="AB34" s="114">
        <f t="shared" si="12"/>
        <v>361325.88465277775</v>
      </c>
      <c r="AC34" s="114">
        <f t="shared" si="12"/>
        <v>720052.00127564091</v>
      </c>
      <c r="AD34" s="114">
        <f t="shared" si="12"/>
        <v>720052.00127564103</v>
      </c>
      <c r="AE34" s="114">
        <f t="shared" si="12"/>
        <v>720052.00127564091</v>
      </c>
      <c r="AF34" s="114">
        <f t="shared" si="12"/>
        <v>720052.00127564091</v>
      </c>
      <c r="AG34" s="114">
        <f t="shared" si="12"/>
        <v>720052.00127564091</v>
      </c>
      <c r="AH34" s="114">
        <f t="shared" si="12"/>
        <v>720052.00127564115</v>
      </c>
      <c r="AI34" s="114">
        <f t="shared" si="12"/>
        <v>1302075.2981506407</v>
      </c>
      <c r="AJ34" s="114">
        <f t="shared" si="12"/>
        <v>1302075.2981506407</v>
      </c>
      <c r="AK34" s="114">
        <f t="shared" si="12"/>
        <v>1302075.2981506409</v>
      </c>
      <c r="AL34" s="114">
        <f t="shared" si="12"/>
        <v>1302075.2981506407</v>
      </c>
      <c r="AM34" s="114">
        <f t="shared" si="12"/>
        <v>1302075.2981506409</v>
      </c>
      <c r="AN34" s="114">
        <f t="shared" si="12"/>
        <v>1302075.2981506409</v>
      </c>
      <c r="AO34" s="114">
        <f t="shared" si="12"/>
        <v>2844041.5781056462</v>
      </c>
      <c r="AP34" s="114">
        <f t="shared" si="12"/>
        <v>2844041.5781056462</v>
      </c>
      <c r="AQ34" s="114">
        <f t="shared" si="12"/>
        <v>2844041.5781056471</v>
      </c>
      <c r="AR34" s="114">
        <f t="shared" si="12"/>
        <v>2844041.5781056462</v>
      </c>
      <c r="AS34" s="114">
        <f t="shared" si="12"/>
        <v>2844041.5781056462</v>
      </c>
      <c r="AT34" s="114">
        <f t="shared" si="12"/>
        <v>2844041.5781056462</v>
      </c>
      <c r="AU34" s="114">
        <f t="shared" si="12"/>
        <v>2844041.5781056471</v>
      </c>
      <c r="AV34" s="114">
        <f t="shared" si="12"/>
        <v>2844041.5781056462</v>
      </c>
      <c r="AW34" s="114">
        <f t="shared" si="12"/>
        <v>2844041.5781056467</v>
      </c>
      <c r="AX34" s="114">
        <f t="shared" si="12"/>
        <v>2844041.5781056462</v>
      </c>
      <c r="AY34" s="114">
        <f t="shared" si="12"/>
        <v>2844041.5781056462</v>
      </c>
      <c r="AZ34" s="114">
        <f t="shared" si="12"/>
        <v>2844041.5781056467</v>
      </c>
      <c r="BA34" s="114">
        <f t="shared" si="12"/>
        <v>4636611.8169116173</v>
      </c>
      <c r="BB34" s="114">
        <f t="shared" si="12"/>
        <v>4636611.8169116192</v>
      </c>
      <c r="BC34" s="114">
        <f t="shared" si="12"/>
        <v>4636611.8169116173</v>
      </c>
      <c r="BD34" s="114">
        <f t="shared" si="12"/>
        <v>4636611.8169116173</v>
      </c>
      <c r="BE34" s="114">
        <f t="shared" si="12"/>
        <v>4636611.8169116192</v>
      </c>
      <c r="BF34" s="114">
        <f t="shared" si="12"/>
        <v>4636611.8169116182</v>
      </c>
      <c r="BG34" s="114">
        <f t="shared" si="12"/>
        <v>4636611.8169116173</v>
      </c>
      <c r="BH34" s="66">
        <f t="shared" si="12"/>
        <v>4636611.8169116182</v>
      </c>
      <c r="BI34" s="66">
        <f t="shared" si="12"/>
        <v>4636611.8169116182</v>
      </c>
      <c r="BJ34" s="66">
        <f t="shared" si="12"/>
        <v>4636611.8169116192</v>
      </c>
      <c r="BK34" s="66">
        <f t="shared" si="12"/>
        <v>4636611.8169116154</v>
      </c>
      <c r="BL34" s="66">
        <f t="shared" si="12"/>
        <v>4636611.8169116192</v>
      </c>
      <c r="BM34" s="66">
        <f t="shared" si="12"/>
        <v>9102743.6145707835</v>
      </c>
      <c r="BN34" s="114">
        <f t="shared" si="12"/>
        <v>9102743.614570789</v>
      </c>
      <c r="BO34" s="114">
        <f t="shared" si="12"/>
        <v>9102743.6145707816</v>
      </c>
      <c r="BP34" s="114">
        <f t="shared" si="12"/>
        <v>9102743.6145707872</v>
      </c>
      <c r="BQ34" s="114">
        <f t="shared" si="12"/>
        <v>9102743.6145707853</v>
      </c>
      <c r="BR34" s="114">
        <f t="shared" si="12"/>
        <v>9102743.6145707872</v>
      </c>
      <c r="BS34" s="114">
        <f t="shared" si="12"/>
        <v>9102743.6145707872</v>
      </c>
      <c r="BT34" s="114">
        <f t="shared" si="12"/>
        <v>9102743.6145707853</v>
      </c>
      <c r="BU34" s="114">
        <f t="shared" si="12"/>
        <v>9102743.6145707872</v>
      </c>
      <c r="BV34" s="114">
        <f t="shared" si="12"/>
        <v>9102743.6145707816</v>
      </c>
      <c r="BW34" s="114">
        <f t="shared" si="12"/>
        <v>9102743.614570789</v>
      </c>
      <c r="BX34" s="114">
        <f t="shared" si="12"/>
        <v>9102743.6145707816</v>
      </c>
      <c r="BY34" s="114">
        <f t="shared" si="12"/>
        <v>12524286.174304536</v>
      </c>
      <c r="BZ34" s="114">
        <f t="shared" si="12"/>
        <v>12524286.174304536</v>
      </c>
      <c r="CA34" s="114">
        <f t="shared" si="12"/>
        <v>12524286.174304534</v>
      </c>
      <c r="CB34" s="114">
        <f t="shared" si="12"/>
        <v>12524286.174304534</v>
      </c>
      <c r="CC34" s="114">
        <f t="shared" si="12"/>
        <v>12524286.17430453</v>
      </c>
      <c r="CD34" s="114">
        <f t="shared" si="12"/>
        <v>12524286.174304536</v>
      </c>
      <c r="CE34" s="114">
        <f t="shared" si="12"/>
        <v>12524286.174304534</v>
      </c>
      <c r="CF34" s="114">
        <f t="shared" si="12"/>
        <v>12524286.174304534</v>
      </c>
      <c r="CG34" s="114">
        <f t="shared" si="12"/>
        <v>12524286.174304534</v>
      </c>
      <c r="CH34" s="114">
        <f t="shared" si="12"/>
        <v>12524286.174304536</v>
      </c>
      <c r="CI34" s="114">
        <f t="shared" si="12"/>
        <v>12524286.17430453</v>
      </c>
      <c r="CJ34" s="114">
        <f t="shared" si="12"/>
        <v>12524286.174304534</v>
      </c>
    </row>
    <row r="35" spans="1:88" s="275" customFormat="1" ht="13">
      <c r="A35" s="272"/>
      <c r="B35" s="273" t="s">
        <v>91</v>
      </c>
      <c r="C35" s="272"/>
      <c r="D35" s="272"/>
      <c r="E35" s="274" t="e">
        <f t="shared" ref="E35:CJ35" si="13">E34/E8</f>
        <v>#DIV/0!</v>
      </c>
      <c r="F35" s="274" t="e">
        <f t="shared" si="13"/>
        <v>#DIV/0!</v>
      </c>
      <c r="G35" s="274" t="e">
        <f t="shared" si="13"/>
        <v>#DIV/0!</v>
      </c>
      <c r="H35" s="274" t="e">
        <f t="shared" si="13"/>
        <v>#DIV/0!</v>
      </c>
      <c r="I35" s="274" t="e">
        <f t="shared" si="13"/>
        <v>#DIV/0!</v>
      </c>
      <c r="J35" s="274" t="e">
        <f t="shared" si="13"/>
        <v>#DIV/0!</v>
      </c>
      <c r="K35" s="274" t="e">
        <f t="shared" si="13"/>
        <v>#DIV/0!</v>
      </c>
      <c r="L35" s="274" t="e">
        <f t="shared" si="13"/>
        <v>#DIV/0!</v>
      </c>
      <c r="M35" s="274" t="e">
        <f t="shared" si="13"/>
        <v>#DIV/0!</v>
      </c>
      <c r="N35" s="274" t="e">
        <f t="shared" si="13"/>
        <v>#DIV/0!</v>
      </c>
      <c r="O35" s="274" t="e">
        <f t="shared" si="13"/>
        <v>#DIV/0!</v>
      </c>
      <c r="P35" s="274" t="e">
        <f t="shared" si="13"/>
        <v>#DIV/0!</v>
      </c>
      <c r="Q35" s="274">
        <f t="shared" si="13"/>
        <v>-0.76195618518518504</v>
      </c>
      <c r="R35" s="274">
        <f t="shared" si="13"/>
        <v>-0.76195618518518504</v>
      </c>
      <c r="S35" s="274">
        <f t="shared" si="13"/>
        <v>-0.76195618518518438</v>
      </c>
      <c r="T35" s="274">
        <f t="shared" si="13"/>
        <v>-0.7619561851851856</v>
      </c>
      <c r="U35" s="274">
        <f t="shared" si="13"/>
        <v>-0.76195618518518438</v>
      </c>
      <c r="V35" s="274">
        <f t="shared" si="13"/>
        <v>-0.76195618518518504</v>
      </c>
      <c r="W35" s="274">
        <f t="shared" si="13"/>
        <v>0.38541427696296293</v>
      </c>
      <c r="X35" s="274">
        <f t="shared" si="13"/>
        <v>0.38541427696296299</v>
      </c>
      <c r="Y35" s="274">
        <f t="shared" si="13"/>
        <v>0.38541427696296293</v>
      </c>
      <c r="Z35" s="274">
        <f t="shared" si="13"/>
        <v>0.38541427696296299</v>
      </c>
      <c r="AA35" s="274">
        <f t="shared" si="13"/>
        <v>0.38541427696296299</v>
      </c>
      <c r="AB35" s="274">
        <f t="shared" si="13"/>
        <v>0.38541427696296293</v>
      </c>
      <c r="AC35" s="274">
        <f t="shared" si="13"/>
        <v>0.38402773401367513</v>
      </c>
      <c r="AD35" s="274">
        <f t="shared" si="13"/>
        <v>0.38402773401367524</v>
      </c>
      <c r="AE35" s="274">
        <f t="shared" si="13"/>
        <v>0.38402773401367513</v>
      </c>
      <c r="AF35" s="274">
        <f t="shared" si="13"/>
        <v>0.38402773401367513</v>
      </c>
      <c r="AG35" s="274">
        <f t="shared" si="13"/>
        <v>0.38402773401367513</v>
      </c>
      <c r="AH35" s="274">
        <f t="shared" si="13"/>
        <v>0.38402773401367529</v>
      </c>
      <c r="AI35" s="274">
        <f t="shared" si="13"/>
        <v>0.46296010600911669</v>
      </c>
      <c r="AJ35" s="274">
        <f t="shared" si="13"/>
        <v>0.46296010600911669</v>
      </c>
      <c r="AK35" s="274">
        <f t="shared" si="13"/>
        <v>0.46296010600911675</v>
      </c>
      <c r="AL35" s="274">
        <f t="shared" si="13"/>
        <v>0.46296010600911669</v>
      </c>
      <c r="AM35" s="274">
        <f t="shared" si="13"/>
        <v>0.46296010600911675</v>
      </c>
      <c r="AN35" s="274">
        <f t="shared" si="13"/>
        <v>0.46296010600911675</v>
      </c>
      <c r="AO35" s="274">
        <f t="shared" si="13"/>
        <v>0.50560739166322599</v>
      </c>
      <c r="AP35" s="274">
        <f t="shared" si="13"/>
        <v>0.50560739166322599</v>
      </c>
      <c r="AQ35" s="274">
        <f t="shared" si="13"/>
        <v>0.5056073916632261</v>
      </c>
      <c r="AR35" s="274">
        <f t="shared" si="13"/>
        <v>0.50560739166322599</v>
      </c>
      <c r="AS35" s="274">
        <f t="shared" si="13"/>
        <v>0.50560739166322599</v>
      </c>
      <c r="AT35" s="274">
        <f t="shared" si="13"/>
        <v>0.50560739166322599</v>
      </c>
      <c r="AU35" s="274">
        <f t="shared" si="13"/>
        <v>0.5056073916632261</v>
      </c>
      <c r="AV35" s="274">
        <f t="shared" si="13"/>
        <v>0.50560739166322599</v>
      </c>
      <c r="AW35" s="274">
        <f t="shared" si="13"/>
        <v>0.5056073916632261</v>
      </c>
      <c r="AX35" s="274">
        <f t="shared" si="13"/>
        <v>0.50560739166322599</v>
      </c>
      <c r="AY35" s="274">
        <f t="shared" si="13"/>
        <v>0.50560739166322599</v>
      </c>
      <c r="AZ35" s="274">
        <f t="shared" si="13"/>
        <v>0.5056073916632261</v>
      </c>
      <c r="BA35" s="274">
        <f t="shared" si="13"/>
        <v>0.49457192713723919</v>
      </c>
      <c r="BB35" s="274">
        <f t="shared" si="13"/>
        <v>0.49457192713723935</v>
      </c>
      <c r="BC35" s="274">
        <f t="shared" si="13"/>
        <v>0.49457192713723919</v>
      </c>
      <c r="BD35" s="274">
        <f t="shared" si="13"/>
        <v>0.49457192713723919</v>
      </c>
      <c r="BE35" s="274">
        <f t="shared" si="13"/>
        <v>0.49457192713723935</v>
      </c>
      <c r="BF35" s="274">
        <f t="shared" si="13"/>
        <v>0.4945719271372393</v>
      </c>
      <c r="BG35" s="274">
        <f t="shared" si="13"/>
        <v>0.49457192713723919</v>
      </c>
      <c r="BH35" s="274">
        <f t="shared" si="13"/>
        <v>0.4945719271372393</v>
      </c>
      <c r="BI35" s="274">
        <f t="shared" si="13"/>
        <v>0.4945719271372393</v>
      </c>
      <c r="BJ35" s="274">
        <f t="shared" si="13"/>
        <v>0.49457192713723935</v>
      </c>
      <c r="BK35" s="274">
        <f t="shared" si="13"/>
        <v>0.49457192713723896</v>
      </c>
      <c r="BL35" s="274">
        <f t="shared" si="13"/>
        <v>0.49457192713723935</v>
      </c>
      <c r="BM35" s="274">
        <f t="shared" si="13"/>
        <v>0.53942184382641678</v>
      </c>
      <c r="BN35" s="274">
        <f t="shared" si="13"/>
        <v>0.53942184382641711</v>
      </c>
      <c r="BO35" s="274">
        <f t="shared" si="13"/>
        <v>0.53942184382641667</v>
      </c>
      <c r="BP35" s="274">
        <f t="shared" si="13"/>
        <v>0.539421843826417</v>
      </c>
      <c r="BQ35" s="274">
        <f t="shared" si="13"/>
        <v>0.53942184382641689</v>
      </c>
      <c r="BR35" s="274">
        <f t="shared" si="13"/>
        <v>0.539421843826417</v>
      </c>
      <c r="BS35" s="274">
        <f t="shared" si="13"/>
        <v>0.539421843826417</v>
      </c>
      <c r="BT35" s="274">
        <f t="shared" si="13"/>
        <v>0.53942184382641689</v>
      </c>
      <c r="BU35" s="274">
        <f t="shared" si="13"/>
        <v>0.539421843826417</v>
      </c>
      <c r="BV35" s="274">
        <f t="shared" si="13"/>
        <v>0.53942184382641667</v>
      </c>
      <c r="BW35" s="274">
        <f t="shared" si="13"/>
        <v>0.53942184382641711</v>
      </c>
      <c r="BX35" s="274">
        <f t="shared" si="13"/>
        <v>0.53942184382641667</v>
      </c>
      <c r="BY35" s="274">
        <f t="shared" si="13"/>
        <v>0.55663494108020162</v>
      </c>
      <c r="BZ35" s="274">
        <f t="shared" si="13"/>
        <v>0.55663494108020162</v>
      </c>
      <c r="CA35" s="274">
        <f t="shared" si="13"/>
        <v>0.55663494108020151</v>
      </c>
      <c r="CB35" s="274">
        <f t="shared" si="13"/>
        <v>0.55663494108020151</v>
      </c>
      <c r="CC35" s="274">
        <f t="shared" si="13"/>
        <v>0.55663494108020128</v>
      </c>
      <c r="CD35" s="274">
        <f t="shared" si="13"/>
        <v>0.55663494108020162</v>
      </c>
      <c r="CE35" s="274">
        <f t="shared" si="13"/>
        <v>0.55663494108020151</v>
      </c>
      <c r="CF35" s="274">
        <f t="shared" si="13"/>
        <v>0.55663494108020151</v>
      </c>
      <c r="CG35" s="274">
        <f t="shared" si="13"/>
        <v>0.55663494108020151</v>
      </c>
      <c r="CH35" s="274">
        <f t="shared" si="13"/>
        <v>0.55663494108020162</v>
      </c>
      <c r="CI35" s="274">
        <f t="shared" si="13"/>
        <v>0.55663494108020128</v>
      </c>
      <c r="CJ35" s="274">
        <f t="shared" si="13"/>
        <v>0.55663494108020151</v>
      </c>
    </row>
    <row r="36" spans="1:88" ht="15.75" customHeight="1">
      <c r="B36" s="12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3"/>
      <c r="BN36" s="103"/>
      <c r="BO36" s="103"/>
      <c r="BP36" s="103"/>
      <c r="BQ36" s="103"/>
      <c r="BR36" s="103"/>
      <c r="BS36" s="103"/>
      <c r="BT36" s="103"/>
      <c r="BU36" s="103"/>
      <c r="BV36" s="103"/>
      <c r="BW36" s="103"/>
      <c r="BX36" s="103"/>
      <c r="BY36" s="103"/>
      <c r="BZ36" s="103"/>
      <c r="CA36" s="103"/>
      <c r="CB36" s="103"/>
      <c r="CC36" s="103"/>
      <c r="CD36" s="103"/>
      <c r="CE36" s="103"/>
      <c r="CF36" s="103"/>
      <c r="CG36" s="103"/>
      <c r="CH36" s="103"/>
      <c r="CI36" s="103"/>
      <c r="CJ36" s="103"/>
    </row>
    <row r="37" spans="1:88" ht="15.75" customHeight="1">
      <c r="A37" s="12"/>
      <c r="B37" s="29" t="s">
        <v>35</v>
      </c>
      <c r="C37" s="56"/>
      <c r="D37" s="56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  <c r="BP37" s="115"/>
      <c r="BQ37" s="115"/>
      <c r="BR37" s="115"/>
      <c r="BS37" s="115"/>
      <c r="BT37" s="115"/>
      <c r="BU37" s="115"/>
      <c r="BV37" s="115"/>
      <c r="BW37" s="115"/>
      <c r="BX37" s="115"/>
      <c r="BY37" s="115"/>
      <c r="BZ37" s="115"/>
      <c r="CA37" s="115"/>
      <c r="CB37" s="115"/>
      <c r="CC37" s="115"/>
      <c r="CD37" s="115"/>
      <c r="CE37" s="115"/>
      <c r="CF37" s="115"/>
      <c r="CG37" s="115"/>
      <c r="CH37" s="115"/>
      <c r="CI37" s="115"/>
      <c r="CJ37" s="115"/>
    </row>
    <row r="38" spans="1:88" ht="15.75" customHeight="1">
      <c r="A38" s="12"/>
      <c r="B38" s="12"/>
      <c r="C38" s="12"/>
      <c r="D38" s="12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</row>
    <row r="39" spans="1:88" ht="13">
      <c r="A39" s="61"/>
      <c r="B39" s="110" t="s">
        <v>36</v>
      </c>
      <c r="C39" s="61"/>
      <c r="D39" s="61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</row>
    <row r="40" spans="1:88" ht="13">
      <c r="A40" s="61"/>
      <c r="B40" s="116" t="s">
        <v>92</v>
      </c>
      <c r="C40" s="61"/>
      <c r="D40" s="61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</row>
    <row r="41" spans="1:88" s="162" customFormat="1" ht="13">
      <c r="A41" s="61"/>
      <c r="B41" s="62" t="s">
        <v>93</v>
      </c>
      <c r="C41" s="61"/>
      <c r="D41" s="61"/>
      <c r="E41" s="27">
        <f t="shared" ref="E41:CJ41" si="14">E84</f>
        <v>1251458.3333333333</v>
      </c>
      <c r="F41" s="27">
        <f t="shared" si="14"/>
        <v>1138541.6666666665</v>
      </c>
      <c r="G41" s="27">
        <f t="shared" si="14"/>
        <v>1025624.9999999999</v>
      </c>
      <c r="H41" s="27">
        <f t="shared" si="14"/>
        <v>912708.33333333326</v>
      </c>
      <c r="I41" s="27">
        <f t="shared" si="14"/>
        <v>799791.66666666663</v>
      </c>
      <c r="J41" s="27">
        <f t="shared" si="14"/>
        <v>686875</v>
      </c>
      <c r="K41" s="27">
        <f t="shared" si="14"/>
        <v>573958.33333333337</v>
      </c>
      <c r="L41" s="27">
        <f t="shared" si="14"/>
        <v>461041.66666666674</v>
      </c>
      <c r="M41" s="27">
        <f t="shared" si="14"/>
        <v>348125.00000000023</v>
      </c>
      <c r="N41" s="27">
        <f t="shared" si="14"/>
        <v>235208.33333333366</v>
      </c>
      <c r="O41" s="27">
        <f t="shared" si="14"/>
        <v>122291.66666666709</v>
      </c>
      <c r="P41" s="27">
        <f t="shared" si="14"/>
        <v>9375.0000000005239</v>
      </c>
      <c r="Q41" s="27">
        <f t="shared" si="14"/>
        <v>7620042.8854166679</v>
      </c>
      <c r="R41" s="27">
        <f t="shared" si="14"/>
        <v>7546064.9895833349</v>
      </c>
      <c r="S41" s="27">
        <f t="shared" si="14"/>
        <v>7472087.0937500019</v>
      </c>
      <c r="T41" s="27">
        <f t="shared" si="14"/>
        <v>7398109.1979166679</v>
      </c>
      <c r="U41" s="27">
        <f t="shared" si="14"/>
        <v>7324131.3020833349</v>
      </c>
      <c r="V41" s="27">
        <f t="shared" si="14"/>
        <v>7250153.4062500019</v>
      </c>
      <c r="W41" s="27">
        <f t="shared" si="14"/>
        <v>7361451.3047916684</v>
      </c>
      <c r="X41" s="27">
        <f t="shared" si="14"/>
        <v>7791666.078333335</v>
      </c>
      <c r="Y41" s="27">
        <f t="shared" si="14"/>
        <v>8221880.8518750016</v>
      </c>
      <c r="Z41" s="27">
        <f t="shared" si="14"/>
        <v>8652095.6254166681</v>
      </c>
      <c r="AA41" s="27">
        <f t="shared" si="14"/>
        <v>9082310.3989583347</v>
      </c>
      <c r="AB41" s="27">
        <f t="shared" si="14"/>
        <v>9512525.1725000013</v>
      </c>
      <c r="AC41" s="27">
        <f t="shared" si="14"/>
        <v>519347.74669230916</v>
      </c>
      <c r="AD41" s="27">
        <f t="shared" si="14"/>
        <v>1396066.4146346166</v>
      </c>
      <c r="AE41" s="27">
        <f t="shared" si="14"/>
        <v>2272785.082576924</v>
      </c>
      <c r="AF41" s="27">
        <f t="shared" si="14"/>
        <v>3149503.7505192314</v>
      </c>
      <c r="AG41" s="27">
        <f t="shared" si="14"/>
        <v>4026222.4184615389</v>
      </c>
      <c r="AH41" s="27">
        <f t="shared" si="14"/>
        <v>4902941.0864038458</v>
      </c>
      <c r="AI41" s="27">
        <f t="shared" si="14"/>
        <v>5963036.9574711537</v>
      </c>
      <c r="AJ41" s="27">
        <f t="shared" si="14"/>
        <v>7421778.9222884616</v>
      </c>
      <c r="AK41" s="27">
        <f t="shared" si="14"/>
        <v>8880520.8871057685</v>
      </c>
      <c r="AL41" s="27">
        <f t="shared" si="14"/>
        <v>10339262.851923075</v>
      </c>
      <c r="AM41" s="27">
        <f t="shared" si="14"/>
        <v>11798004.816740381</v>
      </c>
      <c r="AN41" s="27">
        <f t="shared" si="14"/>
        <v>13256746.781557687</v>
      </c>
      <c r="AO41" s="27">
        <f t="shared" si="14"/>
        <v>6146794.5228577787</v>
      </c>
      <c r="AP41" s="27">
        <f t="shared" si="14"/>
        <v>9235280.5454078708</v>
      </c>
      <c r="AQ41" s="27">
        <f t="shared" si="14"/>
        <v>12323766.56795796</v>
      </c>
      <c r="AR41" s="27">
        <f t="shared" si="14"/>
        <v>15412252.590508051</v>
      </c>
      <c r="AS41" s="27">
        <f t="shared" si="14"/>
        <v>18500738.613058142</v>
      </c>
      <c r="AT41" s="27">
        <f t="shared" si="14"/>
        <v>21589224.635608234</v>
      </c>
      <c r="AU41" s="27">
        <f t="shared" si="14"/>
        <v>24677710.658158325</v>
      </c>
      <c r="AV41" s="27">
        <f t="shared" si="14"/>
        <v>27766196.680708412</v>
      </c>
      <c r="AW41" s="27">
        <f t="shared" si="14"/>
        <v>30854682.7032585</v>
      </c>
      <c r="AX41" s="27">
        <f t="shared" si="14"/>
        <v>33943168.725808591</v>
      </c>
      <c r="AY41" s="27">
        <f t="shared" si="14"/>
        <v>37031654.748358682</v>
      </c>
      <c r="AZ41" s="27">
        <f t="shared" si="14"/>
        <v>40120140.770908773</v>
      </c>
      <c r="BA41" s="27">
        <f t="shared" si="14"/>
        <v>22138140.435042612</v>
      </c>
      <c r="BB41" s="27">
        <f t="shared" si="14"/>
        <v>27226974.474176455</v>
      </c>
      <c r="BC41" s="27">
        <f t="shared" si="14"/>
        <v>32315808.513310295</v>
      </c>
      <c r="BD41" s="27">
        <f t="shared" si="14"/>
        <v>37404642.55244413</v>
      </c>
      <c r="BE41" s="27">
        <f t="shared" si="14"/>
        <v>42493476.591577977</v>
      </c>
      <c r="BF41" s="27">
        <f t="shared" si="14"/>
        <v>47582310.630711824</v>
      </c>
      <c r="BG41" s="27">
        <f t="shared" si="14"/>
        <v>52671144.66984567</v>
      </c>
      <c r="BH41" s="27">
        <f t="shared" si="14"/>
        <v>57759978.708979517</v>
      </c>
      <c r="BI41" s="27">
        <f t="shared" si="14"/>
        <v>62848812.748113364</v>
      </c>
      <c r="BJ41" s="27">
        <f t="shared" si="14"/>
        <v>67937646.787247211</v>
      </c>
      <c r="BK41" s="27">
        <f t="shared" si="14"/>
        <v>73026480.826381043</v>
      </c>
      <c r="BL41" s="27">
        <f t="shared" si="14"/>
        <v>78115314.865514889</v>
      </c>
      <c r="BM41" s="27">
        <f t="shared" si="14"/>
        <v>76033195.285641223</v>
      </c>
      <c r="BN41" s="27">
        <f t="shared" si="14"/>
        <v>85671494.455767572</v>
      </c>
      <c r="BO41" s="27">
        <f t="shared" si="14"/>
        <v>95309793.625893921</v>
      </c>
      <c r="BP41" s="27">
        <f t="shared" si="14"/>
        <v>104948092.79602025</v>
      </c>
      <c r="BQ41" s="27">
        <f t="shared" si="14"/>
        <v>114586391.9661466</v>
      </c>
      <c r="BR41" s="27">
        <f t="shared" si="14"/>
        <v>124224691.13627295</v>
      </c>
      <c r="BS41" s="27">
        <f t="shared" si="14"/>
        <v>133862990.3063993</v>
      </c>
      <c r="BT41" s="27">
        <f t="shared" si="14"/>
        <v>143501289.47652566</v>
      </c>
      <c r="BU41" s="27">
        <f t="shared" si="14"/>
        <v>153139588.64665201</v>
      </c>
      <c r="BV41" s="27">
        <f t="shared" si="14"/>
        <v>162777887.81677836</v>
      </c>
      <c r="BW41" s="27">
        <f t="shared" si="14"/>
        <v>172416186.98690471</v>
      </c>
      <c r="BX41" s="27">
        <f t="shared" si="14"/>
        <v>182054486.15703106</v>
      </c>
      <c r="BY41" s="27">
        <f t="shared" si="14"/>
        <v>192722451.32439116</v>
      </c>
      <c r="BZ41" s="27">
        <f t="shared" si="14"/>
        <v>205782293.05425125</v>
      </c>
      <c r="CA41" s="27">
        <f t="shared" si="14"/>
        <v>218842134.78411135</v>
      </c>
      <c r="CB41" s="27">
        <f t="shared" si="14"/>
        <v>231901976.51397145</v>
      </c>
      <c r="CC41" s="27">
        <f t="shared" si="14"/>
        <v>244961818.24383155</v>
      </c>
      <c r="CD41" s="27">
        <f t="shared" si="14"/>
        <v>258021659.97369164</v>
      </c>
      <c r="CE41" s="27">
        <f t="shared" si="14"/>
        <v>271081501.70355177</v>
      </c>
      <c r="CF41" s="27">
        <f t="shared" si="14"/>
        <v>284141343.4334119</v>
      </c>
      <c r="CG41" s="27">
        <f t="shared" si="14"/>
        <v>297201185.16327202</v>
      </c>
      <c r="CH41" s="27">
        <f t="shared" si="14"/>
        <v>310261026.89313209</v>
      </c>
      <c r="CI41" s="27">
        <f t="shared" si="14"/>
        <v>323320868.62299222</v>
      </c>
      <c r="CJ41" s="27">
        <f t="shared" si="14"/>
        <v>336380710.35285234</v>
      </c>
    </row>
    <row r="42" spans="1:88" ht="13">
      <c r="A42" s="61"/>
      <c r="B42" s="62" t="s">
        <v>94</v>
      </c>
      <c r="C42" s="61"/>
      <c r="D42" s="61"/>
      <c r="E42" s="27">
        <f>'Model Assumptions'!G75</f>
        <v>0</v>
      </c>
      <c r="F42" s="27">
        <f>'Model Assumptions'!H75</f>
        <v>0</v>
      </c>
      <c r="G42" s="27">
        <f>'Model Assumptions'!I75</f>
        <v>0</v>
      </c>
      <c r="H42" s="27">
        <f>'Model Assumptions'!J75</f>
        <v>0</v>
      </c>
      <c r="I42" s="27">
        <f>'Model Assumptions'!K75</f>
        <v>0</v>
      </c>
      <c r="J42" s="27">
        <f>'Model Assumptions'!L75</f>
        <v>0</v>
      </c>
      <c r="K42" s="27">
        <f>'Model Assumptions'!M75</f>
        <v>0</v>
      </c>
      <c r="L42" s="27">
        <f>'Model Assumptions'!N75</f>
        <v>0</v>
      </c>
      <c r="M42" s="27">
        <f>'Model Assumptions'!O75</f>
        <v>0</v>
      </c>
      <c r="N42" s="27">
        <f>'Model Assumptions'!P75</f>
        <v>0</v>
      </c>
      <c r="O42" s="27">
        <f>'Model Assumptions'!Q75</f>
        <v>0</v>
      </c>
      <c r="P42" s="27">
        <f>'Model Assumptions'!R75</f>
        <v>0</v>
      </c>
      <c r="Q42" s="27">
        <f>'Model Assumptions'!S75</f>
        <v>93750</v>
      </c>
      <c r="R42" s="27">
        <f>'Model Assumptions'!T75</f>
        <v>93750</v>
      </c>
      <c r="S42" s="27">
        <f>'Model Assumptions'!U75</f>
        <v>93750</v>
      </c>
      <c r="T42" s="27">
        <f>'Model Assumptions'!V75</f>
        <v>93750</v>
      </c>
      <c r="U42" s="27">
        <f>'Model Assumptions'!W75</f>
        <v>93750</v>
      </c>
      <c r="V42" s="27">
        <f>'Model Assumptions'!X75</f>
        <v>93750</v>
      </c>
      <c r="W42" s="27">
        <f>'Model Assumptions'!Y75</f>
        <v>468750</v>
      </c>
      <c r="X42" s="27">
        <f>'Model Assumptions'!Z75</f>
        <v>468750</v>
      </c>
      <c r="Y42" s="27">
        <f>'Model Assumptions'!AA75</f>
        <v>468750</v>
      </c>
      <c r="Z42" s="27">
        <f>'Model Assumptions'!AB75</f>
        <v>468750</v>
      </c>
      <c r="AA42" s="27">
        <f>'Model Assumptions'!AC75</f>
        <v>468750</v>
      </c>
      <c r="AB42" s="27">
        <f>'Model Assumptions'!AD75</f>
        <v>468750</v>
      </c>
      <c r="AC42" s="27">
        <f>'Model Assumptions'!AE75</f>
        <v>937500</v>
      </c>
      <c r="AD42" s="27">
        <f>'Model Assumptions'!AF75</f>
        <v>937500</v>
      </c>
      <c r="AE42" s="27">
        <f>'Model Assumptions'!AG75</f>
        <v>937500</v>
      </c>
      <c r="AF42" s="27">
        <f>'Model Assumptions'!AH75</f>
        <v>937500</v>
      </c>
      <c r="AG42" s="27">
        <f>'Model Assumptions'!AI75</f>
        <v>937500</v>
      </c>
      <c r="AH42" s="27">
        <f>'Model Assumptions'!AJ75</f>
        <v>937500</v>
      </c>
      <c r="AI42" s="27">
        <f>'Model Assumptions'!AK75</f>
        <v>1406250</v>
      </c>
      <c r="AJ42" s="27">
        <f>'Model Assumptions'!AL75</f>
        <v>1406250</v>
      </c>
      <c r="AK42" s="27">
        <f>'Model Assumptions'!AM75</f>
        <v>1406250</v>
      </c>
      <c r="AL42" s="27">
        <f>'Model Assumptions'!AN75</f>
        <v>1406250</v>
      </c>
      <c r="AM42" s="27">
        <f>'Model Assumptions'!AO75</f>
        <v>1406250</v>
      </c>
      <c r="AN42" s="27">
        <f>'Model Assumptions'!AP75</f>
        <v>1406250</v>
      </c>
      <c r="AO42" s="27">
        <f>'Model Assumptions'!AQ75</f>
        <v>2343750</v>
      </c>
      <c r="AP42" s="27">
        <f>'Model Assumptions'!AR75</f>
        <v>2343750</v>
      </c>
      <c r="AQ42" s="27">
        <f>'Model Assumptions'!AS75</f>
        <v>2343750</v>
      </c>
      <c r="AR42" s="27">
        <f>'Model Assumptions'!AT75</f>
        <v>2343750</v>
      </c>
      <c r="AS42" s="27">
        <f>'Model Assumptions'!AU75</f>
        <v>2343750</v>
      </c>
      <c r="AT42" s="27">
        <f>'Model Assumptions'!AV75</f>
        <v>2343750</v>
      </c>
      <c r="AU42" s="27">
        <f>'Model Assumptions'!AW75</f>
        <v>2343750</v>
      </c>
      <c r="AV42" s="27">
        <f>'Model Assumptions'!AX75</f>
        <v>2343750</v>
      </c>
      <c r="AW42" s="27">
        <f>'Model Assumptions'!AY75</f>
        <v>2343750</v>
      </c>
      <c r="AX42" s="27">
        <f>'Model Assumptions'!AZ75</f>
        <v>2343750</v>
      </c>
      <c r="AY42" s="27">
        <f>'Model Assumptions'!BA75</f>
        <v>2343750</v>
      </c>
      <c r="AZ42" s="27">
        <f>'Model Assumptions'!BB75</f>
        <v>2343750</v>
      </c>
      <c r="BA42" s="27">
        <f>'Model Assumptions'!BC75</f>
        <v>3281250</v>
      </c>
      <c r="BB42" s="27">
        <f>'Model Assumptions'!BD75</f>
        <v>3281250</v>
      </c>
      <c r="BC42" s="27">
        <f>'Model Assumptions'!BE75</f>
        <v>3281250</v>
      </c>
      <c r="BD42" s="27">
        <f>'Model Assumptions'!BF75</f>
        <v>3281250</v>
      </c>
      <c r="BE42" s="27">
        <f>'Model Assumptions'!BG75</f>
        <v>3281250</v>
      </c>
      <c r="BF42" s="27">
        <f>'Model Assumptions'!BH75</f>
        <v>3281250</v>
      </c>
      <c r="BG42" s="27">
        <f>'Model Assumptions'!BI75</f>
        <v>3281250</v>
      </c>
      <c r="BH42" s="27">
        <f>'Model Assumptions'!BJ75</f>
        <v>3281250</v>
      </c>
      <c r="BI42" s="27">
        <f>'Model Assumptions'!BK75</f>
        <v>3281250</v>
      </c>
      <c r="BJ42" s="27">
        <f>'Model Assumptions'!BL75</f>
        <v>3281250</v>
      </c>
      <c r="BK42" s="27">
        <f>'Model Assumptions'!BM75</f>
        <v>3281250</v>
      </c>
      <c r="BL42" s="27">
        <f>'Model Assumptions'!BN75</f>
        <v>3281250</v>
      </c>
      <c r="BM42" s="27">
        <f>'Model Assumptions'!BO75</f>
        <v>6562500</v>
      </c>
      <c r="BN42" s="27">
        <f>'Model Assumptions'!BP75</f>
        <v>6562500</v>
      </c>
      <c r="BO42" s="27">
        <f>'Model Assumptions'!BQ75</f>
        <v>6562500</v>
      </c>
      <c r="BP42" s="27">
        <f>'Model Assumptions'!BR75</f>
        <v>6562500</v>
      </c>
      <c r="BQ42" s="27">
        <f>'Model Assumptions'!BS75</f>
        <v>6562500</v>
      </c>
      <c r="BR42" s="27">
        <f>'Model Assumptions'!BT75</f>
        <v>6562500</v>
      </c>
      <c r="BS42" s="27">
        <f>'Model Assumptions'!BU75</f>
        <v>6562500</v>
      </c>
      <c r="BT42" s="27">
        <f>'Model Assumptions'!BV75</f>
        <v>6562500</v>
      </c>
      <c r="BU42" s="27">
        <f>'Model Assumptions'!BW75</f>
        <v>6562500</v>
      </c>
      <c r="BV42" s="27">
        <f>'Model Assumptions'!BX75</f>
        <v>6562500</v>
      </c>
      <c r="BW42" s="27">
        <f>'Model Assumptions'!BY75</f>
        <v>6562500</v>
      </c>
      <c r="BX42" s="27">
        <f>'Model Assumptions'!BZ75</f>
        <v>6562500</v>
      </c>
      <c r="BY42" s="27">
        <f>'Model Assumptions'!CA75</f>
        <v>9375000</v>
      </c>
      <c r="BZ42" s="27">
        <f>'Model Assumptions'!CB75</f>
        <v>9375000</v>
      </c>
      <c r="CA42" s="27">
        <f>'Model Assumptions'!CC75</f>
        <v>9375000</v>
      </c>
      <c r="CB42" s="27">
        <f>'Model Assumptions'!CD75</f>
        <v>9375000</v>
      </c>
      <c r="CC42" s="27">
        <f>'Model Assumptions'!CE75</f>
        <v>9375000</v>
      </c>
      <c r="CD42" s="27">
        <f>'Model Assumptions'!CF75</f>
        <v>9375000</v>
      </c>
      <c r="CE42" s="27">
        <f>'Model Assumptions'!CG75</f>
        <v>9375000</v>
      </c>
      <c r="CF42" s="27">
        <f>'Model Assumptions'!CH75</f>
        <v>9375000</v>
      </c>
      <c r="CG42" s="27">
        <f>'Model Assumptions'!CI75</f>
        <v>9375000</v>
      </c>
      <c r="CH42" s="27">
        <f>'Model Assumptions'!CJ75</f>
        <v>9375000</v>
      </c>
      <c r="CI42" s="27">
        <f>'Model Assumptions'!CK75</f>
        <v>9375000</v>
      </c>
      <c r="CJ42" s="27">
        <f>'Model Assumptions'!CL75</f>
        <v>9375000</v>
      </c>
    </row>
    <row r="43" spans="1:88" s="162" customFormat="1" ht="13">
      <c r="A43" s="61"/>
      <c r="B43" s="117" t="s">
        <v>95</v>
      </c>
      <c r="C43" s="118"/>
      <c r="D43" s="118"/>
      <c r="E43" s="119">
        <f t="shared" ref="E43:CJ43" si="15">SUM(E41:E42)</f>
        <v>1251458.3333333333</v>
      </c>
      <c r="F43" s="120">
        <f t="shared" si="15"/>
        <v>1138541.6666666665</v>
      </c>
      <c r="G43" s="119">
        <f t="shared" si="15"/>
        <v>1025624.9999999999</v>
      </c>
      <c r="H43" s="119">
        <f t="shared" si="15"/>
        <v>912708.33333333326</v>
      </c>
      <c r="I43" s="119">
        <f t="shared" si="15"/>
        <v>799791.66666666663</v>
      </c>
      <c r="J43" s="119">
        <f t="shared" si="15"/>
        <v>686875</v>
      </c>
      <c r="K43" s="119">
        <f t="shared" si="15"/>
        <v>573958.33333333337</v>
      </c>
      <c r="L43" s="119">
        <f t="shared" si="15"/>
        <v>461041.66666666674</v>
      </c>
      <c r="M43" s="119">
        <f t="shared" si="15"/>
        <v>348125.00000000023</v>
      </c>
      <c r="N43" s="119">
        <f t="shared" si="15"/>
        <v>235208.33333333366</v>
      </c>
      <c r="O43" s="119">
        <f t="shared" si="15"/>
        <v>122291.66666666709</v>
      </c>
      <c r="P43" s="119">
        <f t="shared" si="15"/>
        <v>9375.0000000005239</v>
      </c>
      <c r="Q43" s="119">
        <f>SUM(Q41:Q42)</f>
        <v>7713792.8854166679</v>
      </c>
      <c r="R43" s="119">
        <f t="shared" si="15"/>
        <v>7639814.9895833349</v>
      </c>
      <c r="S43" s="119">
        <f t="shared" si="15"/>
        <v>7565837.0937500019</v>
      </c>
      <c r="T43" s="119">
        <f t="shared" si="15"/>
        <v>7491859.1979166679</v>
      </c>
      <c r="U43" s="119">
        <f t="shared" si="15"/>
        <v>7417881.3020833349</v>
      </c>
      <c r="V43" s="119">
        <f t="shared" si="15"/>
        <v>7343903.4062500019</v>
      </c>
      <c r="W43" s="119">
        <f t="shared" si="15"/>
        <v>7830201.3047916684</v>
      </c>
      <c r="X43" s="119">
        <f t="shared" si="15"/>
        <v>8260416.078333335</v>
      </c>
      <c r="Y43" s="119">
        <f t="shared" si="15"/>
        <v>8690630.8518750016</v>
      </c>
      <c r="Z43" s="119">
        <f t="shared" si="15"/>
        <v>9120845.6254166681</v>
      </c>
      <c r="AA43" s="119">
        <f t="shared" si="15"/>
        <v>9551060.3989583347</v>
      </c>
      <c r="AB43" s="119">
        <f t="shared" si="15"/>
        <v>9981275.1725000013</v>
      </c>
      <c r="AC43" s="119">
        <f t="shared" si="15"/>
        <v>1456847.7466923092</v>
      </c>
      <c r="AD43" s="119">
        <f t="shared" si="15"/>
        <v>2333566.4146346166</v>
      </c>
      <c r="AE43" s="119">
        <f t="shared" si="15"/>
        <v>3210285.082576924</v>
      </c>
      <c r="AF43" s="119">
        <f t="shared" si="15"/>
        <v>4087003.7505192314</v>
      </c>
      <c r="AG43" s="119">
        <f t="shared" si="15"/>
        <v>4963722.4184615389</v>
      </c>
      <c r="AH43" s="119">
        <f t="shared" si="15"/>
        <v>5840441.0864038458</v>
      </c>
      <c r="AI43" s="119">
        <f t="shared" si="15"/>
        <v>7369286.9574711537</v>
      </c>
      <c r="AJ43" s="119">
        <f t="shared" si="15"/>
        <v>8828028.9222884625</v>
      </c>
      <c r="AK43" s="119">
        <f t="shared" si="15"/>
        <v>10286770.887105769</v>
      </c>
      <c r="AL43" s="119">
        <f t="shared" si="15"/>
        <v>11745512.851923075</v>
      </c>
      <c r="AM43" s="119">
        <f t="shared" si="15"/>
        <v>13204254.816740381</v>
      </c>
      <c r="AN43" s="119">
        <f t="shared" si="15"/>
        <v>14662996.781557687</v>
      </c>
      <c r="AO43" s="119">
        <f t="shared" si="15"/>
        <v>8490544.5228577778</v>
      </c>
      <c r="AP43" s="119">
        <f t="shared" si="15"/>
        <v>11579030.545407871</v>
      </c>
      <c r="AQ43" s="119">
        <f t="shared" si="15"/>
        <v>14667516.56795796</v>
      </c>
      <c r="AR43" s="119">
        <f t="shared" si="15"/>
        <v>17756002.590508051</v>
      </c>
      <c r="AS43" s="119">
        <f t="shared" si="15"/>
        <v>20844488.613058142</v>
      </c>
      <c r="AT43" s="119">
        <f t="shared" si="15"/>
        <v>23932974.635608234</v>
      </c>
      <c r="AU43" s="119">
        <f t="shared" si="15"/>
        <v>27021460.658158325</v>
      </c>
      <c r="AV43" s="119">
        <f t="shared" si="15"/>
        <v>30109946.680708412</v>
      </c>
      <c r="AW43" s="119">
        <f t="shared" si="15"/>
        <v>33198432.7032585</v>
      </c>
      <c r="AX43" s="119">
        <f t="shared" si="15"/>
        <v>36286918.725808591</v>
      </c>
      <c r="AY43" s="119">
        <f t="shared" si="15"/>
        <v>39375404.748358682</v>
      </c>
      <c r="AZ43" s="119">
        <f t="shared" si="15"/>
        <v>42463890.770908773</v>
      </c>
      <c r="BA43" s="119">
        <f t="shared" si="15"/>
        <v>25419390.435042612</v>
      </c>
      <c r="BB43" s="119">
        <f t="shared" si="15"/>
        <v>30508224.474176455</v>
      </c>
      <c r="BC43" s="119">
        <f t="shared" si="15"/>
        <v>35597058.513310298</v>
      </c>
      <c r="BD43" s="119">
        <f t="shared" si="15"/>
        <v>40685892.55244413</v>
      </c>
      <c r="BE43" s="119">
        <f t="shared" si="15"/>
        <v>45774726.591577977</v>
      </c>
      <c r="BF43" s="119">
        <f t="shared" si="15"/>
        <v>50863560.630711824</v>
      </c>
      <c r="BG43" s="119">
        <f t="shared" si="15"/>
        <v>55952394.66984567</v>
      </c>
      <c r="BH43" s="119">
        <f t="shared" si="15"/>
        <v>61041228.708979517</v>
      </c>
      <c r="BI43" s="119">
        <f t="shared" si="15"/>
        <v>66130062.748113364</v>
      </c>
      <c r="BJ43" s="119">
        <f t="shared" si="15"/>
        <v>71218896.787247211</v>
      </c>
      <c r="BK43" s="119">
        <f t="shared" si="15"/>
        <v>76307730.826381043</v>
      </c>
      <c r="BL43" s="119">
        <f t="shared" si="15"/>
        <v>81396564.865514889</v>
      </c>
      <c r="BM43" s="119">
        <f t="shared" si="15"/>
        <v>82595695.285641223</v>
      </c>
      <c r="BN43" s="119">
        <f t="shared" si="15"/>
        <v>92233994.455767572</v>
      </c>
      <c r="BO43" s="119">
        <f t="shared" si="15"/>
        <v>101872293.62589392</v>
      </c>
      <c r="BP43" s="119">
        <f t="shared" si="15"/>
        <v>111510592.79602025</v>
      </c>
      <c r="BQ43" s="119">
        <f t="shared" si="15"/>
        <v>121148891.9661466</v>
      </c>
      <c r="BR43" s="119">
        <f t="shared" si="15"/>
        <v>130787191.13627295</v>
      </c>
      <c r="BS43" s="119">
        <f t="shared" si="15"/>
        <v>140425490.30639929</v>
      </c>
      <c r="BT43" s="119">
        <f t="shared" si="15"/>
        <v>150063789.47652566</v>
      </c>
      <c r="BU43" s="119">
        <f t="shared" si="15"/>
        <v>159702088.64665201</v>
      </c>
      <c r="BV43" s="119">
        <f t="shared" si="15"/>
        <v>169340387.81677836</v>
      </c>
      <c r="BW43" s="119">
        <f t="shared" si="15"/>
        <v>178978686.98690471</v>
      </c>
      <c r="BX43" s="119">
        <f t="shared" si="15"/>
        <v>188616986.15703106</v>
      </c>
      <c r="BY43" s="119">
        <f t="shared" si="15"/>
        <v>202097451.32439116</v>
      </c>
      <c r="BZ43" s="119">
        <f t="shared" si="15"/>
        <v>215157293.05425125</v>
      </c>
      <c r="CA43" s="119">
        <f t="shared" si="15"/>
        <v>228217134.78411135</v>
      </c>
      <c r="CB43" s="119">
        <f t="shared" si="15"/>
        <v>241276976.51397145</v>
      </c>
      <c r="CC43" s="119">
        <f t="shared" si="15"/>
        <v>254336818.24383155</v>
      </c>
      <c r="CD43" s="119">
        <f t="shared" si="15"/>
        <v>267396659.97369164</v>
      </c>
      <c r="CE43" s="119">
        <f t="shared" si="15"/>
        <v>280456501.70355177</v>
      </c>
      <c r="CF43" s="119">
        <f t="shared" si="15"/>
        <v>293516343.4334119</v>
      </c>
      <c r="CG43" s="119">
        <f t="shared" si="15"/>
        <v>306576185.16327202</v>
      </c>
      <c r="CH43" s="119">
        <f t="shared" si="15"/>
        <v>319636026.89313209</v>
      </c>
      <c r="CI43" s="119">
        <f t="shared" si="15"/>
        <v>332695868.62299222</v>
      </c>
      <c r="CJ43" s="119">
        <f t="shared" si="15"/>
        <v>345755710.35285234</v>
      </c>
    </row>
    <row r="44" spans="1:88" ht="15.75" customHeight="1">
      <c r="A44" s="61"/>
      <c r="B44" s="61"/>
      <c r="C44" s="61"/>
      <c r="D44" s="61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</row>
    <row r="45" spans="1:88" ht="13">
      <c r="A45" s="61"/>
      <c r="B45" s="62" t="s">
        <v>40</v>
      </c>
      <c r="C45" s="61"/>
      <c r="D45" s="61"/>
      <c r="E45" s="27">
        <f>'Model Assumptions'!$F$18</f>
        <v>3200000</v>
      </c>
      <c r="F45" s="27">
        <f>'Model Assumptions'!$F$18</f>
        <v>3200000</v>
      </c>
      <c r="G45" s="27">
        <f>'Model Assumptions'!$F$18</f>
        <v>3200000</v>
      </c>
      <c r="H45" s="27">
        <f>'Model Assumptions'!$F$18</f>
        <v>3200000</v>
      </c>
      <c r="I45" s="27">
        <f>'Model Assumptions'!$F$18</f>
        <v>3200000</v>
      </c>
      <c r="J45" s="27">
        <f>'Model Assumptions'!$F$18</f>
        <v>3200000</v>
      </c>
      <c r="K45" s="27">
        <f>'Model Assumptions'!$F$18</f>
        <v>3200000</v>
      </c>
      <c r="L45" s="27">
        <f>'Model Assumptions'!$F$18</f>
        <v>3200000</v>
      </c>
      <c r="M45" s="27">
        <f>'Model Assumptions'!$F$18</f>
        <v>3200000</v>
      </c>
      <c r="N45" s="27">
        <f>'Model Assumptions'!$F$18</f>
        <v>3200000</v>
      </c>
      <c r="O45" s="27">
        <f>'Model Assumptions'!$F$18</f>
        <v>3200000</v>
      </c>
      <c r="P45" s="27">
        <f>'Model Assumptions'!$F$18</f>
        <v>3200000</v>
      </c>
      <c r="Q45" s="27">
        <f>$P$45+'Model Assumptions'!$S$27</f>
        <v>7440000</v>
      </c>
      <c r="R45" s="27">
        <f>$P$45+'Model Assumptions'!$S$27</f>
        <v>7440000</v>
      </c>
      <c r="S45" s="27">
        <f>$P$45+'Model Assumptions'!$S$27</f>
        <v>7440000</v>
      </c>
      <c r="T45" s="27">
        <f>$P$45+'Model Assumptions'!$S$27</f>
        <v>7440000</v>
      </c>
      <c r="U45" s="27">
        <f>$P$45+'Model Assumptions'!$S$27</f>
        <v>7440000</v>
      </c>
      <c r="V45" s="27">
        <f>$P$45+'Model Assumptions'!$S$27</f>
        <v>7440000</v>
      </c>
      <c r="W45" s="27">
        <f>$P$45+'Model Assumptions'!$S$27</f>
        <v>7440000</v>
      </c>
      <c r="X45" s="27">
        <f>$P$45+'Model Assumptions'!$S$27</f>
        <v>7440000</v>
      </c>
      <c r="Y45" s="27">
        <f>$P$45+'Model Assumptions'!$S$27</f>
        <v>7440000</v>
      </c>
      <c r="Z45" s="27">
        <f>$P$45+'Model Assumptions'!$S$27</f>
        <v>7440000</v>
      </c>
      <c r="AA45" s="27">
        <f>$P$45+'Model Assumptions'!$S$27</f>
        <v>7440000</v>
      </c>
      <c r="AB45" s="27">
        <f>$P$45+'Model Assumptions'!$S$27</f>
        <v>7440000</v>
      </c>
      <c r="AC45" s="27">
        <f>$AB$45+'Model Assumptions'!$AE$35</f>
        <v>16920000</v>
      </c>
      <c r="AD45" s="27">
        <f>$AB$45+'Model Assumptions'!$AE$35</f>
        <v>16920000</v>
      </c>
      <c r="AE45" s="27">
        <f>$AB$45+'Model Assumptions'!$AE$35</f>
        <v>16920000</v>
      </c>
      <c r="AF45" s="27">
        <f>$AB$45+'Model Assumptions'!$AE$35</f>
        <v>16920000</v>
      </c>
      <c r="AG45" s="27">
        <f>$AB$45+'Model Assumptions'!$AE$35</f>
        <v>16920000</v>
      </c>
      <c r="AH45" s="27">
        <f>$AB$45+'Model Assumptions'!$AE$35</f>
        <v>16920000</v>
      </c>
      <c r="AI45" s="27">
        <f>$AB$45+'Model Assumptions'!$AE$35</f>
        <v>16920000</v>
      </c>
      <c r="AJ45" s="27">
        <f>$AB$45+'Model Assumptions'!$AE$35</f>
        <v>16920000</v>
      </c>
      <c r="AK45" s="27">
        <f>$AB$45+'Model Assumptions'!$AE$35</f>
        <v>16920000</v>
      </c>
      <c r="AL45" s="27">
        <f>$AB$45+'Model Assumptions'!$AE$35</f>
        <v>16920000</v>
      </c>
      <c r="AM45" s="27">
        <f>$AB$45+'Model Assumptions'!$AE$35</f>
        <v>16920000</v>
      </c>
      <c r="AN45" s="27">
        <f>$AB$45+'Model Assumptions'!$AE$35</f>
        <v>16920000</v>
      </c>
      <c r="AO45" s="27">
        <f>$AN$45+'Model Assumptions'!$AQ$43</f>
        <v>26400000</v>
      </c>
      <c r="AP45" s="27">
        <f>$AN$45+'Model Assumptions'!$AQ$43</f>
        <v>26400000</v>
      </c>
      <c r="AQ45" s="27">
        <f>$AN$45+'Model Assumptions'!$AQ$43</f>
        <v>26400000</v>
      </c>
      <c r="AR45" s="27">
        <f>$AN$45+'Model Assumptions'!$AQ$43</f>
        <v>26400000</v>
      </c>
      <c r="AS45" s="27">
        <f>$AN$45+'Model Assumptions'!$AQ$43</f>
        <v>26400000</v>
      </c>
      <c r="AT45" s="27">
        <f>$AN$45+'Model Assumptions'!$AQ$43</f>
        <v>26400000</v>
      </c>
      <c r="AU45" s="27">
        <f>$AN$45+'Model Assumptions'!$AQ$43</f>
        <v>26400000</v>
      </c>
      <c r="AV45" s="27">
        <f>$AN$45+'Model Assumptions'!$AQ$43</f>
        <v>26400000</v>
      </c>
      <c r="AW45" s="27">
        <f>$AN$45+'Model Assumptions'!$AQ$43</f>
        <v>26400000</v>
      </c>
      <c r="AX45" s="27">
        <f>$AN$45+'Model Assumptions'!$AQ$43</f>
        <v>26400000</v>
      </c>
      <c r="AY45" s="27">
        <f>$AN$45+'Model Assumptions'!$AQ$43</f>
        <v>26400000</v>
      </c>
      <c r="AZ45" s="27">
        <f>$AN$45+'Model Assumptions'!$AQ$43</f>
        <v>26400000</v>
      </c>
      <c r="BA45" s="27">
        <f>$AZ$45+'Model Assumptions'!$BC$59</f>
        <v>48840000</v>
      </c>
      <c r="BB45" s="27">
        <f>$AZ$45+'Model Assumptions'!$BC$59</f>
        <v>48840000</v>
      </c>
      <c r="BC45" s="27">
        <f>$AZ$45+'Model Assumptions'!$BC$59</f>
        <v>48840000</v>
      </c>
      <c r="BD45" s="27">
        <f>$AZ$45+'Model Assumptions'!$BC$59</f>
        <v>48840000</v>
      </c>
      <c r="BE45" s="27">
        <f>$AZ$45+'Model Assumptions'!$BC$59</f>
        <v>48840000</v>
      </c>
      <c r="BF45" s="27">
        <f>$AZ$45+'Model Assumptions'!$BC$59</f>
        <v>48840000</v>
      </c>
      <c r="BG45" s="27">
        <f>$AZ$45+'Model Assumptions'!$BC$59</f>
        <v>48840000</v>
      </c>
      <c r="BH45" s="27">
        <f>$AZ$45+'Model Assumptions'!$BC$59</f>
        <v>48840000</v>
      </c>
      <c r="BI45" s="27">
        <f>$AZ$45+'Model Assumptions'!$BC$59</f>
        <v>48840000</v>
      </c>
      <c r="BJ45" s="27">
        <f>$AZ$45+'Model Assumptions'!$BC$59</f>
        <v>48840000</v>
      </c>
      <c r="BK45" s="27">
        <f>$AZ$45+'Model Assumptions'!$BC$59</f>
        <v>48840000</v>
      </c>
      <c r="BL45" s="27">
        <f>$AZ$45+'Model Assumptions'!$BC$59</f>
        <v>48840000</v>
      </c>
      <c r="BM45" s="103">
        <f>$BL$45+'Model Assumptions'!$BO$59</f>
        <v>57840000</v>
      </c>
      <c r="BN45" s="27">
        <f>$BL$45+'Model Assumptions'!$BO$59</f>
        <v>57840000</v>
      </c>
      <c r="BO45" s="27">
        <f>$BL$45+'Model Assumptions'!$BO$59</f>
        <v>57840000</v>
      </c>
      <c r="BP45" s="27">
        <f>$BL$45+'Model Assumptions'!$BO$59</f>
        <v>57840000</v>
      </c>
      <c r="BQ45" s="27">
        <f>$BL$45+'Model Assumptions'!$BO$59</f>
        <v>57840000</v>
      </c>
      <c r="BR45" s="27">
        <f>$BL$45+'Model Assumptions'!$BO$59</f>
        <v>57840000</v>
      </c>
      <c r="BS45" s="27">
        <f>$BL$45+'Model Assumptions'!$BO$59</f>
        <v>57840000</v>
      </c>
      <c r="BT45" s="27">
        <f>$BL$45+'Model Assumptions'!$BO$59</f>
        <v>57840000</v>
      </c>
      <c r="BU45" s="27">
        <f>$BL$45+'Model Assumptions'!$BO$59</f>
        <v>57840000</v>
      </c>
      <c r="BV45" s="27">
        <f>$BL$45+'Model Assumptions'!$BO$59</f>
        <v>57840000</v>
      </c>
      <c r="BW45" s="27">
        <f>$BL$45+'Model Assumptions'!$BO$59</f>
        <v>57840000</v>
      </c>
      <c r="BX45" s="27">
        <f>$BL$45+'Model Assumptions'!$BO$59</f>
        <v>57840000</v>
      </c>
      <c r="BY45" s="27">
        <f>$BL$45+'Model Assumptions'!$BO$59</f>
        <v>57840000</v>
      </c>
      <c r="BZ45" s="27">
        <f>$BL$45+'Model Assumptions'!$BO$59</f>
        <v>57840000</v>
      </c>
      <c r="CA45" s="27">
        <f>$BL$45+'Model Assumptions'!$BO$59</f>
        <v>57840000</v>
      </c>
      <c r="CB45" s="27">
        <f>$BL$45+'Model Assumptions'!$BO$59</f>
        <v>57840000</v>
      </c>
      <c r="CC45" s="27">
        <f>$BL$45+'Model Assumptions'!$BO$59</f>
        <v>57840000</v>
      </c>
      <c r="CD45" s="27">
        <f>$BL$45+'Model Assumptions'!$BO$59</f>
        <v>57840000</v>
      </c>
      <c r="CE45" s="27">
        <f>$BL$45+'Model Assumptions'!$BO$59</f>
        <v>57840000</v>
      </c>
      <c r="CF45" s="27">
        <f>$BL$45+'Model Assumptions'!$BO$59</f>
        <v>57840000</v>
      </c>
      <c r="CG45" s="27">
        <f>$BL$45+'Model Assumptions'!$BO$59</f>
        <v>57840000</v>
      </c>
      <c r="CH45" s="27">
        <f>$BL$45+'Model Assumptions'!$BO$59</f>
        <v>57840000</v>
      </c>
      <c r="CI45" s="27">
        <f>$BL$45+'Model Assumptions'!$BO$59</f>
        <v>57840000</v>
      </c>
      <c r="CJ45" s="27">
        <f>$BL$45+'Model Assumptions'!$BO$59</f>
        <v>57840000</v>
      </c>
    </row>
    <row r="46" spans="1:88" ht="13">
      <c r="A46" s="61"/>
      <c r="B46" s="62" t="s">
        <v>96</v>
      </c>
      <c r="C46" s="61"/>
      <c r="D46" s="61"/>
      <c r="E46" s="27">
        <f>-SUM('Model Assumptions'!G95:G109)</f>
        <v>-29629.629629629631</v>
      </c>
      <c r="F46" s="27">
        <f>-SUM('Model Assumptions'!H95:H109)</f>
        <v>-59259.259259259263</v>
      </c>
      <c r="G46" s="27">
        <f>-SUM('Model Assumptions'!I95:I109)</f>
        <v>-88888.888888888891</v>
      </c>
      <c r="H46" s="27">
        <f>-SUM('Model Assumptions'!J95:J109)</f>
        <v>-118518.51851851853</v>
      </c>
      <c r="I46" s="27">
        <f>-SUM('Model Assumptions'!K95:K109)</f>
        <v>-148148.14814814815</v>
      </c>
      <c r="J46" s="27">
        <f>-SUM('Model Assumptions'!L95:L109)</f>
        <v>-177777.77777777778</v>
      </c>
      <c r="K46" s="27">
        <f>-SUM('Model Assumptions'!M95:M109)</f>
        <v>-207407.40740740742</v>
      </c>
      <c r="L46" s="27">
        <f>-SUM('Model Assumptions'!N95:N109)</f>
        <v>-237037.03703703705</v>
      </c>
      <c r="M46" s="27">
        <f>-SUM('Model Assumptions'!O95:O109)</f>
        <v>-266666.66666666669</v>
      </c>
      <c r="N46" s="27">
        <f>-SUM('Model Assumptions'!P95:P109)</f>
        <v>-296296.29629629629</v>
      </c>
      <c r="O46" s="27">
        <f>-SUM('Model Assumptions'!Q95:Q109)</f>
        <v>-325925.9259259259</v>
      </c>
      <c r="P46" s="27">
        <f>-SUM('Model Assumptions'!R95:R109)</f>
        <v>-355555.5555555555</v>
      </c>
      <c r="Q46" s="27">
        <f>-SUM('Model Assumptions'!S95:S109)</f>
        <v>-424444.44444444438</v>
      </c>
      <c r="R46" s="27">
        <f>-SUM('Model Assumptions'!T95:T109)</f>
        <v>-493333.33333333326</v>
      </c>
      <c r="S46" s="27">
        <f>-SUM('Model Assumptions'!U95:U109)</f>
        <v>-562222.22222222202</v>
      </c>
      <c r="T46" s="27">
        <f>-SUM('Model Assumptions'!V95:V109)</f>
        <v>-631111.11111111101</v>
      </c>
      <c r="U46" s="27">
        <f>-SUM('Model Assumptions'!W95:W109)</f>
        <v>-699999.99999999977</v>
      </c>
      <c r="V46" s="27">
        <f>-SUM('Model Assumptions'!X95:X109)</f>
        <v>-768888.88888888864</v>
      </c>
      <c r="W46" s="27">
        <f>-SUM('Model Assumptions'!Y95:Y109)</f>
        <v>-837777.77777777764</v>
      </c>
      <c r="X46" s="27">
        <f>-SUM('Model Assumptions'!Z95:Z109)</f>
        <v>-906666.66666666651</v>
      </c>
      <c r="Y46" s="27">
        <f>-SUM('Model Assumptions'!AA95:AA109)</f>
        <v>-975555.5555555555</v>
      </c>
      <c r="Z46" s="27">
        <f>-SUM('Model Assumptions'!AB95:AB109)</f>
        <v>-1044444.4444444444</v>
      </c>
      <c r="AA46" s="27">
        <f>-SUM('Model Assumptions'!AC95:AC109)</f>
        <v>-1113333.3333333333</v>
      </c>
      <c r="AB46" s="27">
        <f>-SUM('Model Assumptions'!AD95:AD109)</f>
        <v>-1182222.2222222222</v>
      </c>
      <c r="AC46" s="27">
        <f>-SUM('Model Assumptions'!AE95:AE109)</f>
        <v>-1338888.888888889</v>
      </c>
      <c r="AD46" s="27">
        <f>-SUM('Model Assumptions'!AF95:AF109)</f>
        <v>-1495555.5555555555</v>
      </c>
      <c r="AE46" s="27">
        <f>-SUM('Model Assumptions'!AG95:AG109)</f>
        <v>-1652222.2222222222</v>
      </c>
      <c r="AF46" s="27">
        <f>-SUM('Model Assumptions'!AH95:AH109)</f>
        <v>-1808888.888888889</v>
      </c>
      <c r="AG46" s="27">
        <f>-SUM('Model Assumptions'!AI95:AI109)</f>
        <v>-1965555.5555555557</v>
      </c>
      <c r="AH46" s="27">
        <f>-SUM('Model Assumptions'!AJ95:AJ109)</f>
        <v>-2122222.222222222</v>
      </c>
      <c r="AI46" s="27">
        <f>-SUM('Model Assumptions'!AK95:AK109)</f>
        <v>-2278888.888888889</v>
      </c>
      <c r="AJ46" s="27">
        <f>-SUM('Model Assumptions'!AL95:AL109)</f>
        <v>-2435555.555555556</v>
      </c>
      <c r="AK46" s="27">
        <f>-SUM('Model Assumptions'!AM95:AM109)</f>
        <v>-2592222.2222222225</v>
      </c>
      <c r="AL46" s="27">
        <f>-SUM('Model Assumptions'!AN95:AN109)</f>
        <v>-2748888.8888888895</v>
      </c>
      <c r="AM46" s="27">
        <f>-SUM('Model Assumptions'!AO95:AO109)</f>
        <v>-2905555.555555556</v>
      </c>
      <c r="AN46" s="27">
        <f>-SUM('Model Assumptions'!AP95:AP109)</f>
        <v>-3062222.2222222225</v>
      </c>
      <c r="AO46" s="27">
        <f>-SUM('Model Assumptions'!AQ95:AQ109)</f>
        <v>-3306666.6666666674</v>
      </c>
      <c r="AP46" s="27">
        <f>-SUM('Model Assumptions'!AR95:AR109)</f>
        <v>-3551111.1111111119</v>
      </c>
      <c r="AQ46" s="27">
        <f>-SUM('Model Assumptions'!AS95:AS109)</f>
        <v>-3795555.555555555</v>
      </c>
      <c r="AR46" s="27">
        <f>-SUM('Model Assumptions'!AT95:AT109)</f>
        <v>-4040000</v>
      </c>
      <c r="AS46" s="27">
        <f>-SUM('Model Assumptions'!AU95:AU109)</f>
        <v>-4284444.444444445</v>
      </c>
      <c r="AT46" s="27">
        <f>-SUM('Model Assumptions'!AV95:AV109)</f>
        <v>-4528888.8888888899</v>
      </c>
      <c r="AU46" s="27">
        <f>-SUM('Model Assumptions'!AW95:AW109)</f>
        <v>-4773333.333333333</v>
      </c>
      <c r="AV46" s="27">
        <f>-SUM('Model Assumptions'!AX95:AX109)</f>
        <v>-5017777.777777778</v>
      </c>
      <c r="AW46" s="27">
        <f>-SUM('Model Assumptions'!AY95:AY109)</f>
        <v>-5262222.222222222</v>
      </c>
      <c r="AX46" s="27">
        <f>-SUM('Model Assumptions'!AZ95:AZ109)</f>
        <v>-5506666.666666667</v>
      </c>
      <c r="AY46" s="27">
        <f>-SUM('Model Assumptions'!BA95:BA109)</f>
        <v>-5751111.1111111119</v>
      </c>
      <c r="AZ46" s="27">
        <f>-SUM('Model Assumptions'!BB95:BB109)</f>
        <v>-5995555.555555556</v>
      </c>
      <c r="BA46" s="27">
        <f>-SUM('Model Assumptions'!BC95:BC109)</f>
        <v>-6447777.7777777798</v>
      </c>
      <c r="BB46" s="27">
        <f>-SUM('Model Assumptions'!BD95:BD109)</f>
        <v>-6900000</v>
      </c>
      <c r="BC46" s="27">
        <f>-SUM('Model Assumptions'!BE95:BE109)</f>
        <v>-7352222.2222222229</v>
      </c>
      <c r="BD46" s="27">
        <f>-SUM('Model Assumptions'!BF95:BF109)</f>
        <v>-7804444.4444444459</v>
      </c>
      <c r="BE46" s="27">
        <f>-SUM('Model Assumptions'!BG95:BG109)</f>
        <v>-8256666.666666666</v>
      </c>
      <c r="BF46" s="27">
        <f>-SUM('Model Assumptions'!BH95:BH109)</f>
        <v>-8708888.8888888881</v>
      </c>
      <c r="BG46" s="27">
        <f>-SUM('Model Assumptions'!BI95:BI109)</f>
        <v>-9161111.1111111119</v>
      </c>
      <c r="BH46" s="27">
        <f>-SUM('Model Assumptions'!BJ95:BJ109)</f>
        <v>-9613333.333333334</v>
      </c>
      <c r="BI46" s="27">
        <f>-SUM('Model Assumptions'!BK95:BK109)</f>
        <v>-10065555.555555556</v>
      </c>
      <c r="BJ46" s="27">
        <f>-SUM('Model Assumptions'!BL95:BL109)</f>
        <v>-10517777.777777776</v>
      </c>
      <c r="BK46" s="27">
        <f>-SUM('Model Assumptions'!BM95:BM109)</f>
        <v>-10970000.000000002</v>
      </c>
      <c r="BL46" s="27">
        <f>-SUM('Model Assumptions'!BN95:BN109)</f>
        <v>-11422222.222222222</v>
      </c>
      <c r="BM46" s="27">
        <f>-SUM('Model Assumptions'!BO95:BO109)</f>
        <v>-11957777.77777778</v>
      </c>
      <c r="BN46" s="27">
        <f>-SUM('Model Assumptions'!BP95:BP109)</f>
        <v>-12493333.333333332</v>
      </c>
      <c r="BO46" s="27">
        <f>-SUM('Model Assumptions'!BQ95:BQ109)</f>
        <v>-13028888.888888892</v>
      </c>
      <c r="BP46" s="27">
        <f>-SUM('Model Assumptions'!BR95:BR109)</f>
        <v>-13564444.444444446</v>
      </c>
      <c r="BQ46" s="27">
        <f>-SUM('Model Assumptions'!BS95:BS109)</f>
        <v>-14100000.000000002</v>
      </c>
      <c r="BR46" s="27">
        <f>-SUM('Model Assumptions'!BT95:BT109)</f>
        <v>-14635555.555555556</v>
      </c>
      <c r="BS46" s="27">
        <f>-SUM('Model Assumptions'!BU95:BU109)</f>
        <v>-15171111.11111111</v>
      </c>
      <c r="BT46" s="27">
        <f>-SUM('Model Assumptions'!BV95:BV109)</f>
        <v>-15706666.666666666</v>
      </c>
      <c r="BU46" s="27">
        <f>-SUM('Model Assumptions'!BW95:BW109)</f>
        <v>-16242222.22222222</v>
      </c>
      <c r="BV46" s="27">
        <f>-SUM('Model Assumptions'!BX95:BX109)</f>
        <v>-16777777.77777778</v>
      </c>
      <c r="BW46" s="27">
        <f>-SUM('Model Assumptions'!BY95:BY109)</f>
        <v>-17313333.333333332</v>
      </c>
      <c r="BX46" s="27">
        <f>-SUM('Model Assumptions'!BZ95:BZ109)</f>
        <v>-17848888.888888892</v>
      </c>
      <c r="BY46" s="27">
        <f>-SUM('Model Assumptions'!CA95:CA109)</f>
        <v>-18384444.444444444</v>
      </c>
      <c r="BZ46" s="27">
        <f>-SUM('Model Assumptions'!CB95:CB109)</f>
        <v>-18919999.999999996</v>
      </c>
      <c r="CA46" s="27">
        <f>-SUM('Model Assumptions'!CC95:CC109)</f>
        <v>-19455555.555555552</v>
      </c>
      <c r="CB46" s="27">
        <f>-SUM('Model Assumptions'!CD95:CD109)</f>
        <v>-19991111.111111108</v>
      </c>
      <c r="CC46" s="27">
        <f>-SUM('Model Assumptions'!CE95:CE109)</f>
        <v>-20526666.666666668</v>
      </c>
      <c r="CD46" s="27">
        <f>-SUM('Model Assumptions'!CF95:CF109)</f>
        <v>-21062222.22222222</v>
      </c>
      <c r="CE46" s="27">
        <f>-SUM('Model Assumptions'!CG95:CG109)</f>
        <v>-21597777.777777776</v>
      </c>
      <c r="CF46" s="27">
        <f>-SUM('Model Assumptions'!CH95:CH109)</f>
        <v>-22133333.333333332</v>
      </c>
      <c r="CG46" s="27">
        <f>-SUM('Model Assumptions'!CI95:CI109)</f>
        <v>-22668888.888888888</v>
      </c>
      <c r="CH46" s="27">
        <f>-SUM('Model Assumptions'!CJ95:CJ109)</f>
        <v>-23204444.44444444</v>
      </c>
      <c r="CI46" s="27">
        <f>-SUM('Model Assumptions'!CK95:CK109)</f>
        <v>-23740000</v>
      </c>
      <c r="CJ46" s="27">
        <f>-SUM('Model Assumptions'!CL95:CL109)</f>
        <v>-24275555.555555556</v>
      </c>
    </row>
    <row r="47" spans="1:88" ht="13">
      <c r="A47" s="61"/>
      <c r="B47" s="107" t="s">
        <v>97</v>
      </c>
      <c r="C47" s="108"/>
      <c r="D47" s="108"/>
      <c r="E47" s="109">
        <f t="shared" ref="E47:CJ47" si="16">SUM(E43:E46)</f>
        <v>4421828.7037037034</v>
      </c>
      <c r="F47" s="109">
        <f t="shared" si="16"/>
        <v>4279282.4074074067</v>
      </c>
      <c r="G47" s="109">
        <f t="shared" si="16"/>
        <v>4136736.111111111</v>
      </c>
      <c r="H47" s="109">
        <f t="shared" si="16"/>
        <v>3994189.8148148144</v>
      </c>
      <c r="I47" s="109">
        <f t="shared" si="16"/>
        <v>3851643.5185185182</v>
      </c>
      <c r="J47" s="109">
        <f t="shared" si="16"/>
        <v>3709097.222222222</v>
      </c>
      <c r="K47" s="109">
        <f t="shared" si="16"/>
        <v>3566550.9259259263</v>
      </c>
      <c r="L47" s="109">
        <f t="shared" si="16"/>
        <v>3424004.6296296301</v>
      </c>
      <c r="M47" s="109">
        <f t="shared" si="16"/>
        <v>3281458.3333333335</v>
      </c>
      <c r="N47" s="109">
        <f t="shared" si="16"/>
        <v>3138912.0370370373</v>
      </c>
      <c r="O47" s="109">
        <f t="shared" si="16"/>
        <v>2996365.7407407411</v>
      </c>
      <c r="P47" s="109">
        <f t="shared" si="16"/>
        <v>2853819.444444445</v>
      </c>
      <c r="Q47" s="109">
        <f t="shared" si="16"/>
        <v>14729348.440972224</v>
      </c>
      <c r="R47" s="109">
        <f t="shared" si="16"/>
        <v>14586481.656250002</v>
      </c>
      <c r="S47" s="109">
        <f t="shared" si="16"/>
        <v>14443614.87152778</v>
      </c>
      <c r="T47" s="109">
        <f t="shared" si="16"/>
        <v>14300748.086805556</v>
      </c>
      <c r="U47" s="109">
        <f t="shared" si="16"/>
        <v>14157881.302083336</v>
      </c>
      <c r="V47" s="109">
        <f t="shared" si="16"/>
        <v>14015014.517361114</v>
      </c>
      <c r="W47" s="109">
        <f t="shared" si="16"/>
        <v>14432423.52701389</v>
      </c>
      <c r="X47" s="109">
        <f t="shared" si="16"/>
        <v>14793749.411666669</v>
      </c>
      <c r="Y47" s="109">
        <f t="shared" si="16"/>
        <v>15155075.296319446</v>
      </c>
      <c r="Z47" s="109">
        <f t="shared" si="16"/>
        <v>15516401.180972224</v>
      </c>
      <c r="AA47" s="109">
        <f t="shared" si="16"/>
        <v>15877727.065624999</v>
      </c>
      <c r="AB47" s="109">
        <f t="shared" si="16"/>
        <v>16239052.950277777</v>
      </c>
      <c r="AC47" s="109">
        <f t="shared" si="16"/>
        <v>17037958.857803419</v>
      </c>
      <c r="AD47" s="109">
        <f t="shared" si="16"/>
        <v>17758010.859079059</v>
      </c>
      <c r="AE47" s="109">
        <f t="shared" si="16"/>
        <v>18478062.860354699</v>
      </c>
      <c r="AF47" s="109">
        <f t="shared" si="16"/>
        <v>19198114.861630343</v>
      </c>
      <c r="AG47" s="109">
        <f t="shared" si="16"/>
        <v>19918166.862905983</v>
      </c>
      <c r="AH47" s="109">
        <f t="shared" si="16"/>
        <v>20638218.864181623</v>
      </c>
      <c r="AI47" s="109">
        <f t="shared" si="16"/>
        <v>22010398.068582267</v>
      </c>
      <c r="AJ47" s="109">
        <f t="shared" si="16"/>
        <v>23312473.366732907</v>
      </c>
      <c r="AK47" s="109">
        <f t="shared" si="16"/>
        <v>24614548.664883547</v>
      </c>
      <c r="AL47" s="109">
        <f t="shared" si="16"/>
        <v>25916623.963034187</v>
      </c>
      <c r="AM47" s="109">
        <f t="shared" si="16"/>
        <v>27218699.261184823</v>
      </c>
      <c r="AN47" s="109">
        <f t="shared" si="16"/>
        <v>28520774.559335463</v>
      </c>
      <c r="AO47" s="109">
        <f t="shared" si="16"/>
        <v>31583877.85619111</v>
      </c>
      <c r="AP47" s="109">
        <f t="shared" si="16"/>
        <v>34427919.434296757</v>
      </c>
      <c r="AQ47" s="109">
        <f t="shared" si="16"/>
        <v>37271961.012402408</v>
      </c>
      <c r="AR47" s="109">
        <f t="shared" si="16"/>
        <v>40116002.590508051</v>
      </c>
      <c r="AS47" s="109">
        <f t="shared" si="16"/>
        <v>42960044.168613695</v>
      </c>
      <c r="AT47" s="109">
        <f t="shared" si="16"/>
        <v>45804085.746719345</v>
      </c>
      <c r="AU47" s="109">
        <f t="shared" si="16"/>
        <v>48648127.324824989</v>
      </c>
      <c r="AV47" s="109">
        <f t="shared" si="16"/>
        <v>51492168.902930632</v>
      </c>
      <c r="AW47" s="109">
        <f t="shared" si="16"/>
        <v>54336210.481036276</v>
      </c>
      <c r="AX47" s="109">
        <f t="shared" si="16"/>
        <v>57180252.059141926</v>
      </c>
      <c r="AY47" s="109">
        <f t="shared" si="16"/>
        <v>60024293.63724757</v>
      </c>
      <c r="AZ47" s="109">
        <f t="shared" si="16"/>
        <v>62868335.215353221</v>
      </c>
      <c r="BA47" s="109">
        <f t="shared" si="16"/>
        <v>67811612.657264844</v>
      </c>
      <c r="BB47" s="109">
        <f t="shared" si="16"/>
        <v>72448224.474176452</v>
      </c>
      <c r="BC47" s="109">
        <f t="shared" si="16"/>
        <v>77084836.291088074</v>
      </c>
      <c r="BD47" s="109">
        <f t="shared" si="16"/>
        <v>81721448.107999682</v>
      </c>
      <c r="BE47" s="109">
        <f t="shared" si="16"/>
        <v>86358059.924911305</v>
      </c>
      <c r="BF47" s="109">
        <f t="shared" si="16"/>
        <v>90994671.741822928</v>
      </c>
      <c r="BG47" s="109">
        <f t="shared" si="16"/>
        <v>95631283.558734566</v>
      </c>
      <c r="BH47" s="109">
        <f t="shared" si="16"/>
        <v>100267895.37564619</v>
      </c>
      <c r="BI47" s="109">
        <f t="shared" si="16"/>
        <v>104904507.19255781</v>
      </c>
      <c r="BJ47" s="109">
        <f t="shared" si="16"/>
        <v>109541119.00946943</v>
      </c>
      <c r="BK47" s="109">
        <f t="shared" si="16"/>
        <v>114177730.82638104</v>
      </c>
      <c r="BL47" s="109">
        <f t="shared" si="16"/>
        <v>118814342.64329267</v>
      </c>
      <c r="BM47" s="109">
        <f t="shared" si="16"/>
        <v>128477917.50786345</v>
      </c>
      <c r="BN47" s="109">
        <f t="shared" si="16"/>
        <v>137580661.12243423</v>
      </c>
      <c r="BO47" s="109">
        <f t="shared" si="16"/>
        <v>146683404.73700503</v>
      </c>
      <c r="BP47" s="109">
        <f t="shared" si="16"/>
        <v>155786148.35157582</v>
      </c>
      <c r="BQ47" s="109">
        <f t="shared" si="16"/>
        <v>164888891.96614659</v>
      </c>
      <c r="BR47" s="109">
        <f t="shared" si="16"/>
        <v>173991635.58071741</v>
      </c>
      <c r="BS47" s="109">
        <f t="shared" si="16"/>
        <v>183094379.19528818</v>
      </c>
      <c r="BT47" s="109">
        <f t="shared" si="16"/>
        <v>192197122.80985901</v>
      </c>
      <c r="BU47" s="109">
        <f t="shared" si="16"/>
        <v>201299866.4244298</v>
      </c>
      <c r="BV47" s="109">
        <f t="shared" si="16"/>
        <v>210402610.03900057</v>
      </c>
      <c r="BW47" s="109">
        <f t="shared" si="16"/>
        <v>219505353.65357137</v>
      </c>
      <c r="BX47" s="109">
        <f t="shared" si="16"/>
        <v>228608097.26814216</v>
      </c>
      <c r="BY47" s="109">
        <f t="shared" si="16"/>
        <v>241553006.87994671</v>
      </c>
      <c r="BZ47" s="109">
        <f t="shared" si="16"/>
        <v>254077293.05425125</v>
      </c>
      <c r="CA47" s="109">
        <f t="shared" si="16"/>
        <v>266601579.22855583</v>
      </c>
      <c r="CB47" s="109">
        <f t="shared" si="16"/>
        <v>279125865.40286034</v>
      </c>
      <c r="CC47" s="109">
        <f t="shared" si="16"/>
        <v>291650151.57716483</v>
      </c>
      <c r="CD47" s="109">
        <f t="shared" si="16"/>
        <v>304174437.75146943</v>
      </c>
      <c r="CE47" s="109">
        <f t="shared" si="16"/>
        <v>316698723.92577398</v>
      </c>
      <c r="CF47" s="109">
        <f t="shared" si="16"/>
        <v>329223010.10007858</v>
      </c>
      <c r="CG47" s="109">
        <f t="shared" si="16"/>
        <v>341747296.27438313</v>
      </c>
      <c r="CH47" s="109">
        <f t="shared" si="16"/>
        <v>354271582.44868767</v>
      </c>
      <c r="CI47" s="109">
        <f t="shared" si="16"/>
        <v>366795868.62299222</v>
      </c>
      <c r="CJ47" s="109">
        <f t="shared" si="16"/>
        <v>379320154.79729676</v>
      </c>
    </row>
    <row r="48" spans="1:88" ht="15.75" customHeight="1">
      <c r="A48" s="61"/>
      <c r="B48" s="61"/>
      <c r="C48" s="61"/>
      <c r="D48" s="61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</row>
    <row r="49" spans="1:88" ht="13">
      <c r="A49" s="61"/>
      <c r="B49" s="110" t="s">
        <v>98</v>
      </c>
      <c r="C49" s="61"/>
      <c r="D49" s="61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</row>
    <row r="50" spans="1:88" ht="13">
      <c r="A50" s="61"/>
      <c r="B50" s="116" t="s">
        <v>61</v>
      </c>
      <c r="C50" s="61"/>
      <c r="D50" s="61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</row>
    <row r="51" spans="1:88" ht="13">
      <c r="A51" s="61"/>
      <c r="B51" s="62" t="s">
        <v>99</v>
      </c>
      <c r="C51" s="61"/>
      <c r="D51" s="61"/>
      <c r="E51" s="27">
        <f>'Model Assumptions'!G114</f>
        <v>4375</v>
      </c>
      <c r="F51" s="27">
        <f>'Model Assumptions'!H114</f>
        <v>4375</v>
      </c>
      <c r="G51" s="27">
        <f>'Model Assumptions'!I114</f>
        <v>4375</v>
      </c>
      <c r="H51" s="27">
        <f>'Model Assumptions'!J114</f>
        <v>4375</v>
      </c>
      <c r="I51" s="27">
        <f>'Model Assumptions'!K114</f>
        <v>4375</v>
      </c>
      <c r="J51" s="27">
        <f>'Model Assumptions'!L114</f>
        <v>4375</v>
      </c>
      <c r="K51" s="27">
        <f>'Model Assumptions'!M114</f>
        <v>4375</v>
      </c>
      <c r="L51" s="27">
        <f>'Model Assumptions'!N114</f>
        <v>4375</v>
      </c>
      <c r="M51" s="27">
        <f>'Model Assumptions'!O114</f>
        <v>4375</v>
      </c>
      <c r="N51" s="27">
        <f>'Model Assumptions'!P114</f>
        <v>4375</v>
      </c>
      <c r="O51" s="27">
        <f>'Model Assumptions'!Q114</f>
        <v>4375</v>
      </c>
      <c r="P51" s="27">
        <f>'Model Assumptions'!R114</f>
        <v>4375</v>
      </c>
      <c r="Q51" s="27">
        <f>'Model Assumptions'!S114</f>
        <v>22770.78125</v>
      </c>
      <c r="R51" s="27">
        <f>'Model Assumptions'!T114</f>
        <v>22770.78125</v>
      </c>
      <c r="S51" s="27">
        <f>'Model Assumptions'!U114</f>
        <v>22770.78125</v>
      </c>
      <c r="T51" s="27">
        <f>'Model Assumptions'!V114</f>
        <v>22770.78125</v>
      </c>
      <c r="U51" s="27">
        <f>'Model Assumptions'!W114</f>
        <v>22770.78125</v>
      </c>
      <c r="V51" s="27">
        <f>'Model Assumptions'!X114</f>
        <v>22770.78125</v>
      </c>
      <c r="W51" s="27">
        <f>'Model Assumptions'!Y114</f>
        <v>78853.90625</v>
      </c>
      <c r="X51" s="27">
        <f>'Model Assumptions'!Z114</f>
        <v>78853.90625</v>
      </c>
      <c r="Y51" s="27">
        <f>'Model Assumptions'!AA114</f>
        <v>78853.90625</v>
      </c>
      <c r="Z51" s="27">
        <f>'Model Assumptions'!AB114</f>
        <v>78853.90625</v>
      </c>
      <c r="AA51" s="27">
        <f>'Model Assumptions'!AC114</f>
        <v>78853.90625</v>
      </c>
      <c r="AB51" s="27">
        <f>'Model Assumptions'!AD114</f>
        <v>78853.90625</v>
      </c>
      <c r="AC51" s="27">
        <f>'Model Assumptions'!AE114</f>
        <v>157707.8125</v>
      </c>
      <c r="AD51" s="27">
        <f>'Model Assumptions'!AF114</f>
        <v>157707.8125</v>
      </c>
      <c r="AE51" s="27">
        <f>'Model Assumptions'!AG114</f>
        <v>157707.8125</v>
      </c>
      <c r="AF51" s="27">
        <f>'Model Assumptions'!AH114</f>
        <v>157707.8125</v>
      </c>
      <c r="AG51" s="27">
        <f>'Model Assumptions'!AI114</f>
        <v>157707.8125</v>
      </c>
      <c r="AH51" s="27">
        <f>'Model Assumptions'!AJ114</f>
        <v>157707.8125</v>
      </c>
      <c r="AI51" s="27">
        <f>'Model Assumptions'!AK114</f>
        <v>227811.71875</v>
      </c>
      <c r="AJ51" s="27">
        <f>'Model Assumptions'!AL114</f>
        <v>227811.71875</v>
      </c>
      <c r="AK51" s="27">
        <f>'Model Assumptions'!AM114</f>
        <v>227811.71875</v>
      </c>
      <c r="AL51" s="27">
        <f>'Model Assumptions'!AN114</f>
        <v>227811.71875</v>
      </c>
      <c r="AM51" s="27">
        <f>'Model Assumptions'!AO114</f>
        <v>227811.71875</v>
      </c>
      <c r="AN51" s="27">
        <f>'Model Assumptions'!AP114</f>
        <v>227811.71875</v>
      </c>
      <c r="AO51" s="27">
        <f>'Model Assumptions'!AQ114</f>
        <v>446873.4375</v>
      </c>
      <c r="AP51" s="27">
        <f>'Model Assumptions'!AR114</f>
        <v>446873.4375</v>
      </c>
      <c r="AQ51" s="27">
        <f>'Model Assumptions'!AS114</f>
        <v>446873.4375</v>
      </c>
      <c r="AR51" s="27">
        <f>'Model Assumptions'!AT114</f>
        <v>446873.4375</v>
      </c>
      <c r="AS51" s="27">
        <f>'Model Assumptions'!AU114</f>
        <v>446873.4375</v>
      </c>
      <c r="AT51" s="27">
        <f>'Model Assumptions'!AV114</f>
        <v>446873.4375</v>
      </c>
      <c r="AU51" s="27">
        <f>'Model Assumptions'!AW114</f>
        <v>446873.4375</v>
      </c>
      <c r="AV51" s="27">
        <f>'Model Assumptions'!AX114</f>
        <v>446873.4375</v>
      </c>
      <c r="AW51" s="27">
        <f>'Model Assumptions'!AY114</f>
        <v>446873.4375</v>
      </c>
      <c r="AX51" s="27">
        <f>'Model Assumptions'!AZ114</f>
        <v>446873.4375</v>
      </c>
      <c r="AY51" s="27">
        <f>'Model Assumptions'!BA114</f>
        <v>446873.4375</v>
      </c>
      <c r="AZ51" s="27">
        <f>'Model Assumptions'!BB114</f>
        <v>446873.4375</v>
      </c>
      <c r="BA51" s="27">
        <f>'Model Assumptions'!BC114</f>
        <v>753539.0625</v>
      </c>
      <c r="BB51" s="27">
        <f>'Model Assumptions'!BD114</f>
        <v>753539.0625</v>
      </c>
      <c r="BC51" s="27">
        <f>'Model Assumptions'!BE114</f>
        <v>753539.0625</v>
      </c>
      <c r="BD51" s="27">
        <f>'Model Assumptions'!BF114</f>
        <v>753539.0625</v>
      </c>
      <c r="BE51" s="27">
        <f>'Model Assumptions'!BG114</f>
        <v>753539.0625</v>
      </c>
      <c r="BF51" s="27">
        <f>'Model Assumptions'!BH114</f>
        <v>753539.0625</v>
      </c>
      <c r="BG51" s="27">
        <f>'Model Assumptions'!BI114</f>
        <v>753539.0625</v>
      </c>
      <c r="BH51" s="27">
        <f>'Model Assumptions'!BJ114</f>
        <v>753539.0625</v>
      </c>
      <c r="BI51" s="27">
        <f>'Model Assumptions'!BK114</f>
        <v>753539.0625</v>
      </c>
      <c r="BJ51" s="27">
        <f>'Model Assumptions'!BL114</f>
        <v>753539.0625</v>
      </c>
      <c r="BK51" s="27">
        <f>'Model Assumptions'!BM114</f>
        <v>753539.0625</v>
      </c>
      <c r="BL51" s="27">
        <f>'Model Assumptions'!BN114</f>
        <v>753539.0625</v>
      </c>
      <c r="BM51" s="27">
        <f>'Model Assumptions'!BO114</f>
        <v>1314370.3125</v>
      </c>
      <c r="BN51" s="27">
        <f>'Model Assumptions'!BP114</f>
        <v>1314370.3125</v>
      </c>
      <c r="BO51" s="27">
        <f>'Model Assumptions'!BQ114</f>
        <v>1314370.3125</v>
      </c>
      <c r="BP51" s="27">
        <f>'Model Assumptions'!BR114</f>
        <v>1314370.3125</v>
      </c>
      <c r="BQ51" s="27">
        <f>'Model Assumptions'!BS114</f>
        <v>1314370.3125</v>
      </c>
      <c r="BR51" s="27">
        <f>'Model Assumptions'!BT114</f>
        <v>1314370.3125</v>
      </c>
      <c r="BS51" s="27">
        <f>'Model Assumptions'!BU114</f>
        <v>1314370.3125</v>
      </c>
      <c r="BT51" s="27">
        <f>'Model Assumptions'!BV114</f>
        <v>1314370.3125</v>
      </c>
      <c r="BU51" s="27">
        <f>'Model Assumptions'!BW114</f>
        <v>1314370.3125</v>
      </c>
      <c r="BV51" s="27">
        <f>'Model Assumptions'!BX114</f>
        <v>1314370.3125</v>
      </c>
      <c r="BW51" s="27">
        <f>'Model Assumptions'!BY114</f>
        <v>1314370.3125</v>
      </c>
      <c r="BX51" s="27">
        <f>'Model Assumptions'!BZ114</f>
        <v>1314370.3125</v>
      </c>
      <c r="BY51" s="27">
        <f>'Model Assumptions'!CA114</f>
        <v>1734993.75</v>
      </c>
      <c r="BZ51" s="27">
        <f>'Model Assumptions'!CB114</f>
        <v>1734993.75</v>
      </c>
      <c r="CA51" s="27">
        <f>'Model Assumptions'!CC114</f>
        <v>1734993.75</v>
      </c>
      <c r="CB51" s="27">
        <f>'Model Assumptions'!CD114</f>
        <v>1734993.75</v>
      </c>
      <c r="CC51" s="27">
        <f>'Model Assumptions'!CE114</f>
        <v>1734993.75</v>
      </c>
      <c r="CD51" s="27">
        <f>'Model Assumptions'!CF114</f>
        <v>1734993.75</v>
      </c>
      <c r="CE51" s="27">
        <f>'Model Assumptions'!CG114</f>
        <v>1734993.75</v>
      </c>
      <c r="CF51" s="27">
        <f>'Model Assumptions'!CH114</f>
        <v>1734993.75</v>
      </c>
      <c r="CG51" s="27">
        <f>'Model Assumptions'!CI114</f>
        <v>1734993.75</v>
      </c>
      <c r="CH51" s="27">
        <f>'Model Assumptions'!CJ114</f>
        <v>1734993.75</v>
      </c>
      <c r="CI51" s="27">
        <f>'Model Assumptions'!CK114</f>
        <v>1734993.75</v>
      </c>
      <c r="CJ51" s="27">
        <f>'Model Assumptions'!CL114</f>
        <v>1734993.75</v>
      </c>
    </row>
    <row r="52" spans="1:88" ht="13">
      <c r="A52" s="61"/>
      <c r="B52" s="117" t="s">
        <v>100</v>
      </c>
      <c r="C52" s="118"/>
      <c r="D52" s="118"/>
      <c r="E52" s="120">
        <f t="shared" ref="E52:CJ52" si="17">SUM(E50:E51)</f>
        <v>4375</v>
      </c>
      <c r="F52" s="120">
        <f t="shared" si="17"/>
        <v>4375</v>
      </c>
      <c r="G52" s="120">
        <f t="shared" si="17"/>
        <v>4375</v>
      </c>
      <c r="H52" s="120">
        <f t="shared" si="17"/>
        <v>4375</v>
      </c>
      <c r="I52" s="120">
        <f t="shared" si="17"/>
        <v>4375</v>
      </c>
      <c r="J52" s="120">
        <f t="shared" si="17"/>
        <v>4375</v>
      </c>
      <c r="K52" s="120">
        <f t="shared" si="17"/>
        <v>4375</v>
      </c>
      <c r="L52" s="120">
        <f t="shared" si="17"/>
        <v>4375</v>
      </c>
      <c r="M52" s="120">
        <f t="shared" si="17"/>
        <v>4375</v>
      </c>
      <c r="N52" s="120">
        <f t="shared" si="17"/>
        <v>4375</v>
      </c>
      <c r="O52" s="120">
        <f t="shared" si="17"/>
        <v>4375</v>
      </c>
      <c r="P52" s="120">
        <f t="shared" si="17"/>
        <v>4375</v>
      </c>
      <c r="Q52" s="120">
        <f t="shared" si="17"/>
        <v>22770.78125</v>
      </c>
      <c r="R52" s="120">
        <f t="shared" si="17"/>
        <v>22770.78125</v>
      </c>
      <c r="S52" s="120">
        <f t="shared" si="17"/>
        <v>22770.78125</v>
      </c>
      <c r="T52" s="120">
        <f t="shared" si="17"/>
        <v>22770.78125</v>
      </c>
      <c r="U52" s="120">
        <f t="shared" si="17"/>
        <v>22770.78125</v>
      </c>
      <c r="V52" s="120">
        <f t="shared" si="17"/>
        <v>22770.78125</v>
      </c>
      <c r="W52" s="120">
        <f t="shared" si="17"/>
        <v>78853.90625</v>
      </c>
      <c r="X52" s="120">
        <f t="shared" si="17"/>
        <v>78853.90625</v>
      </c>
      <c r="Y52" s="120">
        <f t="shared" si="17"/>
        <v>78853.90625</v>
      </c>
      <c r="Z52" s="120">
        <f t="shared" si="17"/>
        <v>78853.90625</v>
      </c>
      <c r="AA52" s="120">
        <f t="shared" si="17"/>
        <v>78853.90625</v>
      </c>
      <c r="AB52" s="120">
        <f t="shared" si="17"/>
        <v>78853.90625</v>
      </c>
      <c r="AC52" s="120">
        <f t="shared" si="17"/>
        <v>157707.8125</v>
      </c>
      <c r="AD52" s="120">
        <f t="shared" si="17"/>
        <v>157707.8125</v>
      </c>
      <c r="AE52" s="120">
        <f t="shared" si="17"/>
        <v>157707.8125</v>
      </c>
      <c r="AF52" s="120">
        <f t="shared" si="17"/>
        <v>157707.8125</v>
      </c>
      <c r="AG52" s="120">
        <f t="shared" si="17"/>
        <v>157707.8125</v>
      </c>
      <c r="AH52" s="120">
        <f t="shared" si="17"/>
        <v>157707.8125</v>
      </c>
      <c r="AI52" s="120">
        <f t="shared" si="17"/>
        <v>227811.71875</v>
      </c>
      <c r="AJ52" s="120">
        <f t="shared" si="17"/>
        <v>227811.71875</v>
      </c>
      <c r="AK52" s="120">
        <f t="shared" si="17"/>
        <v>227811.71875</v>
      </c>
      <c r="AL52" s="120">
        <f t="shared" si="17"/>
        <v>227811.71875</v>
      </c>
      <c r="AM52" s="120">
        <f t="shared" si="17"/>
        <v>227811.71875</v>
      </c>
      <c r="AN52" s="120">
        <f t="shared" si="17"/>
        <v>227811.71875</v>
      </c>
      <c r="AO52" s="120">
        <f t="shared" si="17"/>
        <v>446873.4375</v>
      </c>
      <c r="AP52" s="120">
        <f t="shared" si="17"/>
        <v>446873.4375</v>
      </c>
      <c r="AQ52" s="120">
        <f t="shared" si="17"/>
        <v>446873.4375</v>
      </c>
      <c r="AR52" s="120">
        <f t="shared" si="17"/>
        <v>446873.4375</v>
      </c>
      <c r="AS52" s="120">
        <f t="shared" si="17"/>
        <v>446873.4375</v>
      </c>
      <c r="AT52" s="120">
        <f t="shared" si="17"/>
        <v>446873.4375</v>
      </c>
      <c r="AU52" s="120">
        <f t="shared" si="17"/>
        <v>446873.4375</v>
      </c>
      <c r="AV52" s="120">
        <f t="shared" si="17"/>
        <v>446873.4375</v>
      </c>
      <c r="AW52" s="120">
        <f t="shared" si="17"/>
        <v>446873.4375</v>
      </c>
      <c r="AX52" s="120">
        <f t="shared" si="17"/>
        <v>446873.4375</v>
      </c>
      <c r="AY52" s="120">
        <f t="shared" si="17"/>
        <v>446873.4375</v>
      </c>
      <c r="AZ52" s="120">
        <f t="shared" si="17"/>
        <v>446873.4375</v>
      </c>
      <c r="BA52" s="120">
        <f t="shared" si="17"/>
        <v>753539.0625</v>
      </c>
      <c r="BB52" s="120">
        <f t="shared" si="17"/>
        <v>753539.0625</v>
      </c>
      <c r="BC52" s="120">
        <f t="shared" si="17"/>
        <v>753539.0625</v>
      </c>
      <c r="BD52" s="120">
        <f t="shared" si="17"/>
        <v>753539.0625</v>
      </c>
      <c r="BE52" s="120">
        <f t="shared" si="17"/>
        <v>753539.0625</v>
      </c>
      <c r="BF52" s="120">
        <f t="shared" si="17"/>
        <v>753539.0625</v>
      </c>
      <c r="BG52" s="120">
        <f t="shared" si="17"/>
        <v>753539.0625</v>
      </c>
      <c r="BH52" s="120">
        <f t="shared" si="17"/>
        <v>753539.0625</v>
      </c>
      <c r="BI52" s="120">
        <f t="shared" si="17"/>
        <v>753539.0625</v>
      </c>
      <c r="BJ52" s="120">
        <f t="shared" si="17"/>
        <v>753539.0625</v>
      </c>
      <c r="BK52" s="120">
        <f t="shared" si="17"/>
        <v>753539.0625</v>
      </c>
      <c r="BL52" s="120">
        <f t="shared" si="17"/>
        <v>753539.0625</v>
      </c>
      <c r="BM52" s="120">
        <f t="shared" si="17"/>
        <v>1314370.3125</v>
      </c>
      <c r="BN52" s="120">
        <f t="shared" si="17"/>
        <v>1314370.3125</v>
      </c>
      <c r="BO52" s="120">
        <f t="shared" si="17"/>
        <v>1314370.3125</v>
      </c>
      <c r="BP52" s="120">
        <f t="shared" si="17"/>
        <v>1314370.3125</v>
      </c>
      <c r="BQ52" s="120">
        <f t="shared" si="17"/>
        <v>1314370.3125</v>
      </c>
      <c r="BR52" s="120">
        <f t="shared" si="17"/>
        <v>1314370.3125</v>
      </c>
      <c r="BS52" s="120">
        <f t="shared" si="17"/>
        <v>1314370.3125</v>
      </c>
      <c r="BT52" s="120">
        <f t="shared" si="17"/>
        <v>1314370.3125</v>
      </c>
      <c r="BU52" s="120">
        <f t="shared" si="17"/>
        <v>1314370.3125</v>
      </c>
      <c r="BV52" s="120">
        <f t="shared" si="17"/>
        <v>1314370.3125</v>
      </c>
      <c r="BW52" s="120">
        <f t="shared" si="17"/>
        <v>1314370.3125</v>
      </c>
      <c r="BX52" s="120">
        <f t="shared" si="17"/>
        <v>1314370.3125</v>
      </c>
      <c r="BY52" s="120">
        <f t="shared" si="17"/>
        <v>1734993.75</v>
      </c>
      <c r="BZ52" s="120">
        <f t="shared" si="17"/>
        <v>1734993.75</v>
      </c>
      <c r="CA52" s="120">
        <f t="shared" si="17"/>
        <v>1734993.75</v>
      </c>
      <c r="CB52" s="120">
        <f t="shared" si="17"/>
        <v>1734993.75</v>
      </c>
      <c r="CC52" s="120">
        <f t="shared" si="17"/>
        <v>1734993.75</v>
      </c>
      <c r="CD52" s="120">
        <f t="shared" si="17"/>
        <v>1734993.75</v>
      </c>
      <c r="CE52" s="120">
        <f t="shared" si="17"/>
        <v>1734993.75</v>
      </c>
      <c r="CF52" s="120">
        <f t="shared" si="17"/>
        <v>1734993.75</v>
      </c>
      <c r="CG52" s="120">
        <f t="shared" si="17"/>
        <v>1734993.75</v>
      </c>
      <c r="CH52" s="120">
        <f t="shared" si="17"/>
        <v>1734993.75</v>
      </c>
      <c r="CI52" s="120">
        <f t="shared" si="17"/>
        <v>1734993.75</v>
      </c>
      <c r="CJ52" s="120">
        <f t="shared" si="17"/>
        <v>1734993.75</v>
      </c>
    </row>
    <row r="53" spans="1:88" ht="15.75" customHeight="1">
      <c r="A53" s="61"/>
      <c r="B53" s="61"/>
      <c r="C53" s="61"/>
      <c r="D53" s="61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</row>
    <row r="54" spans="1:88" ht="13">
      <c r="A54" s="61"/>
      <c r="B54" s="116" t="s">
        <v>64</v>
      </c>
      <c r="C54" s="61"/>
      <c r="D54" s="61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</row>
    <row r="55" spans="1:88" ht="13">
      <c r="A55" s="61"/>
      <c r="B55" s="62" t="s">
        <v>101</v>
      </c>
      <c r="C55" s="61"/>
      <c r="D55" s="61">
        <v>60000</v>
      </c>
      <c r="E55" s="27">
        <f>$D$55+'Model Assumptions'!G128</f>
        <v>4560000</v>
      </c>
      <c r="F55" s="27">
        <f>$D$55+'Model Assumptions'!H128</f>
        <v>4560000</v>
      </c>
      <c r="G55" s="27">
        <f>$D$55+'Model Assumptions'!I128</f>
        <v>4560000</v>
      </c>
      <c r="H55" s="27">
        <f>$D$55+'Model Assumptions'!J128</f>
        <v>4560000</v>
      </c>
      <c r="I55" s="27">
        <f>$D$55+'Model Assumptions'!K128</f>
        <v>4560000</v>
      </c>
      <c r="J55" s="27">
        <f>$D$55+'Model Assumptions'!L128</f>
        <v>4560000</v>
      </c>
      <c r="K55" s="27">
        <f>$D$55+'Model Assumptions'!M128</f>
        <v>4560000</v>
      </c>
      <c r="L55" s="27">
        <f>$D$55+'Model Assumptions'!N128</f>
        <v>4560000</v>
      </c>
      <c r="M55" s="27">
        <f>$D$55+'Model Assumptions'!O128</f>
        <v>4560000</v>
      </c>
      <c r="N55" s="27">
        <f>$D$55+'Model Assumptions'!P128</f>
        <v>4560000</v>
      </c>
      <c r="O55" s="27">
        <f>$D$55+'Model Assumptions'!Q128</f>
        <v>4560000</v>
      </c>
      <c r="P55" s="27">
        <f>$D$55+'Model Assumptions'!R128</f>
        <v>4560000</v>
      </c>
      <c r="Q55" s="27">
        <f>$D$55+'Model Assumptions'!S128</f>
        <v>16560000</v>
      </c>
      <c r="R55" s="27">
        <f>$D$55+'Model Assumptions'!T128</f>
        <v>16560000</v>
      </c>
      <c r="S55" s="27">
        <f>$D$55+'Model Assumptions'!U128</f>
        <v>16560000</v>
      </c>
      <c r="T55" s="27">
        <f>$D$55+'Model Assumptions'!V128</f>
        <v>16560000</v>
      </c>
      <c r="U55" s="27">
        <f>$D$55+'Model Assumptions'!W128</f>
        <v>16560000</v>
      </c>
      <c r="V55" s="27">
        <f>$D$55+'Model Assumptions'!X128</f>
        <v>16560000</v>
      </c>
      <c r="W55" s="27">
        <f>$D$55+'Model Assumptions'!Y128</f>
        <v>16560000</v>
      </c>
      <c r="X55" s="27">
        <f>$D$55+'Model Assumptions'!Z128</f>
        <v>16560000</v>
      </c>
      <c r="Y55" s="27">
        <f>$D$55+'Model Assumptions'!AA128</f>
        <v>16560000</v>
      </c>
      <c r="Z55" s="27">
        <f>$D$55+'Model Assumptions'!AB128</f>
        <v>16560000</v>
      </c>
      <c r="AA55" s="27">
        <f>$D$55+'Model Assumptions'!AC128</f>
        <v>16560000</v>
      </c>
      <c r="AB55" s="27">
        <f>$D$55+'Model Assumptions'!AD128</f>
        <v>16560000</v>
      </c>
      <c r="AC55" s="27">
        <f>$D$55+'Model Assumptions'!AE128</f>
        <v>16560000</v>
      </c>
      <c r="AD55" s="27">
        <f>$D$55+'Model Assumptions'!AF128</f>
        <v>16560000</v>
      </c>
      <c r="AE55" s="27">
        <f>$D$55+'Model Assumptions'!AG128</f>
        <v>16560000</v>
      </c>
      <c r="AF55" s="27">
        <f>$D$55+'Model Assumptions'!AH128</f>
        <v>16560000</v>
      </c>
      <c r="AG55" s="27">
        <f>$D$55+'Model Assumptions'!AI128</f>
        <v>16560000</v>
      </c>
      <c r="AH55" s="27">
        <f>$D$55+'Model Assumptions'!AJ128</f>
        <v>16560000</v>
      </c>
      <c r="AI55" s="27">
        <f>$D$55+'Model Assumptions'!AK128</f>
        <v>16560000</v>
      </c>
      <c r="AJ55" s="27">
        <f>$D$55+'Model Assumptions'!AL128</f>
        <v>16560000</v>
      </c>
      <c r="AK55" s="27">
        <f>$D$55+'Model Assumptions'!AM128</f>
        <v>16560000</v>
      </c>
      <c r="AL55" s="27">
        <f>$D$55+'Model Assumptions'!AN128</f>
        <v>16560000</v>
      </c>
      <c r="AM55" s="27">
        <f>$D$55+'Model Assumptions'!AO128</f>
        <v>16560000</v>
      </c>
      <c r="AN55" s="27">
        <f>$D$55+'Model Assumptions'!AP128</f>
        <v>16560000</v>
      </c>
      <c r="AO55" s="27">
        <f>$D$55+'Model Assumptions'!AQ128</f>
        <v>16560000</v>
      </c>
      <c r="AP55" s="27">
        <f>$D$55+'Model Assumptions'!AR128</f>
        <v>16560000</v>
      </c>
      <c r="AQ55" s="27">
        <f>$D$55+'Model Assumptions'!AS128</f>
        <v>16560000</v>
      </c>
      <c r="AR55" s="27">
        <f>$D$55+'Model Assumptions'!AT128</f>
        <v>16560000</v>
      </c>
      <c r="AS55" s="27">
        <f>$D$55+'Model Assumptions'!AU128</f>
        <v>16560000</v>
      </c>
      <c r="AT55" s="27">
        <f>$D$55+'Model Assumptions'!AV128</f>
        <v>16560000</v>
      </c>
      <c r="AU55" s="27">
        <f>$D$55+'Model Assumptions'!AW128</f>
        <v>16560000</v>
      </c>
      <c r="AV55" s="27">
        <f>$D$55+'Model Assumptions'!AX128</f>
        <v>16560000</v>
      </c>
      <c r="AW55" s="27">
        <f>$D$55+'Model Assumptions'!AY128</f>
        <v>16560000</v>
      </c>
      <c r="AX55" s="27">
        <f>$D$55+'Model Assumptions'!AZ128</f>
        <v>16560000</v>
      </c>
      <c r="AY55" s="27">
        <f>$D$55+'Model Assumptions'!BA128</f>
        <v>16560000</v>
      </c>
      <c r="AZ55" s="27">
        <f>$D$55+'Model Assumptions'!BB128</f>
        <v>16560000</v>
      </c>
      <c r="BA55" s="27">
        <f>$D$55+'Model Assumptions'!BC128</f>
        <v>16560000</v>
      </c>
      <c r="BB55" s="27">
        <f>$D$55+'Model Assumptions'!BD128</f>
        <v>16560000</v>
      </c>
      <c r="BC55" s="27">
        <f>$D$55+'Model Assumptions'!BE128</f>
        <v>16560000</v>
      </c>
      <c r="BD55" s="27">
        <f>$D$55+'Model Assumptions'!BF128</f>
        <v>16560000</v>
      </c>
      <c r="BE55" s="27">
        <f>$D$55+'Model Assumptions'!BG128</f>
        <v>16560000</v>
      </c>
      <c r="BF55" s="27">
        <f>$D$55+'Model Assumptions'!BH128</f>
        <v>16560000</v>
      </c>
      <c r="BG55" s="27">
        <f>$D$55+'Model Assumptions'!BI128</f>
        <v>16560000</v>
      </c>
      <c r="BH55" s="27">
        <f>$D$55+'Model Assumptions'!BJ128</f>
        <v>16560000</v>
      </c>
      <c r="BI55" s="27">
        <f>$D$55+'Model Assumptions'!BK128</f>
        <v>16560000</v>
      </c>
      <c r="BJ55" s="27">
        <f>$D$55+'Model Assumptions'!BL128</f>
        <v>16560000</v>
      </c>
      <c r="BK55" s="27">
        <f>$D$55+'Model Assumptions'!BM128</f>
        <v>16560000</v>
      </c>
      <c r="BL55" s="27">
        <f>$D$55+'Model Assumptions'!BN128</f>
        <v>16560000</v>
      </c>
      <c r="BM55" s="27">
        <f>$D$55+'Model Assumptions'!BO128</f>
        <v>16560000</v>
      </c>
      <c r="BN55" s="27">
        <f>$D$55+'Model Assumptions'!BP128</f>
        <v>16560000</v>
      </c>
      <c r="BO55" s="27">
        <f>$D$55+'Model Assumptions'!BQ128</f>
        <v>16560000</v>
      </c>
      <c r="BP55" s="27">
        <f>$D$55+'Model Assumptions'!BR128</f>
        <v>16560000</v>
      </c>
      <c r="BQ55" s="27">
        <f>$D$55+'Model Assumptions'!BS128</f>
        <v>16560000</v>
      </c>
      <c r="BR55" s="27">
        <f>$D$55+'Model Assumptions'!BT128</f>
        <v>16560000</v>
      </c>
      <c r="BS55" s="27">
        <f>$D$55+'Model Assumptions'!BU128</f>
        <v>16560000</v>
      </c>
      <c r="BT55" s="27">
        <f>$D$55+'Model Assumptions'!BV128</f>
        <v>16560000</v>
      </c>
      <c r="BU55" s="27">
        <f>$D$55+'Model Assumptions'!BW128</f>
        <v>16560000</v>
      </c>
      <c r="BV55" s="27">
        <f>$D$55+'Model Assumptions'!BX128</f>
        <v>16560000</v>
      </c>
      <c r="BW55" s="27">
        <f>$D$55+'Model Assumptions'!BY128</f>
        <v>16560000</v>
      </c>
      <c r="BX55" s="27">
        <f>$D$55+'Model Assumptions'!BZ128</f>
        <v>16560000</v>
      </c>
      <c r="BY55" s="27">
        <f>$D$55+'Model Assumptions'!CA128</f>
        <v>16560000</v>
      </c>
      <c r="BZ55" s="27">
        <f>$D$55+'Model Assumptions'!CB128</f>
        <v>16560000</v>
      </c>
      <c r="CA55" s="27">
        <f>$D$55+'Model Assumptions'!CC128</f>
        <v>16560000</v>
      </c>
      <c r="CB55" s="27">
        <f>$D$55+'Model Assumptions'!CD128</f>
        <v>16560000</v>
      </c>
      <c r="CC55" s="27">
        <f>$D$55+'Model Assumptions'!CE128</f>
        <v>16560000</v>
      </c>
      <c r="CD55" s="27">
        <f>$D$55+'Model Assumptions'!CF128</f>
        <v>16560000</v>
      </c>
      <c r="CE55" s="27">
        <f>$D$55+'Model Assumptions'!CG128</f>
        <v>16560000</v>
      </c>
      <c r="CF55" s="27">
        <f>$D$55+'Model Assumptions'!CH128</f>
        <v>16560000</v>
      </c>
      <c r="CG55" s="27">
        <f>$D$55+'Model Assumptions'!CI128</f>
        <v>16560000</v>
      </c>
      <c r="CH55" s="27">
        <f>$D$55+'Model Assumptions'!CJ128</f>
        <v>16560000</v>
      </c>
      <c r="CI55" s="27">
        <f>$D$55+'Model Assumptions'!CK128</f>
        <v>16560000</v>
      </c>
      <c r="CJ55" s="27">
        <f>$D$55+'Model Assumptions'!CL128</f>
        <v>16560000</v>
      </c>
    </row>
    <row r="56" spans="1:88" ht="13">
      <c r="A56" s="61"/>
      <c r="B56" s="62" t="s">
        <v>102</v>
      </c>
      <c r="C56" s="61"/>
      <c r="D56" s="61"/>
      <c r="E56" s="27">
        <f t="shared" ref="E56:CJ56" si="18">E34+D56</f>
        <v>-142546.29629629629</v>
      </c>
      <c r="F56" s="27">
        <f t="shared" si="18"/>
        <v>-285092.59259259258</v>
      </c>
      <c r="G56" s="27">
        <f t="shared" si="18"/>
        <v>-427638.88888888888</v>
      </c>
      <c r="H56" s="27">
        <f t="shared" si="18"/>
        <v>-570185.18518518517</v>
      </c>
      <c r="I56" s="27">
        <f t="shared" si="18"/>
        <v>-712731.48148148146</v>
      </c>
      <c r="J56" s="27">
        <f t="shared" si="18"/>
        <v>-855277.77777777775</v>
      </c>
      <c r="K56" s="27">
        <f t="shared" si="18"/>
        <v>-997824.07407407404</v>
      </c>
      <c r="L56" s="27">
        <f t="shared" si="18"/>
        <v>-1140370.3703703703</v>
      </c>
      <c r="M56" s="27">
        <f t="shared" si="18"/>
        <v>-1282916.6666666665</v>
      </c>
      <c r="N56" s="27">
        <f t="shared" si="18"/>
        <v>-1425462.9629629627</v>
      </c>
      <c r="O56" s="27">
        <f t="shared" si="18"/>
        <v>-1568009.2592592589</v>
      </c>
      <c r="P56" s="27">
        <f t="shared" si="18"/>
        <v>-1710555.555555555</v>
      </c>
      <c r="Q56" s="27">
        <f t="shared" si="18"/>
        <v>-1853422.3402777773</v>
      </c>
      <c r="R56" s="27">
        <f t="shared" si="18"/>
        <v>-1996289.1249999995</v>
      </c>
      <c r="S56" s="27">
        <f t="shared" si="18"/>
        <v>-2139155.9097222215</v>
      </c>
      <c r="T56" s="27">
        <f t="shared" si="18"/>
        <v>-2282022.694444444</v>
      </c>
      <c r="U56" s="27">
        <f t="shared" si="18"/>
        <v>-2424889.479166666</v>
      </c>
      <c r="V56" s="27">
        <f t="shared" si="18"/>
        <v>-2567756.2638888881</v>
      </c>
      <c r="W56" s="27">
        <f t="shared" si="18"/>
        <v>-2206430.3792361105</v>
      </c>
      <c r="X56" s="27">
        <f t="shared" si="18"/>
        <v>-1845104.4945833327</v>
      </c>
      <c r="Y56" s="27">
        <f t="shared" si="18"/>
        <v>-1483778.6099305549</v>
      </c>
      <c r="Z56" s="27">
        <f t="shared" si="18"/>
        <v>-1122452.7252777771</v>
      </c>
      <c r="AA56" s="27">
        <f t="shared" si="18"/>
        <v>-761126.84062499925</v>
      </c>
      <c r="AB56" s="27">
        <f t="shared" si="18"/>
        <v>-399800.95597222151</v>
      </c>
      <c r="AC56" s="27">
        <f t="shared" si="18"/>
        <v>320251.04530341941</v>
      </c>
      <c r="AD56" s="27">
        <f t="shared" si="18"/>
        <v>1040303.0465790604</v>
      </c>
      <c r="AE56" s="27">
        <f t="shared" si="18"/>
        <v>1760355.0478547013</v>
      </c>
      <c r="AF56" s="27">
        <f t="shared" si="18"/>
        <v>2480407.049130342</v>
      </c>
      <c r="AG56" s="27">
        <f t="shared" si="18"/>
        <v>3200459.0504059829</v>
      </c>
      <c r="AH56" s="27">
        <f t="shared" si="18"/>
        <v>3920511.0516816238</v>
      </c>
      <c r="AI56" s="27">
        <f t="shared" si="18"/>
        <v>5222586.3498322647</v>
      </c>
      <c r="AJ56" s="27">
        <f t="shared" si="18"/>
        <v>6524661.6479829056</v>
      </c>
      <c r="AK56" s="27">
        <f t="shared" si="18"/>
        <v>7826736.9461335465</v>
      </c>
      <c r="AL56" s="27">
        <f t="shared" si="18"/>
        <v>9128812.2442841865</v>
      </c>
      <c r="AM56" s="27">
        <f t="shared" si="18"/>
        <v>10430887.542434826</v>
      </c>
      <c r="AN56" s="27">
        <f t="shared" si="18"/>
        <v>11732962.840585466</v>
      </c>
      <c r="AO56" s="27">
        <f t="shared" si="18"/>
        <v>14577004.418691114</v>
      </c>
      <c r="AP56" s="27">
        <f t="shared" si="18"/>
        <v>17421045.996796761</v>
      </c>
      <c r="AQ56" s="27">
        <f t="shared" si="18"/>
        <v>20265087.574902408</v>
      </c>
      <c r="AR56" s="27">
        <f t="shared" si="18"/>
        <v>23109129.153008055</v>
      </c>
      <c r="AS56" s="27">
        <f t="shared" si="18"/>
        <v>25953170.731113702</v>
      </c>
      <c r="AT56" s="27">
        <f t="shared" si="18"/>
        <v>28797212.309219349</v>
      </c>
      <c r="AU56" s="27">
        <f t="shared" si="18"/>
        <v>31641253.887324996</v>
      </c>
      <c r="AV56" s="27">
        <f t="shared" si="18"/>
        <v>34485295.46543064</v>
      </c>
      <c r="AW56" s="27">
        <f t="shared" si="18"/>
        <v>37329337.043536283</v>
      </c>
      <c r="AX56" s="27">
        <f t="shared" si="18"/>
        <v>40173378.621641926</v>
      </c>
      <c r="AY56" s="27">
        <f t="shared" si="18"/>
        <v>43017420.19974757</v>
      </c>
      <c r="AZ56" s="27">
        <f t="shared" si="18"/>
        <v>45861461.777853213</v>
      </c>
      <c r="BA56" s="27">
        <f t="shared" si="18"/>
        <v>50498073.594764829</v>
      </c>
      <c r="BB56" s="27">
        <f t="shared" si="18"/>
        <v>55134685.411676452</v>
      </c>
      <c r="BC56" s="27">
        <f t="shared" si="18"/>
        <v>59771297.228588067</v>
      </c>
      <c r="BD56" s="27">
        <f t="shared" si="18"/>
        <v>64407909.045499682</v>
      </c>
      <c r="BE56" s="27">
        <f t="shared" si="18"/>
        <v>69044520.862411305</v>
      </c>
      <c r="BF56" s="27">
        <f t="shared" si="18"/>
        <v>73681132.679322928</v>
      </c>
      <c r="BG56" s="27">
        <f t="shared" si="18"/>
        <v>78317744.496234551</v>
      </c>
      <c r="BH56" s="27">
        <f t="shared" si="18"/>
        <v>82954356.313146174</v>
      </c>
      <c r="BI56" s="27">
        <f t="shared" si="18"/>
        <v>87590968.130057797</v>
      </c>
      <c r="BJ56" s="27">
        <f t="shared" si="18"/>
        <v>92227579.94696942</v>
      </c>
      <c r="BK56" s="27">
        <f t="shared" si="18"/>
        <v>96864191.763881028</v>
      </c>
      <c r="BL56" s="27">
        <f t="shared" si="18"/>
        <v>101500803.58079265</v>
      </c>
      <c r="BM56" s="27">
        <f t="shared" si="18"/>
        <v>110603547.19536343</v>
      </c>
      <c r="BN56" s="27">
        <f t="shared" si="18"/>
        <v>119706290.80993423</v>
      </c>
      <c r="BO56" s="27">
        <f t="shared" si="18"/>
        <v>128809034.42450501</v>
      </c>
      <c r="BP56" s="27">
        <f t="shared" si="18"/>
        <v>137911778.03907579</v>
      </c>
      <c r="BQ56" s="27">
        <f t="shared" si="18"/>
        <v>147014521.65364659</v>
      </c>
      <c r="BR56" s="27">
        <f t="shared" si="18"/>
        <v>156117265.26821738</v>
      </c>
      <c r="BS56" s="27">
        <f t="shared" si="18"/>
        <v>165220008.88278818</v>
      </c>
      <c r="BT56" s="27">
        <f t="shared" si="18"/>
        <v>174322752.49735898</v>
      </c>
      <c r="BU56" s="27">
        <f t="shared" si="18"/>
        <v>183425496.11192977</v>
      </c>
      <c r="BV56" s="27">
        <f t="shared" si="18"/>
        <v>192528239.72650057</v>
      </c>
      <c r="BW56" s="27">
        <f t="shared" si="18"/>
        <v>201630983.34107137</v>
      </c>
      <c r="BX56" s="27">
        <f t="shared" si="18"/>
        <v>210733726.95564216</v>
      </c>
      <c r="BY56" s="27">
        <f t="shared" si="18"/>
        <v>223258013.12994671</v>
      </c>
      <c r="BZ56" s="27">
        <f t="shared" si="18"/>
        <v>235782299.30425125</v>
      </c>
      <c r="CA56" s="27">
        <f t="shared" si="18"/>
        <v>248306585.4785558</v>
      </c>
      <c r="CB56" s="27">
        <f t="shared" si="18"/>
        <v>260830871.65286034</v>
      </c>
      <c r="CC56" s="27">
        <f t="shared" si="18"/>
        <v>273355157.82716489</v>
      </c>
      <c r="CD56" s="27">
        <f t="shared" si="18"/>
        <v>285879444.00146943</v>
      </c>
      <c r="CE56" s="27">
        <f t="shared" si="18"/>
        <v>298403730.17577398</v>
      </c>
      <c r="CF56" s="27">
        <f t="shared" si="18"/>
        <v>310928016.35007852</v>
      </c>
      <c r="CG56" s="27">
        <f t="shared" si="18"/>
        <v>323452302.52438307</v>
      </c>
      <c r="CH56" s="27">
        <f t="shared" si="18"/>
        <v>335976588.69868761</v>
      </c>
      <c r="CI56" s="27">
        <f t="shared" si="18"/>
        <v>348500874.87299216</v>
      </c>
      <c r="CJ56" s="27">
        <f t="shared" si="18"/>
        <v>361025161.0472967</v>
      </c>
    </row>
    <row r="57" spans="1:88" ht="13">
      <c r="A57" s="61"/>
      <c r="B57" s="117" t="s">
        <v>103</v>
      </c>
      <c r="C57" s="118"/>
      <c r="D57" s="118"/>
      <c r="E57" s="120">
        <f t="shared" ref="E57:CJ57" si="19">SUM(E55:E56)</f>
        <v>4417453.7037037034</v>
      </c>
      <c r="F57" s="120">
        <f t="shared" si="19"/>
        <v>4274907.4074074076</v>
      </c>
      <c r="G57" s="120">
        <f t="shared" si="19"/>
        <v>4132361.111111111</v>
      </c>
      <c r="H57" s="120">
        <f t="shared" si="19"/>
        <v>3989814.8148148148</v>
      </c>
      <c r="I57" s="120">
        <f t="shared" si="19"/>
        <v>3847268.5185185187</v>
      </c>
      <c r="J57" s="120">
        <f t="shared" si="19"/>
        <v>3704722.222222222</v>
      </c>
      <c r="K57" s="120">
        <f t="shared" si="19"/>
        <v>3562175.9259259258</v>
      </c>
      <c r="L57" s="120">
        <f t="shared" si="19"/>
        <v>3419629.6296296297</v>
      </c>
      <c r="M57" s="120">
        <f t="shared" si="19"/>
        <v>3277083.3333333335</v>
      </c>
      <c r="N57" s="120">
        <f t="shared" si="19"/>
        <v>3134537.0370370373</v>
      </c>
      <c r="O57" s="120">
        <f t="shared" si="19"/>
        <v>2991990.7407407411</v>
      </c>
      <c r="P57" s="120">
        <f t="shared" si="19"/>
        <v>2849444.444444445</v>
      </c>
      <c r="Q57" s="120">
        <f t="shared" si="19"/>
        <v>14706577.659722222</v>
      </c>
      <c r="R57" s="120">
        <f t="shared" si="19"/>
        <v>14563710.875</v>
      </c>
      <c r="S57" s="120">
        <f t="shared" si="19"/>
        <v>14420844.090277778</v>
      </c>
      <c r="T57" s="120">
        <f t="shared" si="19"/>
        <v>14277977.305555556</v>
      </c>
      <c r="U57" s="120">
        <f t="shared" si="19"/>
        <v>14135110.520833334</v>
      </c>
      <c r="V57" s="120">
        <f t="shared" si="19"/>
        <v>13992243.736111112</v>
      </c>
      <c r="W57" s="120">
        <f t="shared" si="19"/>
        <v>14353569.62076389</v>
      </c>
      <c r="X57" s="120">
        <f t="shared" si="19"/>
        <v>14714895.505416667</v>
      </c>
      <c r="Y57" s="120">
        <f t="shared" si="19"/>
        <v>15076221.390069446</v>
      </c>
      <c r="Z57" s="120">
        <f t="shared" si="19"/>
        <v>15437547.274722222</v>
      </c>
      <c r="AA57" s="120">
        <f t="shared" si="19"/>
        <v>15798873.159375001</v>
      </c>
      <c r="AB57" s="120">
        <f t="shared" si="19"/>
        <v>16160199.044027779</v>
      </c>
      <c r="AC57" s="120">
        <f t="shared" si="19"/>
        <v>16880251.045303419</v>
      </c>
      <c r="AD57" s="120">
        <f t="shared" si="19"/>
        <v>17600303.046579059</v>
      </c>
      <c r="AE57" s="120">
        <f t="shared" si="19"/>
        <v>18320355.047854703</v>
      </c>
      <c r="AF57" s="120">
        <f t="shared" si="19"/>
        <v>19040407.049130343</v>
      </c>
      <c r="AG57" s="120">
        <f t="shared" si="19"/>
        <v>19760459.050405983</v>
      </c>
      <c r="AH57" s="120">
        <f t="shared" si="19"/>
        <v>20480511.051681623</v>
      </c>
      <c r="AI57" s="120">
        <f t="shared" si="19"/>
        <v>21782586.349832267</v>
      </c>
      <c r="AJ57" s="120">
        <f t="shared" si="19"/>
        <v>23084661.647982907</v>
      </c>
      <c r="AK57" s="120">
        <f t="shared" si="19"/>
        <v>24386736.946133547</v>
      </c>
      <c r="AL57" s="120">
        <f t="shared" si="19"/>
        <v>25688812.244284187</v>
      </c>
      <c r="AM57" s="120">
        <f t="shared" si="19"/>
        <v>26990887.542434826</v>
      </c>
      <c r="AN57" s="120">
        <f t="shared" si="19"/>
        <v>28292962.840585466</v>
      </c>
      <c r="AO57" s="120">
        <f t="shared" si="19"/>
        <v>31137004.418691114</v>
      </c>
      <c r="AP57" s="120">
        <f t="shared" si="19"/>
        <v>33981045.996796757</v>
      </c>
      <c r="AQ57" s="120">
        <f t="shared" si="19"/>
        <v>36825087.574902408</v>
      </c>
      <c r="AR57" s="120">
        <f t="shared" si="19"/>
        <v>39669129.153008059</v>
      </c>
      <c r="AS57" s="120">
        <f t="shared" si="19"/>
        <v>42513170.731113702</v>
      </c>
      <c r="AT57" s="120">
        <f t="shared" si="19"/>
        <v>45357212.309219345</v>
      </c>
      <c r="AU57" s="120">
        <f t="shared" si="19"/>
        <v>48201253.887324996</v>
      </c>
      <c r="AV57" s="120">
        <f t="shared" si="19"/>
        <v>51045295.46543064</v>
      </c>
      <c r="AW57" s="120">
        <f t="shared" si="19"/>
        <v>53889337.043536283</v>
      </c>
      <c r="AX57" s="120">
        <f t="shared" si="19"/>
        <v>56733378.621641926</v>
      </c>
      <c r="AY57" s="120">
        <f t="shared" si="19"/>
        <v>59577420.19974757</v>
      </c>
      <c r="AZ57" s="120">
        <f t="shared" si="19"/>
        <v>62421461.777853213</v>
      </c>
      <c r="BA57" s="120">
        <f t="shared" si="19"/>
        <v>67058073.594764829</v>
      </c>
      <c r="BB57" s="120">
        <f t="shared" si="19"/>
        <v>71694685.411676452</v>
      </c>
      <c r="BC57" s="120">
        <f t="shared" si="19"/>
        <v>76331297.228588074</v>
      </c>
      <c r="BD57" s="120">
        <f t="shared" si="19"/>
        <v>80967909.045499682</v>
      </c>
      <c r="BE57" s="120">
        <f t="shared" si="19"/>
        <v>85604520.862411305</v>
      </c>
      <c r="BF57" s="120">
        <f t="shared" si="19"/>
        <v>90241132.679322928</v>
      </c>
      <c r="BG57" s="120">
        <f t="shared" si="19"/>
        <v>94877744.496234551</v>
      </c>
      <c r="BH57" s="120">
        <f t="shared" si="19"/>
        <v>99514356.313146174</v>
      </c>
      <c r="BI57" s="120">
        <f t="shared" si="19"/>
        <v>104150968.1300578</v>
      </c>
      <c r="BJ57" s="120">
        <f t="shared" si="19"/>
        <v>108787579.94696942</v>
      </c>
      <c r="BK57" s="120">
        <f t="shared" si="19"/>
        <v>113424191.76388103</v>
      </c>
      <c r="BL57" s="120">
        <f t="shared" si="19"/>
        <v>118060803.58079265</v>
      </c>
      <c r="BM57" s="120">
        <f t="shared" si="19"/>
        <v>127163547.19536343</v>
      </c>
      <c r="BN57" s="120">
        <f t="shared" si="19"/>
        <v>136266290.80993423</v>
      </c>
      <c r="BO57" s="120">
        <f t="shared" si="19"/>
        <v>145369034.424505</v>
      </c>
      <c r="BP57" s="120">
        <f t="shared" si="19"/>
        <v>154471778.03907579</v>
      </c>
      <c r="BQ57" s="120">
        <f t="shared" si="19"/>
        <v>163574521.65364659</v>
      </c>
      <c r="BR57" s="120">
        <f t="shared" si="19"/>
        <v>172677265.26821738</v>
      </c>
      <c r="BS57" s="120">
        <f t="shared" si="19"/>
        <v>181780008.88278818</v>
      </c>
      <c r="BT57" s="120">
        <f t="shared" si="19"/>
        <v>190882752.49735898</v>
      </c>
      <c r="BU57" s="120">
        <f t="shared" si="19"/>
        <v>199985496.11192977</v>
      </c>
      <c r="BV57" s="120">
        <f t="shared" si="19"/>
        <v>209088239.72650057</v>
      </c>
      <c r="BW57" s="120">
        <f t="shared" si="19"/>
        <v>218190983.34107137</v>
      </c>
      <c r="BX57" s="120">
        <f t="shared" si="19"/>
        <v>227293726.95564216</v>
      </c>
      <c r="BY57" s="120">
        <f t="shared" si="19"/>
        <v>239818013.12994671</v>
      </c>
      <c r="BZ57" s="120">
        <f t="shared" si="19"/>
        <v>252342299.30425125</v>
      </c>
      <c r="CA57" s="120">
        <f t="shared" si="19"/>
        <v>264866585.4785558</v>
      </c>
      <c r="CB57" s="120">
        <f t="shared" si="19"/>
        <v>277390871.65286034</v>
      </c>
      <c r="CC57" s="120">
        <f t="shared" si="19"/>
        <v>289915157.82716489</v>
      </c>
      <c r="CD57" s="120">
        <f t="shared" si="19"/>
        <v>302439444.00146943</v>
      </c>
      <c r="CE57" s="120">
        <f t="shared" si="19"/>
        <v>314963730.17577398</v>
      </c>
      <c r="CF57" s="120">
        <f t="shared" si="19"/>
        <v>327488016.35007852</v>
      </c>
      <c r="CG57" s="120">
        <f t="shared" si="19"/>
        <v>340012302.52438307</v>
      </c>
      <c r="CH57" s="120">
        <f t="shared" si="19"/>
        <v>352536588.69868761</v>
      </c>
      <c r="CI57" s="120">
        <f t="shared" si="19"/>
        <v>365060874.87299216</v>
      </c>
      <c r="CJ57" s="120">
        <f t="shared" si="19"/>
        <v>377585161.0472967</v>
      </c>
    </row>
    <row r="58" spans="1:88" ht="15.75" customHeight="1">
      <c r="A58" s="61"/>
      <c r="B58" s="61"/>
      <c r="C58" s="61"/>
      <c r="D58" s="61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</row>
    <row r="59" spans="1:88" ht="13">
      <c r="A59" s="61"/>
      <c r="B59" s="107" t="s">
        <v>104</v>
      </c>
      <c r="C59" s="108"/>
      <c r="D59" s="108"/>
      <c r="E59" s="109">
        <f t="shared" ref="E59:CJ59" si="20">E57+E52</f>
        <v>4421828.7037037034</v>
      </c>
      <c r="F59" s="109">
        <f t="shared" si="20"/>
        <v>4279282.4074074076</v>
      </c>
      <c r="G59" s="109">
        <f t="shared" si="20"/>
        <v>4136736.111111111</v>
      </c>
      <c r="H59" s="109">
        <f t="shared" si="20"/>
        <v>3994189.8148148148</v>
      </c>
      <c r="I59" s="109">
        <f t="shared" si="20"/>
        <v>3851643.5185185187</v>
      </c>
      <c r="J59" s="109">
        <f t="shared" si="20"/>
        <v>3709097.222222222</v>
      </c>
      <c r="K59" s="109">
        <f t="shared" si="20"/>
        <v>3566550.9259259258</v>
      </c>
      <c r="L59" s="109">
        <f t="shared" si="20"/>
        <v>3424004.6296296297</v>
      </c>
      <c r="M59" s="109">
        <f t="shared" si="20"/>
        <v>3281458.3333333335</v>
      </c>
      <c r="N59" s="109">
        <f t="shared" si="20"/>
        <v>3138912.0370370373</v>
      </c>
      <c r="O59" s="109">
        <f t="shared" si="20"/>
        <v>2996365.7407407411</v>
      </c>
      <c r="P59" s="109">
        <f t="shared" si="20"/>
        <v>2853819.444444445</v>
      </c>
      <c r="Q59" s="109">
        <f t="shared" si="20"/>
        <v>14729348.440972222</v>
      </c>
      <c r="R59" s="109">
        <f t="shared" si="20"/>
        <v>14586481.65625</v>
      </c>
      <c r="S59" s="109">
        <f t="shared" si="20"/>
        <v>14443614.871527778</v>
      </c>
      <c r="T59" s="109">
        <f t="shared" si="20"/>
        <v>14300748.086805556</v>
      </c>
      <c r="U59" s="109">
        <f t="shared" si="20"/>
        <v>14157881.302083334</v>
      </c>
      <c r="V59" s="109">
        <f t="shared" si="20"/>
        <v>14015014.517361112</v>
      </c>
      <c r="W59" s="109">
        <f t="shared" si="20"/>
        <v>14432423.52701389</v>
      </c>
      <c r="X59" s="109">
        <f t="shared" si="20"/>
        <v>14793749.411666667</v>
      </c>
      <c r="Y59" s="109">
        <f t="shared" si="20"/>
        <v>15155075.296319446</v>
      </c>
      <c r="Z59" s="109">
        <f t="shared" si="20"/>
        <v>15516401.180972222</v>
      </c>
      <c r="AA59" s="109">
        <f t="shared" si="20"/>
        <v>15877727.065625001</v>
      </c>
      <c r="AB59" s="109">
        <f t="shared" si="20"/>
        <v>16239052.950277779</v>
      </c>
      <c r="AC59" s="109">
        <f t="shared" si="20"/>
        <v>17037958.857803419</v>
      </c>
      <c r="AD59" s="109">
        <f t="shared" si="20"/>
        <v>17758010.859079059</v>
      </c>
      <c r="AE59" s="109">
        <f t="shared" si="20"/>
        <v>18478062.860354703</v>
      </c>
      <c r="AF59" s="109">
        <f t="shared" si="20"/>
        <v>19198114.861630343</v>
      </c>
      <c r="AG59" s="109">
        <f t="shared" si="20"/>
        <v>19918166.862905983</v>
      </c>
      <c r="AH59" s="109">
        <f t="shared" si="20"/>
        <v>20638218.864181623</v>
      </c>
      <c r="AI59" s="109">
        <f t="shared" si="20"/>
        <v>22010398.068582267</v>
      </c>
      <c r="AJ59" s="109">
        <f t="shared" si="20"/>
        <v>23312473.366732907</v>
      </c>
      <c r="AK59" s="109">
        <f t="shared" si="20"/>
        <v>24614548.664883547</v>
      </c>
      <c r="AL59" s="109">
        <f t="shared" si="20"/>
        <v>25916623.963034187</v>
      </c>
      <c r="AM59" s="109">
        <f t="shared" si="20"/>
        <v>27218699.261184826</v>
      </c>
      <c r="AN59" s="109">
        <f t="shared" si="20"/>
        <v>28520774.559335466</v>
      </c>
      <c r="AO59" s="109">
        <f t="shared" si="20"/>
        <v>31583877.856191114</v>
      </c>
      <c r="AP59" s="109">
        <f t="shared" si="20"/>
        <v>34427919.434296757</v>
      </c>
      <c r="AQ59" s="109">
        <f t="shared" si="20"/>
        <v>37271961.012402408</v>
      </c>
      <c r="AR59" s="109">
        <f t="shared" si="20"/>
        <v>40116002.590508059</v>
      </c>
      <c r="AS59" s="109">
        <f t="shared" si="20"/>
        <v>42960044.168613702</v>
      </c>
      <c r="AT59" s="109">
        <f t="shared" si="20"/>
        <v>45804085.746719345</v>
      </c>
      <c r="AU59" s="109">
        <f t="shared" si="20"/>
        <v>48648127.324824996</v>
      </c>
      <c r="AV59" s="109">
        <f t="shared" si="20"/>
        <v>51492168.90293064</v>
      </c>
      <c r="AW59" s="109">
        <f t="shared" si="20"/>
        <v>54336210.481036283</v>
      </c>
      <c r="AX59" s="109">
        <f t="shared" si="20"/>
        <v>57180252.059141926</v>
      </c>
      <c r="AY59" s="109">
        <f t="shared" si="20"/>
        <v>60024293.63724757</v>
      </c>
      <c r="AZ59" s="109">
        <f t="shared" si="20"/>
        <v>62868335.215353213</v>
      </c>
      <c r="BA59" s="109">
        <f t="shared" si="20"/>
        <v>67811612.657264829</v>
      </c>
      <c r="BB59" s="109">
        <f t="shared" si="20"/>
        <v>72448224.474176452</v>
      </c>
      <c r="BC59" s="109">
        <f t="shared" si="20"/>
        <v>77084836.291088074</v>
      </c>
      <c r="BD59" s="109">
        <f t="shared" si="20"/>
        <v>81721448.107999682</v>
      </c>
      <c r="BE59" s="109">
        <f t="shared" si="20"/>
        <v>86358059.924911305</v>
      </c>
      <c r="BF59" s="109">
        <f t="shared" si="20"/>
        <v>90994671.741822928</v>
      </c>
      <c r="BG59" s="109">
        <f t="shared" si="20"/>
        <v>95631283.558734551</v>
      </c>
      <c r="BH59" s="109">
        <f t="shared" si="20"/>
        <v>100267895.37564617</v>
      </c>
      <c r="BI59" s="109">
        <f t="shared" si="20"/>
        <v>104904507.1925578</v>
      </c>
      <c r="BJ59" s="109">
        <f t="shared" si="20"/>
        <v>109541119.00946942</v>
      </c>
      <c r="BK59" s="109">
        <f t="shared" si="20"/>
        <v>114177730.82638103</v>
      </c>
      <c r="BL59" s="109">
        <f t="shared" si="20"/>
        <v>118814342.64329265</v>
      </c>
      <c r="BM59" s="109">
        <f t="shared" si="20"/>
        <v>128477917.50786343</v>
      </c>
      <c r="BN59" s="109">
        <f t="shared" si="20"/>
        <v>137580661.12243423</v>
      </c>
      <c r="BO59" s="109">
        <f t="shared" si="20"/>
        <v>146683404.737005</v>
      </c>
      <c r="BP59" s="109">
        <f t="shared" si="20"/>
        <v>155786148.35157579</v>
      </c>
      <c r="BQ59" s="109">
        <f t="shared" si="20"/>
        <v>164888891.96614659</v>
      </c>
      <c r="BR59" s="109">
        <f t="shared" si="20"/>
        <v>173991635.58071738</v>
      </c>
      <c r="BS59" s="109">
        <f t="shared" si="20"/>
        <v>183094379.19528818</v>
      </c>
      <c r="BT59" s="109">
        <f t="shared" si="20"/>
        <v>192197122.80985898</v>
      </c>
      <c r="BU59" s="109">
        <f t="shared" si="20"/>
        <v>201299866.42442977</v>
      </c>
      <c r="BV59" s="109">
        <f t="shared" si="20"/>
        <v>210402610.03900057</v>
      </c>
      <c r="BW59" s="109">
        <f t="shared" si="20"/>
        <v>219505353.65357137</v>
      </c>
      <c r="BX59" s="109">
        <f t="shared" si="20"/>
        <v>228608097.26814216</v>
      </c>
      <c r="BY59" s="109">
        <f t="shared" si="20"/>
        <v>241553006.87994671</v>
      </c>
      <c r="BZ59" s="109">
        <f t="shared" si="20"/>
        <v>254077293.05425125</v>
      </c>
      <c r="CA59" s="109">
        <f t="shared" si="20"/>
        <v>266601579.2285558</v>
      </c>
      <c r="CB59" s="109">
        <f t="shared" si="20"/>
        <v>279125865.40286034</v>
      </c>
      <c r="CC59" s="109">
        <f t="shared" si="20"/>
        <v>291650151.57716489</v>
      </c>
      <c r="CD59" s="109">
        <f t="shared" si="20"/>
        <v>304174437.75146943</v>
      </c>
      <c r="CE59" s="109">
        <f t="shared" si="20"/>
        <v>316698723.92577398</v>
      </c>
      <c r="CF59" s="109">
        <f t="shared" si="20"/>
        <v>329223010.10007852</v>
      </c>
      <c r="CG59" s="109">
        <f t="shared" si="20"/>
        <v>341747296.27438307</v>
      </c>
      <c r="CH59" s="109">
        <f t="shared" si="20"/>
        <v>354271582.44868761</v>
      </c>
      <c r="CI59" s="109">
        <f t="shared" si="20"/>
        <v>366795868.62299216</v>
      </c>
      <c r="CJ59" s="109">
        <f t="shared" si="20"/>
        <v>379320154.7972967</v>
      </c>
    </row>
    <row r="60" spans="1:88" ht="13">
      <c r="A60" s="12"/>
      <c r="B60" s="12"/>
      <c r="C60" s="12"/>
      <c r="D60" s="12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>
        <f>Q47-Q59</f>
        <v>0</v>
      </c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</row>
    <row r="61" spans="1:88" ht="13">
      <c r="A61" s="12"/>
      <c r="B61" s="121" t="s">
        <v>105</v>
      </c>
      <c r="C61" s="12"/>
      <c r="D61" s="12"/>
      <c r="E61" s="122" t="str">
        <f t="shared" ref="E61:CJ61" si="21">IF(ABS(E59-E47)&gt;0.001,"ERROR","OK")</f>
        <v>OK</v>
      </c>
      <c r="F61" s="122" t="str">
        <f t="shared" si="21"/>
        <v>OK</v>
      </c>
      <c r="G61" s="122" t="str">
        <f t="shared" si="21"/>
        <v>OK</v>
      </c>
      <c r="H61" s="122" t="str">
        <f t="shared" si="21"/>
        <v>OK</v>
      </c>
      <c r="I61" s="122" t="str">
        <f t="shared" si="21"/>
        <v>OK</v>
      </c>
      <c r="J61" s="122" t="str">
        <f t="shared" si="21"/>
        <v>OK</v>
      </c>
      <c r="K61" s="122" t="str">
        <f t="shared" si="21"/>
        <v>OK</v>
      </c>
      <c r="L61" s="122" t="str">
        <f t="shared" si="21"/>
        <v>OK</v>
      </c>
      <c r="M61" s="122" t="str">
        <f t="shared" si="21"/>
        <v>OK</v>
      </c>
      <c r="N61" s="122" t="str">
        <f t="shared" si="21"/>
        <v>OK</v>
      </c>
      <c r="O61" s="122" t="str">
        <f t="shared" si="21"/>
        <v>OK</v>
      </c>
      <c r="P61" s="122" t="str">
        <f>IF(ABS(P59-P47)&gt;0.001,"ERROR","OK")</f>
        <v>OK</v>
      </c>
      <c r="Q61" s="122" t="str">
        <f t="shared" si="21"/>
        <v>OK</v>
      </c>
      <c r="R61" s="122" t="str">
        <f t="shared" si="21"/>
        <v>OK</v>
      </c>
      <c r="S61" s="122" t="str">
        <f t="shared" si="21"/>
        <v>OK</v>
      </c>
      <c r="T61" s="122" t="str">
        <f t="shared" si="21"/>
        <v>OK</v>
      </c>
      <c r="U61" s="122" t="str">
        <f t="shared" si="21"/>
        <v>OK</v>
      </c>
      <c r="V61" s="122" t="str">
        <f t="shared" si="21"/>
        <v>OK</v>
      </c>
      <c r="W61" s="122" t="str">
        <f t="shared" si="21"/>
        <v>OK</v>
      </c>
      <c r="X61" s="122" t="str">
        <f t="shared" si="21"/>
        <v>OK</v>
      </c>
      <c r="Y61" s="122" t="str">
        <f t="shared" si="21"/>
        <v>OK</v>
      </c>
      <c r="Z61" s="122" t="str">
        <f t="shared" si="21"/>
        <v>OK</v>
      </c>
      <c r="AA61" s="122" t="str">
        <f t="shared" si="21"/>
        <v>OK</v>
      </c>
      <c r="AB61" s="122" t="str">
        <f t="shared" si="21"/>
        <v>OK</v>
      </c>
      <c r="AC61" s="122" t="str">
        <f t="shared" si="21"/>
        <v>OK</v>
      </c>
      <c r="AD61" s="122" t="str">
        <f t="shared" si="21"/>
        <v>OK</v>
      </c>
      <c r="AE61" s="122" t="str">
        <f t="shared" si="21"/>
        <v>OK</v>
      </c>
      <c r="AF61" s="122" t="str">
        <f t="shared" si="21"/>
        <v>OK</v>
      </c>
      <c r="AG61" s="122" t="str">
        <f t="shared" si="21"/>
        <v>OK</v>
      </c>
      <c r="AH61" s="122" t="str">
        <f t="shared" si="21"/>
        <v>OK</v>
      </c>
      <c r="AI61" s="122" t="str">
        <f t="shared" si="21"/>
        <v>OK</v>
      </c>
      <c r="AJ61" s="122" t="str">
        <f t="shared" si="21"/>
        <v>OK</v>
      </c>
      <c r="AK61" s="122" t="str">
        <f t="shared" si="21"/>
        <v>OK</v>
      </c>
      <c r="AL61" s="122" t="str">
        <f t="shared" si="21"/>
        <v>OK</v>
      </c>
      <c r="AM61" s="122" t="str">
        <f t="shared" si="21"/>
        <v>OK</v>
      </c>
      <c r="AN61" s="122" t="str">
        <f t="shared" si="21"/>
        <v>OK</v>
      </c>
      <c r="AO61" s="122" t="str">
        <f t="shared" si="21"/>
        <v>OK</v>
      </c>
      <c r="AP61" s="122" t="str">
        <f t="shared" si="21"/>
        <v>OK</v>
      </c>
      <c r="AQ61" s="122" t="str">
        <f t="shared" si="21"/>
        <v>OK</v>
      </c>
      <c r="AR61" s="122" t="str">
        <f t="shared" si="21"/>
        <v>OK</v>
      </c>
      <c r="AS61" s="122" t="str">
        <f t="shared" si="21"/>
        <v>OK</v>
      </c>
      <c r="AT61" s="122" t="str">
        <f t="shared" si="21"/>
        <v>OK</v>
      </c>
      <c r="AU61" s="122" t="str">
        <f t="shared" si="21"/>
        <v>OK</v>
      </c>
      <c r="AV61" s="122" t="str">
        <f t="shared" si="21"/>
        <v>OK</v>
      </c>
      <c r="AW61" s="122" t="str">
        <f t="shared" si="21"/>
        <v>OK</v>
      </c>
      <c r="AX61" s="122" t="str">
        <f t="shared" si="21"/>
        <v>OK</v>
      </c>
      <c r="AY61" s="122" t="str">
        <f t="shared" si="21"/>
        <v>OK</v>
      </c>
      <c r="AZ61" s="122" t="str">
        <f t="shared" si="21"/>
        <v>OK</v>
      </c>
      <c r="BA61" s="122" t="str">
        <f t="shared" si="21"/>
        <v>OK</v>
      </c>
      <c r="BB61" s="122" t="str">
        <f t="shared" si="21"/>
        <v>OK</v>
      </c>
      <c r="BC61" s="122" t="str">
        <f t="shared" si="21"/>
        <v>OK</v>
      </c>
      <c r="BD61" s="122" t="str">
        <f t="shared" si="21"/>
        <v>OK</v>
      </c>
      <c r="BE61" s="122" t="str">
        <f t="shared" si="21"/>
        <v>OK</v>
      </c>
      <c r="BF61" s="122" t="str">
        <f t="shared" si="21"/>
        <v>OK</v>
      </c>
      <c r="BG61" s="122" t="str">
        <f t="shared" si="21"/>
        <v>OK</v>
      </c>
      <c r="BH61" s="122" t="str">
        <f t="shared" si="21"/>
        <v>OK</v>
      </c>
      <c r="BI61" s="122" t="str">
        <f t="shared" si="21"/>
        <v>OK</v>
      </c>
      <c r="BJ61" s="122" t="str">
        <f t="shared" si="21"/>
        <v>OK</v>
      </c>
      <c r="BK61" s="122" t="str">
        <f t="shared" si="21"/>
        <v>OK</v>
      </c>
      <c r="BL61" s="122" t="str">
        <f t="shared" si="21"/>
        <v>OK</v>
      </c>
      <c r="BM61" s="122" t="str">
        <f t="shared" si="21"/>
        <v>OK</v>
      </c>
      <c r="BN61" s="122" t="str">
        <f t="shared" si="21"/>
        <v>OK</v>
      </c>
      <c r="BO61" s="122" t="str">
        <f t="shared" si="21"/>
        <v>OK</v>
      </c>
      <c r="BP61" s="122" t="str">
        <f t="shared" si="21"/>
        <v>OK</v>
      </c>
      <c r="BQ61" s="122" t="str">
        <f t="shared" si="21"/>
        <v>OK</v>
      </c>
      <c r="BR61" s="122" t="str">
        <f t="shared" si="21"/>
        <v>OK</v>
      </c>
      <c r="BS61" s="122" t="str">
        <f t="shared" si="21"/>
        <v>OK</v>
      </c>
      <c r="BT61" s="122" t="str">
        <f t="shared" si="21"/>
        <v>OK</v>
      </c>
      <c r="BU61" s="122" t="str">
        <f t="shared" si="21"/>
        <v>OK</v>
      </c>
      <c r="BV61" s="122" t="str">
        <f t="shared" si="21"/>
        <v>OK</v>
      </c>
      <c r="BW61" s="122" t="str">
        <f t="shared" si="21"/>
        <v>OK</v>
      </c>
      <c r="BX61" s="122" t="str">
        <f t="shared" si="21"/>
        <v>OK</v>
      </c>
      <c r="BY61" s="122" t="str">
        <f t="shared" si="21"/>
        <v>OK</v>
      </c>
      <c r="BZ61" s="122" t="str">
        <f t="shared" si="21"/>
        <v>OK</v>
      </c>
      <c r="CA61" s="122" t="str">
        <f t="shared" si="21"/>
        <v>OK</v>
      </c>
      <c r="CB61" s="122" t="str">
        <f t="shared" si="21"/>
        <v>OK</v>
      </c>
      <c r="CC61" s="122" t="str">
        <f t="shared" si="21"/>
        <v>OK</v>
      </c>
      <c r="CD61" s="122" t="str">
        <f t="shared" si="21"/>
        <v>OK</v>
      </c>
      <c r="CE61" s="122" t="str">
        <f t="shared" si="21"/>
        <v>OK</v>
      </c>
      <c r="CF61" s="122" t="str">
        <f t="shared" si="21"/>
        <v>OK</v>
      </c>
      <c r="CG61" s="122" t="str">
        <f t="shared" si="21"/>
        <v>OK</v>
      </c>
      <c r="CH61" s="122" t="str">
        <f t="shared" si="21"/>
        <v>OK</v>
      </c>
      <c r="CI61" s="122" t="str">
        <f t="shared" si="21"/>
        <v>OK</v>
      </c>
      <c r="CJ61" s="122" t="str">
        <f t="shared" si="21"/>
        <v>OK</v>
      </c>
    </row>
    <row r="62" spans="1:88" ht="13">
      <c r="B62" s="12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3"/>
      <c r="BN62" s="103"/>
      <c r="BO62" s="103"/>
      <c r="BP62" s="103"/>
      <c r="BQ62" s="103"/>
      <c r="BR62" s="103"/>
      <c r="BS62" s="103"/>
      <c r="BT62" s="103"/>
      <c r="BU62" s="103"/>
      <c r="BV62" s="103"/>
      <c r="BW62" s="103"/>
      <c r="BX62" s="103"/>
      <c r="BY62" s="103"/>
      <c r="BZ62" s="103"/>
      <c r="CA62" s="103"/>
      <c r="CB62" s="103"/>
      <c r="CC62" s="103"/>
      <c r="CD62" s="103"/>
      <c r="CE62" s="103"/>
      <c r="CF62" s="103"/>
      <c r="CG62" s="103"/>
      <c r="CH62" s="103"/>
      <c r="CI62" s="103"/>
      <c r="CJ62" s="103"/>
    </row>
    <row r="63" spans="1:88" ht="17">
      <c r="A63" s="12"/>
      <c r="B63" s="29" t="s">
        <v>106</v>
      </c>
      <c r="C63" s="56"/>
      <c r="D63" s="56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115"/>
      <c r="AT63" s="115"/>
      <c r="AU63" s="115"/>
      <c r="AV63" s="115"/>
      <c r="AW63" s="115"/>
      <c r="AX63" s="115"/>
      <c r="AY63" s="115"/>
      <c r="AZ63" s="115"/>
      <c r="BA63" s="115"/>
      <c r="BB63" s="115"/>
      <c r="BC63" s="115"/>
      <c r="BD63" s="115"/>
      <c r="BE63" s="115"/>
      <c r="BF63" s="115"/>
      <c r="BG63" s="115"/>
      <c r="BH63" s="115"/>
      <c r="BI63" s="115"/>
      <c r="BJ63" s="115"/>
      <c r="BK63" s="115"/>
      <c r="BL63" s="115"/>
      <c r="BM63" s="115"/>
      <c r="BN63" s="115"/>
      <c r="BO63" s="115"/>
      <c r="BP63" s="115"/>
      <c r="BQ63" s="115"/>
      <c r="BR63" s="115"/>
      <c r="BS63" s="115"/>
      <c r="BT63" s="115"/>
      <c r="BU63" s="115"/>
      <c r="BV63" s="115"/>
      <c r="BW63" s="115"/>
      <c r="BX63" s="115"/>
      <c r="BY63" s="115"/>
      <c r="BZ63" s="115"/>
      <c r="CA63" s="115"/>
      <c r="CB63" s="115"/>
      <c r="CC63" s="115"/>
      <c r="CD63" s="115"/>
      <c r="CE63" s="115"/>
      <c r="CF63" s="115"/>
      <c r="CG63" s="115"/>
      <c r="CH63" s="115"/>
      <c r="CI63" s="115"/>
      <c r="CJ63" s="115"/>
    </row>
    <row r="64" spans="1:88" ht="13">
      <c r="A64" s="12"/>
      <c r="B64" s="12"/>
      <c r="C64" s="12"/>
      <c r="D64" s="12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5"/>
      <c r="BY64" s="55"/>
      <c r="BZ64" s="55"/>
      <c r="CA64" s="55"/>
      <c r="CB64" s="55"/>
      <c r="CC64" s="55"/>
      <c r="CD64" s="55"/>
      <c r="CE64" s="55"/>
      <c r="CF64" s="55"/>
      <c r="CG64" s="55"/>
      <c r="CH64" s="55"/>
      <c r="CI64" s="55"/>
      <c r="CJ64" s="55"/>
    </row>
    <row r="65" spans="1:88" ht="13">
      <c r="A65" s="61"/>
      <c r="B65" s="110" t="s">
        <v>107</v>
      </c>
      <c r="C65" s="61"/>
      <c r="D65" s="61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</row>
    <row r="66" spans="1:88" ht="13">
      <c r="A66" s="61"/>
      <c r="B66" s="62" t="s">
        <v>90</v>
      </c>
      <c r="C66" s="61"/>
      <c r="D66" s="61"/>
      <c r="E66" s="27">
        <f t="shared" ref="E66:CJ66" si="22">E56-D56</f>
        <v>-142546.29629629629</v>
      </c>
      <c r="F66" s="27">
        <f t="shared" si="22"/>
        <v>-142546.29629629629</v>
      </c>
      <c r="G66" s="27">
        <f t="shared" si="22"/>
        <v>-142546.29629629629</v>
      </c>
      <c r="H66" s="27">
        <f t="shared" si="22"/>
        <v>-142546.29629629629</v>
      </c>
      <c r="I66" s="27">
        <f t="shared" si="22"/>
        <v>-142546.29629629629</v>
      </c>
      <c r="J66" s="27">
        <f t="shared" si="22"/>
        <v>-142546.29629629629</v>
      </c>
      <c r="K66" s="27">
        <f t="shared" si="22"/>
        <v>-142546.29629629629</v>
      </c>
      <c r="L66" s="27">
        <f t="shared" si="22"/>
        <v>-142546.29629629629</v>
      </c>
      <c r="M66" s="27">
        <f t="shared" si="22"/>
        <v>-142546.29629629618</v>
      </c>
      <c r="N66" s="27">
        <f t="shared" si="22"/>
        <v>-142546.29629629618</v>
      </c>
      <c r="O66" s="27">
        <f t="shared" si="22"/>
        <v>-142546.29629629618</v>
      </c>
      <c r="P66" s="27">
        <f t="shared" si="22"/>
        <v>-142546.29629629618</v>
      </c>
      <c r="Q66" s="27">
        <f t="shared" si="22"/>
        <v>-142866.78472222225</v>
      </c>
      <c r="R66" s="27">
        <f t="shared" si="22"/>
        <v>-142866.78472222225</v>
      </c>
      <c r="S66" s="27">
        <f t="shared" si="22"/>
        <v>-142866.78472222202</v>
      </c>
      <c r="T66" s="27">
        <f t="shared" si="22"/>
        <v>-142866.78472222248</v>
      </c>
      <c r="U66" s="27">
        <f t="shared" si="22"/>
        <v>-142866.78472222202</v>
      </c>
      <c r="V66" s="27">
        <f t="shared" si="22"/>
        <v>-142866.78472222202</v>
      </c>
      <c r="W66" s="27">
        <f t="shared" si="22"/>
        <v>361325.88465277757</v>
      </c>
      <c r="X66" s="27">
        <f t="shared" si="22"/>
        <v>361325.88465277781</v>
      </c>
      <c r="Y66" s="27">
        <f t="shared" si="22"/>
        <v>361325.88465277781</v>
      </c>
      <c r="Z66" s="27">
        <f t="shared" si="22"/>
        <v>361325.88465277781</v>
      </c>
      <c r="AA66" s="27">
        <f t="shared" si="22"/>
        <v>361325.88465277781</v>
      </c>
      <c r="AB66" s="27">
        <f t="shared" si="22"/>
        <v>361325.88465277775</v>
      </c>
      <c r="AC66" s="27">
        <f t="shared" si="22"/>
        <v>720052.00127564091</v>
      </c>
      <c r="AD66" s="27">
        <f t="shared" si="22"/>
        <v>720052.00127564091</v>
      </c>
      <c r="AE66" s="27">
        <f t="shared" si="22"/>
        <v>720052.00127564091</v>
      </c>
      <c r="AF66" s="27">
        <f t="shared" si="22"/>
        <v>720052.00127564068</v>
      </c>
      <c r="AG66" s="27">
        <f t="shared" si="22"/>
        <v>720052.00127564091</v>
      </c>
      <c r="AH66" s="27">
        <f t="shared" si="22"/>
        <v>720052.00127564091</v>
      </c>
      <c r="AI66" s="27">
        <f t="shared" si="22"/>
        <v>1302075.2981506409</v>
      </c>
      <c r="AJ66" s="27">
        <f t="shared" si="22"/>
        <v>1302075.2981506409</v>
      </c>
      <c r="AK66" s="27">
        <f t="shared" si="22"/>
        <v>1302075.2981506409</v>
      </c>
      <c r="AL66" s="27">
        <f t="shared" si="22"/>
        <v>1302075.29815064</v>
      </c>
      <c r="AM66" s="27">
        <f t="shared" si="22"/>
        <v>1302075.29815064</v>
      </c>
      <c r="AN66" s="27">
        <f t="shared" si="22"/>
        <v>1302075.29815064</v>
      </c>
      <c r="AO66" s="27">
        <f t="shared" si="22"/>
        <v>2844041.5781056471</v>
      </c>
      <c r="AP66" s="27">
        <f t="shared" si="22"/>
        <v>2844041.5781056471</v>
      </c>
      <c r="AQ66" s="27">
        <f t="shared" si="22"/>
        <v>2844041.5781056471</v>
      </c>
      <c r="AR66" s="27">
        <f t="shared" si="22"/>
        <v>2844041.5781056471</v>
      </c>
      <c r="AS66" s="27">
        <f t="shared" si="22"/>
        <v>2844041.5781056471</v>
      </c>
      <c r="AT66" s="27">
        <f t="shared" si="22"/>
        <v>2844041.5781056471</v>
      </c>
      <c r="AU66" s="27">
        <f t="shared" si="22"/>
        <v>2844041.5781056471</v>
      </c>
      <c r="AV66" s="27">
        <f t="shared" si="22"/>
        <v>2844041.5781056434</v>
      </c>
      <c r="AW66" s="27">
        <f t="shared" si="22"/>
        <v>2844041.5781056434</v>
      </c>
      <c r="AX66" s="27">
        <f t="shared" si="22"/>
        <v>2844041.5781056434</v>
      </c>
      <c r="AY66" s="27">
        <f t="shared" si="22"/>
        <v>2844041.5781056434</v>
      </c>
      <c r="AZ66" s="27">
        <f t="shared" si="22"/>
        <v>2844041.5781056434</v>
      </c>
      <c r="BA66" s="27">
        <f t="shared" si="22"/>
        <v>4636611.8169116154</v>
      </c>
      <c r="BB66" s="27">
        <f t="shared" si="22"/>
        <v>4636611.8169116229</v>
      </c>
      <c r="BC66" s="27">
        <f t="shared" si="22"/>
        <v>4636611.8169116154</v>
      </c>
      <c r="BD66" s="27">
        <f t="shared" si="22"/>
        <v>4636611.8169116154</v>
      </c>
      <c r="BE66" s="27">
        <f t="shared" si="22"/>
        <v>4636611.8169116229</v>
      </c>
      <c r="BF66" s="27">
        <f t="shared" si="22"/>
        <v>4636611.8169116229</v>
      </c>
      <c r="BG66" s="27">
        <f t="shared" si="22"/>
        <v>4636611.8169116229</v>
      </c>
      <c r="BH66" s="27">
        <f t="shared" si="22"/>
        <v>4636611.8169116229</v>
      </c>
      <c r="BI66" s="27">
        <f t="shared" si="22"/>
        <v>4636611.8169116229</v>
      </c>
      <c r="BJ66" s="27">
        <f t="shared" si="22"/>
        <v>4636611.8169116229</v>
      </c>
      <c r="BK66" s="27">
        <f t="shared" si="22"/>
        <v>4636611.816911608</v>
      </c>
      <c r="BL66" s="27">
        <f t="shared" si="22"/>
        <v>4636611.8169116229</v>
      </c>
      <c r="BM66" s="27">
        <f t="shared" si="22"/>
        <v>9102743.6145707816</v>
      </c>
      <c r="BN66" s="27">
        <f t="shared" si="22"/>
        <v>9102743.6145707965</v>
      </c>
      <c r="BO66" s="27">
        <f t="shared" si="22"/>
        <v>9102743.6145707816</v>
      </c>
      <c r="BP66" s="27">
        <f t="shared" si="22"/>
        <v>9102743.6145707816</v>
      </c>
      <c r="BQ66" s="27">
        <f t="shared" si="22"/>
        <v>9102743.6145707965</v>
      </c>
      <c r="BR66" s="27">
        <f t="shared" si="22"/>
        <v>9102743.6145707965</v>
      </c>
      <c r="BS66" s="27">
        <f t="shared" si="22"/>
        <v>9102743.6145707965</v>
      </c>
      <c r="BT66" s="27">
        <f t="shared" si="22"/>
        <v>9102743.6145707965</v>
      </c>
      <c r="BU66" s="27">
        <f t="shared" si="22"/>
        <v>9102743.6145707965</v>
      </c>
      <c r="BV66" s="27">
        <f t="shared" si="22"/>
        <v>9102743.6145707965</v>
      </c>
      <c r="BW66" s="27">
        <f t="shared" si="22"/>
        <v>9102743.6145707965</v>
      </c>
      <c r="BX66" s="27">
        <f t="shared" si="22"/>
        <v>9102743.6145707965</v>
      </c>
      <c r="BY66" s="27">
        <f t="shared" si="22"/>
        <v>12524286.174304545</v>
      </c>
      <c r="BZ66" s="27">
        <f t="shared" si="22"/>
        <v>12524286.174304545</v>
      </c>
      <c r="CA66" s="27">
        <f t="shared" si="22"/>
        <v>12524286.174304545</v>
      </c>
      <c r="CB66" s="27">
        <f t="shared" si="22"/>
        <v>12524286.174304545</v>
      </c>
      <c r="CC66" s="27">
        <f t="shared" si="22"/>
        <v>12524286.174304545</v>
      </c>
      <c r="CD66" s="27">
        <f t="shared" si="22"/>
        <v>12524286.174304545</v>
      </c>
      <c r="CE66" s="27">
        <f t="shared" si="22"/>
        <v>12524286.174304545</v>
      </c>
      <c r="CF66" s="27">
        <f t="shared" si="22"/>
        <v>12524286.174304545</v>
      </c>
      <c r="CG66" s="27">
        <f t="shared" si="22"/>
        <v>12524286.174304545</v>
      </c>
      <c r="CH66" s="27">
        <f t="shared" si="22"/>
        <v>12524286.174304545</v>
      </c>
      <c r="CI66" s="27">
        <f t="shared" si="22"/>
        <v>12524286.174304545</v>
      </c>
      <c r="CJ66" s="27">
        <f t="shared" si="22"/>
        <v>12524286.174304545</v>
      </c>
    </row>
    <row r="67" spans="1:88" ht="13">
      <c r="A67" s="61"/>
      <c r="B67" s="62" t="s">
        <v>87</v>
      </c>
      <c r="C67" s="61"/>
      <c r="D67" s="61"/>
      <c r="E67" s="27">
        <f t="shared" ref="E67:CJ67" si="23">D46-E46</f>
        <v>29629.629629629631</v>
      </c>
      <c r="F67" s="27">
        <f t="shared" si="23"/>
        <v>29629.629629629631</v>
      </c>
      <c r="G67" s="27">
        <f t="shared" si="23"/>
        <v>29629.629629629628</v>
      </c>
      <c r="H67" s="27">
        <f t="shared" si="23"/>
        <v>29629.629629629635</v>
      </c>
      <c r="I67" s="27">
        <f t="shared" si="23"/>
        <v>29629.62962962962</v>
      </c>
      <c r="J67" s="27">
        <f t="shared" si="23"/>
        <v>29629.629629629635</v>
      </c>
      <c r="K67" s="27">
        <f t="shared" si="23"/>
        <v>29629.629629629635</v>
      </c>
      <c r="L67" s="27">
        <f t="shared" si="23"/>
        <v>29629.629629629635</v>
      </c>
      <c r="M67" s="27">
        <f t="shared" si="23"/>
        <v>29629.629629629635</v>
      </c>
      <c r="N67" s="27">
        <f t="shared" si="23"/>
        <v>29629.629629629606</v>
      </c>
      <c r="O67" s="27">
        <f t="shared" si="23"/>
        <v>29629.629629629606</v>
      </c>
      <c r="P67" s="27">
        <f t="shared" si="23"/>
        <v>29629.629629629606</v>
      </c>
      <c r="Q67" s="27">
        <f t="shared" si="23"/>
        <v>68888.888888888876</v>
      </c>
      <c r="R67" s="27">
        <f t="shared" si="23"/>
        <v>68888.888888888876</v>
      </c>
      <c r="S67" s="27">
        <f t="shared" si="23"/>
        <v>68888.88888888876</v>
      </c>
      <c r="T67" s="27">
        <f t="shared" si="23"/>
        <v>68888.888888888992</v>
      </c>
      <c r="U67" s="27">
        <f t="shared" si="23"/>
        <v>68888.88888888876</v>
      </c>
      <c r="V67" s="27">
        <f t="shared" si="23"/>
        <v>68888.888888888876</v>
      </c>
      <c r="W67" s="27">
        <f t="shared" si="23"/>
        <v>68888.888888888992</v>
      </c>
      <c r="X67" s="27">
        <f t="shared" si="23"/>
        <v>68888.888888888876</v>
      </c>
      <c r="Y67" s="27">
        <f t="shared" si="23"/>
        <v>68888.888888888992</v>
      </c>
      <c r="Z67" s="27">
        <f t="shared" si="23"/>
        <v>68888.888888888876</v>
      </c>
      <c r="AA67" s="27">
        <f t="shared" si="23"/>
        <v>68888.888888888876</v>
      </c>
      <c r="AB67" s="27">
        <f t="shared" si="23"/>
        <v>68888.888888888992</v>
      </c>
      <c r="AC67" s="27">
        <f t="shared" si="23"/>
        <v>156666.66666666674</v>
      </c>
      <c r="AD67" s="27">
        <f t="shared" si="23"/>
        <v>156666.66666666651</v>
      </c>
      <c r="AE67" s="27">
        <f t="shared" si="23"/>
        <v>156666.66666666674</v>
      </c>
      <c r="AF67" s="27">
        <f t="shared" si="23"/>
        <v>156666.66666666674</v>
      </c>
      <c r="AG67" s="27">
        <f t="shared" si="23"/>
        <v>156666.66666666674</v>
      </c>
      <c r="AH67" s="27">
        <f t="shared" si="23"/>
        <v>156666.66666666628</v>
      </c>
      <c r="AI67" s="27">
        <f t="shared" si="23"/>
        <v>156666.66666666698</v>
      </c>
      <c r="AJ67" s="27">
        <f t="shared" si="23"/>
        <v>156666.66666666698</v>
      </c>
      <c r="AK67" s="27">
        <f t="shared" si="23"/>
        <v>156666.66666666651</v>
      </c>
      <c r="AL67" s="27">
        <f t="shared" si="23"/>
        <v>156666.66666666698</v>
      </c>
      <c r="AM67" s="27">
        <f t="shared" si="23"/>
        <v>156666.66666666651</v>
      </c>
      <c r="AN67" s="27">
        <f t="shared" si="23"/>
        <v>156666.66666666651</v>
      </c>
      <c r="AO67" s="27">
        <f t="shared" si="23"/>
        <v>244444.44444444496</v>
      </c>
      <c r="AP67" s="27">
        <f t="shared" si="23"/>
        <v>244444.4444444445</v>
      </c>
      <c r="AQ67" s="27">
        <f t="shared" si="23"/>
        <v>244444.4444444431</v>
      </c>
      <c r="AR67" s="27">
        <f t="shared" si="23"/>
        <v>244444.44444444496</v>
      </c>
      <c r="AS67" s="27">
        <f t="shared" si="23"/>
        <v>244444.44444444496</v>
      </c>
      <c r="AT67" s="27">
        <f t="shared" si="23"/>
        <v>244444.44444444496</v>
      </c>
      <c r="AU67" s="27">
        <f t="shared" si="23"/>
        <v>244444.4444444431</v>
      </c>
      <c r="AV67" s="27">
        <f t="shared" si="23"/>
        <v>244444.44444444496</v>
      </c>
      <c r="AW67" s="27">
        <f t="shared" si="23"/>
        <v>244444.44444444403</v>
      </c>
      <c r="AX67" s="27">
        <f t="shared" si="23"/>
        <v>244444.44444444496</v>
      </c>
      <c r="AY67" s="27">
        <f t="shared" si="23"/>
        <v>244444.44444444496</v>
      </c>
      <c r="AZ67" s="27">
        <f t="shared" si="23"/>
        <v>244444.44444444403</v>
      </c>
      <c r="BA67" s="27">
        <f t="shared" si="23"/>
        <v>452222.22222222388</v>
      </c>
      <c r="BB67" s="27">
        <f t="shared" si="23"/>
        <v>452222.22222222015</v>
      </c>
      <c r="BC67" s="27">
        <f t="shared" si="23"/>
        <v>452222.22222222295</v>
      </c>
      <c r="BD67" s="27">
        <f t="shared" si="23"/>
        <v>452222.22222222295</v>
      </c>
      <c r="BE67" s="27">
        <f t="shared" si="23"/>
        <v>452222.22222222015</v>
      </c>
      <c r="BF67" s="27">
        <f t="shared" si="23"/>
        <v>452222.22222222202</v>
      </c>
      <c r="BG67" s="27">
        <f t="shared" si="23"/>
        <v>452222.22222222388</v>
      </c>
      <c r="BH67" s="27">
        <f t="shared" si="23"/>
        <v>452222.22222222202</v>
      </c>
      <c r="BI67" s="27">
        <f t="shared" si="23"/>
        <v>452222.22222222202</v>
      </c>
      <c r="BJ67" s="27">
        <f t="shared" si="23"/>
        <v>452222.22222222015</v>
      </c>
      <c r="BK67" s="27">
        <f t="shared" si="23"/>
        <v>452222.22222222574</v>
      </c>
      <c r="BL67" s="27">
        <f t="shared" si="23"/>
        <v>452222.22222222015</v>
      </c>
      <c r="BM67" s="27">
        <f t="shared" si="23"/>
        <v>535555.55555555783</v>
      </c>
      <c r="BN67" s="27">
        <f t="shared" si="23"/>
        <v>535555.55555555224</v>
      </c>
      <c r="BO67" s="27">
        <f t="shared" si="23"/>
        <v>535555.55555555969</v>
      </c>
      <c r="BP67" s="27">
        <f t="shared" si="23"/>
        <v>535555.55555555411</v>
      </c>
      <c r="BQ67" s="27">
        <f t="shared" si="23"/>
        <v>535555.55555555597</v>
      </c>
      <c r="BR67" s="27">
        <f t="shared" si="23"/>
        <v>535555.55555555411</v>
      </c>
      <c r="BS67" s="27">
        <f t="shared" si="23"/>
        <v>535555.55555555411</v>
      </c>
      <c r="BT67" s="27">
        <f t="shared" si="23"/>
        <v>535555.55555555597</v>
      </c>
      <c r="BU67" s="27">
        <f t="shared" si="23"/>
        <v>535555.55555555411</v>
      </c>
      <c r="BV67" s="27">
        <f t="shared" si="23"/>
        <v>535555.55555555969</v>
      </c>
      <c r="BW67" s="27">
        <f t="shared" si="23"/>
        <v>535555.55555555224</v>
      </c>
      <c r="BX67" s="27">
        <f t="shared" si="23"/>
        <v>535555.55555555969</v>
      </c>
      <c r="BY67" s="27">
        <f t="shared" si="23"/>
        <v>535555.55555555224</v>
      </c>
      <c r="BZ67" s="27">
        <f t="shared" si="23"/>
        <v>535555.55555555224</v>
      </c>
      <c r="CA67" s="27">
        <f t="shared" si="23"/>
        <v>535555.55555555597</v>
      </c>
      <c r="CB67" s="27">
        <f t="shared" si="23"/>
        <v>535555.55555555597</v>
      </c>
      <c r="CC67" s="27">
        <f t="shared" si="23"/>
        <v>535555.55555555969</v>
      </c>
      <c r="CD67" s="27">
        <f t="shared" si="23"/>
        <v>535555.55555555224</v>
      </c>
      <c r="CE67" s="27">
        <f t="shared" si="23"/>
        <v>535555.55555555597</v>
      </c>
      <c r="CF67" s="27">
        <f t="shared" si="23"/>
        <v>535555.55555555597</v>
      </c>
      <c r="CG67" s="27">
        <f t="shared" si="23"/>
        <v>535555.55555555597</v>
      </c>
      <c r="CH67" s="27">
        <f t="shared" si="23"/>
        <v>535555.55555555224</v>
      </c>
      <c r="CI67" s="27">
        <f t="shared" si="23"/>
        <v>535555.55555555969</v>
      </c>
      <c r="CJ67" s="27">
        <f t="shared" si="23"/>
        <v>535555.55555555597</v>
      </c>
    </row>
    <row r="68" spans="1:88" ht="13">
      <c r="A68" s="61"/>
      <c r="B68" s="62" t="s">
        <v>108</v>
      </c>
      <c r="C68" s="61"/>
      <c r="D68" s="61"/>
      <c r="E68" s="27">
        <f t="shared" ref="E68:P68" si="24">D42-E42</f>
        <v>0</v>
      </c>
      <c r="F68" s="27">
        <f t="shared" si="24"/>
        <v>0</v>
      </c>
      <c r="G68" s="27">
        <f t="shared" si="24"/>
        <v>0</v>
      </c>
      <c r="H68" s="27">
        <f t="shared" si="24"/>
        <v>0</v>
      </c>
      <c r="I68" s="27">
        <f t="shared" si="24"/>
        <v>0</v>
      </c>
      <c r="J68" s="27">
        <f t="shared" si="24"/>
        <v>0</v>
      </c>
      <c r="K68" s="27">
        <f t="shared" si="24"/>
        <v>0</v>
      </c>
      <c r="L68" s="27">
        <f t="shared" si="24"/>
        <v>0</v>
      </c>
      <c r="M68" s="27">
        <f t="shared" si="24"/>
        <v>0</v>
      </c>
      <c r="N68" s="27">
        <f t="shared" si="24"/>
        <v>0</v>
      </c>
      <c r="O68" s="27">
        <f t="shared" si="24"/>
        <v>0</v>
      </c>
      <c r="P68" s="27">
        <f t="shared" si="24"/>
        <v>0</v>
      </c>
      <c r="Q68" s="27">
        <f>P42-Q42</f>
        <v>-93750</v>
      </c>
      <c r="R68" s="27">
        <f t="shared" ref="R68:CC68" si="25">Q42-R42</f>
        <v>0</v>
      </c>
      <c r="S68" s="27">
        <f t="shared" si="25"/>
        <v>0</v>
      </c>
      <c r="T68" s="27">
        <f t="shared" si="25"/>
        <v>0</v>
      </c>
      <c r="U68" s="27">
        <f t="shared" si="25"/>
        <v>0</v>
      </c>
      <c r="V68" s="27">
        <f t="shared" si="25"/>
        <v>0</v>
      </c>
      <c r="W68" s="27">
        <f t="shared" si="25"/>
        <v>-375000</v>
      </c>
      <c r="X68" s="27">
        <f t="shared" si="25"/>
        <v>0</v>
      </c>
      <c r="Y68" s="27">
        <f t="shared" si="25"/>
        <v>0</v>
      </c>
      <c r="Z68" s="27">
        <f t="shared" si="25"/>
        <v>0</v>
      </c>
      <c r="AA68" s="27">
        <f t="shared" si="25"/>
        <v>0</v>
      </c>
      <c r="AB68" s="27">
        <f t="shared" si="25"/>
        <v>0</v>
      </c>
      <c r="AC68" s="27">
        <f t="shared" si="25"/>
        <v>-468750</v>
      </c>
      <c r="AD68" s="27">
        <f t="shared" si="25"/>
        <v>0</v>
      </c>
      <c r="AE68" s="27">
        <f t="shared" si="25"/>
        <v>0</v>
      </c>
      <c r="AF68" s="27">
        <f t="shared" si="25"/>
        <v>0</v>
      </c>
      <c r="AG68" s="27">
        <f t="shared" si="25"/>
        <v>0</v>
      </c>
      <c r="AH68" s="27">
        <f t="shared" si="25"/>
        <v>0</v>
      </c>
      <c r="AI68" s="27">
        <f t="shared" si="25"/>
        <v>-468750</v>
      </c>
      <c r="AJ68" s="27">
        <f t="shared" si="25"/>
        <v>0</v>
      </c>
      <c r="AK68" s="27">
        <f t="shared" si="25"/>
        <v>0</v>
      </c>
      <c r="AL68" s="27">
        <f t="shared" si="25"/>
        <v>0</v>
      </c>
      <c r="AM68" s="27">
        <f t="shared" si="25"/>
        <v>0</v>
      </c>
      <c r="AN68" s="27">
        <f t="shared" si="25"/>
        <v>0</v>
      </c>
      <c r="AO68" s="27">
        <f t="shared" si="25"/>
        <v>-937500</v>
      </c>
      <c r="AP68" s="27">
        <f t="shared" si="25"/>
        <v>0</v>
      </c>
      <c r="AQ68" s="27">
        <f t="shared" si="25"/>
        <v>0</v>
      </c>
      <c r="AR68" s="27">
        <f t="shared" si="25"/>
        <v>0</v>
      </c>
      <c r="AS68" s="27">
        <f t="shared" si="25"/>
        <v>0</v>
      </c>
      <c r="AT68" s="27">
        <f t="shared" si="25"/>
        <v>0</v>
      </c>
      <c r="AU68" s="27">
        <f t="shared" si="25"/>
        <v>0</v>
      </c>
      <c r="AV68" s="27">
        <f t="shared" si="25"/>
        <v>0</v>
      </c>
      <c r="AW68" s="27">
        <f t="shared" si="25"/>
        <v>0</v>
      </c>
      <c r="AX68" s="27">
        <f t="shared" si="25"/>
        <v>0</v>
      </c>
      <c r="AY68" s="27">
        <f t="shared" si="25"/>
        <v>0</v>
      </c>
      <c r="AZ68" s="27">
        <f t="shared" si="25"/>
        <v>0</v>
      </c>
      <c r="BA68" s="27">
        <f t="shared" si="25"/>
        <v>-937500</v>
      </c>
      <c r="BB68" s="27">
        <f t="shared" si="25"/>
        <v>0</v>
      </c>
      <c r="BC68" s="27">
        <f t="shared" si="25"/>
        <v>0</v>
      </c>
      <c r="BD68" s="27">
        <f t="shared" si="25"/>
        <v>0</v>
      </c>
      <c r="BE68" s="27">
        <f t="shared" si="25"/>
        <v>0</v>
      </c>
      <c r="BF68" s="27">
        <f t="shared" si="25"/>
        <v>0</v>
      </c>
      <c r="BG68" s="27">
        <f t="shared" si="25"/>
        <v>0</v>
      </c>
      <c r="BH68" s="27">
        <f t="shared" si="25"/>
        <v>0</v>
      </c>
      <c r="BI68" s="27">
        <f t="shared" si="25"/>
        <v>0</v>
      </c>
      <c r="BJ68" s="27">
        <f t="shared" si="25"/>
        <v>0</v>
      </c>
      <c r="BK68" s="27">
        <f t="shared" si="25"/>
        <v>0</v>
      </c>
      <c r="BL68" s="27">
        <f t="shared" si="25"/>
        <v>0</v>
      </c>
      <c r="BM68" s="27">
        <f t="shared" si="25"/>
        <v>-3281250</v>
      </c>
      <c r="BN68" s="27">
        <f t="shared" si="25"/>
        <v>0</v>
      </c>
      <c r="BO68" s="27">
        <f t="shared" si="25"/>
        <v>0</v>
      </c>
      <c r="BP68" s="27">
        <f t="shared" si="25"/>
        <v>0</v>
      </c>
      <c r="BQ68" s="27">
        <f t="shared" si="25"/>
        <v>0</v>
      </c>
      <c r="BR68" s="27">
        <f t="shared" si="25"/>
        <v>0</v>
      </c>
      <c r="BS68" s="27">
        <f t="shared" si="25"/>
        <v>0</v>
      </c>
      <c r="BT68" s="27">
        <f t="shared" si="25"/>
        <v>0</v>
      </c>
      <c r="BU68" s="27">
        <f t="shared" si="25"/>
        <v>0</v>
      </c>
      <c r="BV68" s="27">
        <f t="shared" si="25"/>
        <v>0</v>
      </c>
      <c r="BW68" s="27">
        <f t="shared" si="25"/>
        <v>0</v>
      </c>
      <c r="BX68" s="27">
        <f t="shared" si="25"/>
        <v>0</v>
      </c>
      <c r="BY68" s="27">
        <f t="shared" si="25"/>
        <v>-2812500</v>
      </c>
      <c r="BZ68" s="27">
        <f t="shared" si="25"/>
        <v>0</v>
      </c>
      <c r="CA68" s="27">
        <f t="shared" si="25"/>
        <v>0</v>
      </c>
      <c r="CB68" s="27">
        <f t="shared" si="25"/>
        <v>0</v>
      </c>
      <c r="CC68" s="27">
        <f t="shared" si="25"/>
        <v>0</v>
      </c>
      <c r="CD68" s="27">
        <f t="shared" ref="CD68:CJ68" si="26">CC42-CD42</f>
        <v>0</v>
      </c>
      <c r="CE68" s="27">
        <f t="shared" si="26"/>
        <v>0</v>
      </c>
      <c r="CF68" s="27">
        <f t="shared" si="26"/>
        <v>0</v>
      </c>
      <c r="CG68" s="27">
        <f t="shared" si="26"/>
        <v>0</v>
      </c>
      <c r="CH68" s="27">
        <f t="shared" si="26"/>
        <v>0</v>
      </c>
      <c r="CI68" s="27">
        <f t="shared" si="26"/>
        <v>0</v>
      </c>
      <c r="CJ68" s="27">
        <f t="shared" si="26"/>
        <v>0</v>
      </c>
    </row>
    <row r="69" spans="1:88" ht="13">
      <c r="A69" s="61"/>
      <c r="B69" s="62" t="s">
        <v>109</v>
      </c>
      <c r="C69" s="61"/>
      <c r="D69" s="61"/>
      <c r="E69" s="27">
        <f t="shared" ref="E69:CJ69" si="27">E51-D51</f>
        <v>4375</v>
      </c>
      <c r="F69" s="27">
        <f t="shared" si="27"/>
        <v>0</v>
      </c>
      <c r="G69" s="27">
        <f t="shared" si="27"/>
        <v>0</v>
      </c>
      <c r="H69" s="27">
        <f t="shared" si="27"/>
        <v>0</v>
      </c>
      <c r="I69" s="27">
        <f t="shared" si="27"/>
        <v>0</v>
      </c>
      <c r="J69" s="27">
        <f t="shared" si="27"/>
        <v>0</v>
      </c>
      <c r="K69" s="27">
        <f t="shared" si="27"/>
        <v>0</v>
      </c>
      <c r="L69" s="27">
        <f t="shared" si="27"/>
        <v>0</v>
      </c>
      <c r="M69" s="27">
        <f t="shared" si="27"/>
        <v>0</v>
      </c>
      <c r="N69" s="27">
        <f t="shared" si="27"/>
        <v>0</v>
      </c>
      <c r="O69" s="27">
        <f t="shared" si="27"/>
        <v>0</v>
      </c>
      <c r="P69" s="27">
        <f t="shared" si="27"/>
        <v>0</v>
      </c>
      <c r="Q69" s="27">
        <f t="shared" si="27"/>
        <v>18395.78125</v>
      </c>
      <c r="R69" s="27">
        <f t="shared" si="27"/>
        <v>0</v>
      </c>
      <c r="S69" s="27">
        <f t="shared" si="27"/>
        <v>0</v>
      </c>
      <c r="T69" s="27">
        <f t="shared" si="27"/>
        <v>0</v>
      </c>
      <c r="U69" s="27">
        <f t="shared" si="27"/>
        <v>0</v>
      </c>
      <c r="V69" s="27">
        <f t="shared" si="27"/>
        <v>0</v>
      </c>
      <c r="W69" s="27">
        <f t="shared" si="27"/>
        <v>56083.125</v>
      </c>
      <c r="X69" s="27">
        <f t="shared" si="27"/>
        <v>0</v>
      </c>
      <c r="Y69" s="27">
        <f t="shared" si="27"/>
        <v>0</v>
      </c>
      <c r="Z69" s="27">
        <f t="shared" si="27"/>
        <v>0</v>
      </c>
      <c r="AA69" s="27">
        <f t="shared" si="27"/>
        <v>0</v>
      </c>
      <c r="AB69" s="27">
        <f t="shared" si="27"/>
        <v>0</v>
      </c>
      <c r="AC69" s="27">
        <f t="shared" si="27"/>
        <v>78853.90625</v>
      </c>
      <c r="AD69" s="27">
        <f t="shared" si="27"/>
        <v>0</v>
      </c>
      <c r="AE69" s="27">
        <f t="shared" si="27"/>
        <v>0</v>
      </c>
      <c r="AF69" s="27">
        <f t="shared" si="27"/>
        <v>0</v>
      </c>
      <c r="AG69" s="27">
        <f t="shared" si="27"/>
        <v>0</v>
      </c>
      <c r="AH69" s="27">
        <f t="shared" si="27"/>
        <v>0</v>
      </c>
      <c r="AI69" s="27">
        <f t="shared" si="27"/>
        <v>70103.90625</v>
      </c>
      <c r="AJ69" s="27">
        <f t="shared" si="27"/>
        <v>0</v>
      </c>
      <c r="AK69" s="27">
        <f t="shared" si="27"/>
        <v>0</v>
      </c>
      <c r="AL69" s="27">
        <f t="shared" si="27"/>
        <v>0</v>
      </c>
      <c r="AM69" s="27">
        <f t="shared" si="27"/>
        <v>0</v>
      </c>
      <c r="AN69" s="27">
        <f t="shared" si="27"/>
        <v>0</v>
      </c>
      <c r="AO69" s="27">
        <f t="shared" si="27"/>
        <v>219061.71875</v>
      </c>
      <c r="AP69" s="27">
        <f t="shared" si="27"/>
        <v>0</v>
      </c>
      <c r="AQ69" s="27">
        <f t="shared" si="27"/>
        <v>0</v>
      </c>
      <c r="AR69" s="27">
        <f t="shared" si="27"/>
        <v>0</v>
      </c>
      <c r="AS69" s="27">
        <f t="shared" si="27"/>
        <v>0</v>
      </c>
      <c r="AT69" s="27">
        <f t="shared" si="27"/>
        <v>0</v>
      </c>
      <c r="AU69" s="27">
        <f t="shared" si="27"/>
        <v>0</v>
      </c>
      <c r="AV69" s="27">
        <f t="shared" si="27"/>
        <v>0</v>
      </c>
      <c r="AW69" s="27">
        <f t="shared" si="27"/>
        <v>0</v>
      </c>
      <c r="AX69" s="27">
        <f t="shared" si="27"/>
        <v>0</v>
      </c>
      <c r="AY69" s="27">
        <f t="shared" si="27"/>
        <v>0</v>
      </c>
      <c r="AZ69" s="27">
        <f t="shared" si="27"/>
        <v>0</v>
      </c>
      <c r="BA69" s="27">
        <f t="shared" si="27"/>
        <v>306665.625</v>
      </c>
      <c r="BB69" s="27">
        <f t="shared" si="27"/>
        <v>0</v>
      </c>
      <c r="BC69" s="27">
        <f t="shared" si="27"/>
        <v>0</v>
      </c>
      <c r="BD69" s="27">
        <f t="shared" si="27"/>
        <v>0</v>
      </c>
      <c r="BE69" s="27">
        <f t="shared" si="27"/>
        <v>0</v>
      </c>
      <c r="BF69" s="27">
        <f t="shared" si="27"/>
        <v>0</v>
      </c>
      <c r="BG69" s="27">
        <f t="shared" si="27"/>
        <v>0</v>
      </c>
      <c r="BH69" s="27">
        <f t="shared" si="27"/>
        <v>0</v>
      </c>
      <c r="BI69" s="27">
        <f t="shared" si="27"/>
        <v>0</v>
      </c>
      <c r="BJ69" s="27">
        <f t="shared" si="27"/>
        <v>0</v>
      </c>
      <c r="BK69" s="27">
        <f t="shared" si="27"/>
        <v>0</v>
      </c>
      <c r="BL69" s="27">
        <f t="shared" si="27"/>
        <v>0</v>
      </c>
      <c r="BM69" s="27">
        <f t="shared" si="27"/>
        <v>560831.25</v>
      </c>
      <c r="BN69" s="27">
        <f t="shared" si="27"/>
        <v>0</v>
      </c>
      <c r="BO69" s="27">
        <f t="shared" si="27"/>
        <v>0</v>
      </c>
      <c r="BP69" s="27">
        <f t="shared" si="27"/>
        <v>0</v>
      </c>
      <c r="BQ69" s="27">
        <f t="shared" si="27"/>
        <v>0</v>
      </c>
      <c r="BR69" s="27">
        <f t="shared" si="27"/>
        <v>0</v>
      </c>
      <c r="BS69" s="27">
        <f t="shared" si="27"/>
        <v>0</v>
      </c>
      <c r="BT69" s="27">
        <f t="shared" si="27"/>
        <v>0</v>
      </c>
      <c r="BU69" s="27">
        <f t="shared" si="27"/>
        <v>0</v>
      </c>
      <c r="BV69" s="27">
        <f t="shared" si="27"/>
        <v>0</v>
      </c>
      <c r="BW69" s="27">
        <f t="shared" si="27"/>
        <v>0</v>
      </c>
      <c r="BX69" s="27">
        <f t="shared" si="27"/>
        <v>0</v>
      </c>
      <c r="BY69" s="27">
        <f t="shared" si="27"/>
        <v>420623.4375</v>
      </c>
      <c r="BZ69" s="27">
        <f t="shared" si="27"/>
        <v>0</v>
      </c>
      <c r="CA69" s="27">
        <f t="shared" si="27"/>
        <v>0</v>
      </c>
      <c r="CB69" s="27">
        <f t="shared" si="27"/>
        <v>0</v>
      </c>
      <c r="CC69" s="27">
        <f t="shared" si="27"/>
        <v>0</v>
      </c>
      <c r="CD69" s="27">
        <f t="shared" si="27"/>
        <v>0</v>
      </c>
      <c r="CE69" s="27">
        <f t="shared" si="27"/>
        <v>0</v>
      </c>
      <c r="CF69" s="27">
        <f t="shared" si="27"/>
        <v>0</v>
      </c>
      <c r="CG69" s="27">
        <f t="shared" si="27"/>
        <v>0</v>
      </c>
      <c r="CH69" s="27">
        <f t="shared" si="27"/>
        <v>0</v>
      </c>
      <c r="CI69" s="27">
        <f t="shared" si="27"/>
        <v>0</v>
      </c>
      <c r="CJ69" s="27">
        <f t="shared" si="27"/>
        <v>0</v>
      </c>
    </row>
    <row r="70" spans="1:88" ht="13">
      <c r="A70" s="61"/>
      <c r="B70" s="107" t="s">
        <v>110</v>
      </c>
      <c r="C70" s="108"/>
      <c r="D70" s="108"/>
      <c r="E70" s="109">
        <f t="shared" ref="E70:CJ70" si="28">SUM(E66:E69)</f>
        <v>-108541.66666666666</v>
      </c>
      <c r="F70" s="109">
        <f t="shared" si="28"/>
        <v>-112916.66666666666</v>
      </c>
      <c r="G70" s="109">
        <f t="shared" si="28"/>
        <v>-112916.66666666666</v>
      </c>
      <c r="H70" s="109">
        <f t="shared" si="28"/>
        <v>-112916.66666666666</v>
      </c>
      <c r="I70" s="109">
        <f t="shared" si="28"/>
        <v>-112916.66666666667</v>
      </c>
      <c r="J70" s="109">
        <f t="shared" si="28"/>
        <v>-112916.66666666666</v>
      </c>
      <c r="K70" s="109">
        <f t="shared" si="28"/>
        <v>-112916.66666666666</v>
      </c>
      <c r="L70" s="109">
        <f t="shared" si="28"/>
        <v>-112916.66666666666</v>
      </c>
      <c r="M70" s="109">
        <f t="shared" si="28"/>
        <v>-112916.66666666654</v>
      </c>
      <c r="N70" s="109">
        <f t="shared" si="28"/>
        <v>-112916.66666666657</v>
      </c>
      <c r="O70" s="109">
        <f t="shared" si="28"/>
        <v>-112916.66666666657</v>
      </c>
      <c r="P70" s="109">
        <f t="shared" si="28"/>
        <v>-112916.66666666657</v>
      </c>
      <c r="Q70" s="109">
        <f t="shared" si="28"/>
        <v>-149332.11458333337</v>
      </c>
      <c r="R70" s="109">
        <f t="shared" si="28"/>
        <v>-73977.895833333372</v>
      </c>
      <c r="S70" s="109">
        <f t="shared" si="28"/>
        <v>-73977.895833333256</v>
      </c>
      <c r="T70" s="109">
        <f t="shared" si="28"/>
        <v>-73977.895833333489</v>
      </c>
      <c r="U70" s="109">
        <f t="shared" si="28"/>
        <v>-73977.895833333256</v>
      </c>
      <c r="V70" s="109">
        <f t="shared" si="28"/>
        <v>-73977.895833333139</v>
      </c>
      <c r="W70" s="109">
        <f t="shared" si="28"/>
        <v>111297.89854166657</v>
      </c>
      <c r="X70" s="109">
        <f t="shared" si="28"/>
        <v>430214.77354166668</v>
      </c>
      <c r="Y70" s="109">
        <f t="shared" si="28"/>
        <v>430214.7735416668</v>
      </c>
      <c r="Z70" s="109">
        <f t="shared" si="28"/>
        <v>430214.77354166668</v>
      </c>
      <c r="AA70" s="109">
        <f t="shared" si="28"/>
        <v>430214.77354166668</v>
      </c>
      <c r="AB70" s="109">
        <f t="shared" si="28"/>
        <v>430214.77354166674</v>
      </c>
      <c r="AC70" s="109">
        <f t="shared" si="28"/>
        <v>486822.57419230766</v>
      </c>
      <c r="AD70" s="109">
        <f t="shared" si="28"/>
        <v>876718.66794230742</v>
      </c>
      <c r="AE70" s="109">
        <f t="shared" si="28"/>
        <v>876718.66794230766</v>
      </c>
      <c r="AF70" s="109">
        <f t="shared" si="28"/>
        <v>876718.66794230742</v>
      </c>
      <c r="AG70" s="109">
        <f t="shared" si="28"/>
        <v>876718.66794230766</v>
      </c>
      <c r="AH70" s="109">
        <f t="shared" si="28"/>
        <v>876718.66794230719</v>
      </c>
      <c r="AI70" s="109">
        <f t="shared" si="28"/>
        <v>1060095.8710673079</v>
      </c>
      <c r="AJ70" s="109">
        <f t="shared" si="28"/>
        <v>1458741.9648173079</v>
      </c>
      <c r="AK70" s="109">
        <f t="shared" si="28"/>
        <v>1458741.9648173074</v>
      </c>
      <c r="AL70" s="109">
        <f t="shared" si="28"/>
        <v>1458741.964817307</v>
      </c>
      <c r="AM70" s="109">
        <f t="shared" si="28"/>
        <v>1458741.9648173065</v>
      </c>
      <c r="AN70" s="109">
        <f t="shared" si="28"/>
        <v>1458741.9648173065</v>
      </c>
      <c r="AO70" s="109">
        <f t="shared" si="28"/>
        <v>2370047.7413000921</v>
      </c>
      <c r="AP70" s="109">
        <f t="shared" si="28"/>
        <v>3088486.0225500916</v>
      </c>
      <c r="AQ70" s="109">
        <f t="shared" si="28"/>
        <v>3088486.0225500902</v>
      </c>
      <c r="AR70" s="109">
        <f t="shared" si="28"/>
        <v>3088486.0225500921</v>
      </c>
      <c r="AS70" s="109">
        <f t="shared" si="28"/>
        <v>3088486.0225500921</v>
      </c>
      <c r="AT70" s="109">
        <f t="shared" si="28"/>
        <v>3088486.0225500921</v>
      </c>
      <c r="AU70" s="109">
        <f t="shared" si="28"/>
        <v>3088486.0225500902</v>
      </c>
      <c r="AV70" s="109">
        <f t="shared" si="28"/>
        <v>3088486.0225500884</v>
      </c>
      <c r="AW70" s="109">
        <f t="shared" si="28"/>
        <v>3088486.0225500874</v>
      </c>
      <c r="AX70" s="109">
        <f t="shared" si="28"/>
        <v>3088486.0225500884</v>
      </c>
      <c r="AY70" s="109">
        <f t="shared" si="28"/>
        <v>3088486.0225500884</v>
      </c>
      <c r="AZ70" s="109">
        <f t="shared" si="28"/>
        <v>3088486.0225500874</v>
      </c>
      <c r="BA70" s="109">
        <f t="shared" si="28"/>
        <v>4457999.6641338393</v>
      </c>
      <c r="BB70" s="109">
        <f t="shared" si="28"/>
        <v>5088834.039133843</v>
      </c>
      <c r="BC70" s="109">
        <f t="shared" si="28"/>
        <v>5088834.0391338384</v>
      </c>
      <c r="BD70" s="109">
        <f t="shared" si="28"/>
        <v>5088834.0391338384</v>
      </c>
      <c r="BE70" s="109">
        <f t="shared" si="28"/>
        <v>5088834.039133843</v>
      </c>
      <c r="BF70" s="109">
        <f t="shared" si="28"/>
        <v>5088834.0391338449</v>
      </c>
      <c r="BG70" s="109">
        <f t="shared" si="28"/>
        <v>5088834.0391338468</v>
      </c>
      <c r="BH70" s="109">
        <f t="shared" si="28"/>
        <v>5088834.0391338449</v>
      </c>
      <c r="BI70" s="109">
        <f t="shared" si="28"/>
        <v>5088834.0391338449</v>
      </c>
      <c r="BJ70" s="109">
        <f t="shared" si="28"/>
        <v>5088834.039133843</v>
      </c>
      <c r="BK70" s="109">
        <f t="shared" si="28"/>
        <v>5088834.0391338337</v>
      </c>
      <c r="BL70" s="109">
        <f t="shared" si="28"/>
        <v>5088834.039133843</v>
      </c>
      <c r="BM70" s="109">
        <f t="shared" si="28"/>
        <v>6917880.4201263394</v>
      </c>
      <c r="BN70" s="109">
        <f t="shared" si="28"/>
        <v>9638299.1701263487</v>
      </c>
      <c r="BO70" s="109">
        <f t="shared" si="28"/>
        <v>9638299.1701263413</v>
      </c>
      <c r="BP70" s="109">
        <f t="shared" si="28"/>
        <v>9638299.1701263357</v>
      </c>
      <c r="BQ70" s="109">
        <f t="shared" si="28"/>
        <v>9638299.1701263525</v>
      </c>
      <c r="BR70" s="109">
        <f t="shared" si="28"/>
        <v>9638299.1701263506</v>
      </c>
      <c r="BS70" s="109">
        <f t="shared" si="28"/>
        <v>9638299.1701263506</v>
      </c>
      <c r="BT70" s="109">
        <f t="shared" si="28"/>
        <v>9638299.1701263525</v>
      </c>
      <c r="BU70" s="109">
        <f t="shared" si="28"/>
        <v>9638299.1701263506</v>
      </c>
      <c r="BV70" s="109">
        <f t="shared" si="28"/>
        <v>9638299.1701263562</v>
      </c>
      <c r="BW70" s="109">
        <f t="shared" si="28"/>
        <v>9638299.1701263487</v>
      </c>
      <c r="BX70" s="109">
        <f t="shared" si="28"/>
        <v>9638299.1701263562</v>
      </c>
      <c r="BY70" s="109">
        <f t="shared" si="28"/>
        <v>10667965.167360097</v>
      </c>
      <c r="BZ70" s="109">
        <f t="shared" si="28"/>
        <v>13059841.729860097</v>
      </c>
      <c r="CA70" s="109">
        <f t="shared" si="28"/>
        <v>13059841.729860101</v>
      </c>
      <c r="CB70" s="109">
        <f t="shared" si="28"/>
        <v>13059841.729860101</v>
      </c>
      <c r="CC70" s="109">
        <f t="shared" si="28"/>
        <v>13059841.729860105</v>
      </c>
      <c r="CD70" s="109">
        <f t="shared" si="28"/>
        <v>13059841.729860097</v>
      </c>
      <c r="CE70" s="109">
        <f t="shared" si="28"/>
        <v>13059841.729860101</v>
      </c>
      <c r="CF70" s="109">
        <f t="shared" si="28"/>
        <v>13059841.729860101</v>
      </c>
      <c r="CG70" s="109">
        <f t="shared" si="28"/>
        <v>13059841.729860101</v>
      </c>
      <c r="CH70" s="109">
        <f t="shared" si="28"/>
        <v>13059841.729860097</v>
      </c>
      <c r="CI70" s="109">
        <f t="shared" si="28"/>
        <v>13059841.729860105</v>
      </c>
      <c r="CJ70" s="109">
        <f t="shared" si="28"/>
        <v>13059841.729860101</v>
      </c>
    </row>
    <row r="71" spans="1:88" ht="13">
      <c r="A71" s="61"/>
      <c r="B71" s="61"/>
      <c r="C71" s="61"/>
      <c r="D71" s="61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</row>
    <row r="72" spans="1:88" ht="13">
      <c r="A72" s="61"/>
      <c r="B72" s="110" t="s">
        <v>111</v>
      </c>
      <c r="C72" s="61"/>
      <c r="D72" s="61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5"/>
      <c r="CI72" s="55"/>
      <c r="CJ72" s="55"/>
    </row>
    <row r="73" spans="1:88" ht="13">
      <c r="A73" s="61"/>
      <c r="B73" s="62" t="s">
        <v>112</v>
      </c>
      <c r="C73" s="61"/>
      <c r="D73" s="61"/>
      <c r="E73" s="27">
        <f t="shared" ref="E73:CJ73" si="29">D45-E45</f>
        <v>-3200000</v>
      </c>
      <c r="F73" s="27">
        <f t="shared" si="29"/>
        <v>0</v>
      </c>
      <c r="G73" s="27">
        <f t="shared" si="29"/>
        <v>0</v>
      </c>
      <c r="H73" s="27">
        <f t="shared" si="29"/>
        <v>0</v>
      </c>
      <c r="I73" s="27">
        <f t="shared" si="29"/>
        <v>0</v>
      </c>
      <c r="J73" s="27">
        <f t="shared" si="29"/>
        <v>0</v>
      </c>
      <c r="K73" s="27">
        <f t="shared" si="29"/>
        <v>0</v>
      </c>
      <c r="L73" s="27">
        <f t="shared" si="29"/>
        <v>0</v>
      </c>
      <c r="M73" s="27">
        <f t="shared" si="29"/>
        <v>0</v>
      </c>
      <c r="N73" s="27">
        <f t="shared" si="29"/>
        <v>0</v>
      </c>
      <c r="O73" s="27">
        <f t="shared" si="29"/>
        <v>0</v>
      </c>
      <c r="P73" s="27">
        <f t="shared" si="29"/>
        <v>0</v>
      </c>
      <c r="Q73" s="27">
        <f t="shared" si="29"/>
        <v>-4240000</v>
      </c>
      <c r="R73" s="27">
        <f t="shared" si="29"/>
        <v>0</v>
      </c>
      <c r="S73" s="27">
        <f t="shared" si="29"/>
        <v>0</v>
      </c>
      <c r="T73" s="27">
        <f t="shared" si="29"/>
        <v>0</v>
      </c>
      <c r="U73" s="27">
        <f t="shared" si="29"/>
        <v>0</v>
      </c>
      <c r="V73" s="27">
        <f t="shared" si="29"/>
        <v>0</v>
      </c>
      <c r="W73" s="27">
        <f t="shared" si="29"/>
        <v>0</v>
      </c>
      <c r="X73" s="27">
        <f t="shared" si="29"/>
        <v>0</v>
      </c>
      <c r="Y73" s="27">
        <f t="shared" si="29"/>
        <v>0</v>
      </c>
      <c r="Z73" s="27">
        <f t="shared" si="29"/>
        <v>0</v>
      </c>
      <c r="AA73" s="27">
        <f t="shared" si="29"/>
        <v>0</v>
      </c>
      <c r="AB73" s="27">
        <f t="shared" si="29"/>
        <v>0</v>
      </c>
      <c r="AC73" s="27">
        <f t="shared" si="29"/>
        <v>-9480000</v>
      </c>
      <c r="AD73" s="27">
        <f t="shared" si="29"/>
        <v>0</v>
      </c>
      <c r="AE73" s="27">
        <f t="shared" si="29"/>
        <v>0</v>
      </c>
      <c r="AF73" s="27">
        <f t="shared" si="29"/>
        <v>0</v>
      </c>
      <c r="AG73" s="27">
        <f t="shared" si="29"/>
        <v>0</v>
      </c>
      <c r="AH73" s="27">
        <f t="shared" si="29"/>
        <v>0</v>
      </c>
      <c r="AI73" s="27">
        <f t="shared" si="29"/>
        <v>0</v>
      </c>
      <c r="AJ73" s="27">
        <f t="shared" si="29"/>
        <v>0</v>
      </c>
      <c r="AK73" s="27">
        <f t="shared" si="29"/>
        <v>0</v>
      </c>
      <c r="AL73" s="27">
        <f t="shared" si="29"/>
        <v>0</v>
      </c>
      <c r="AM73" s="27">
        <f t="shared" si="29"/>
        <v>0</v>
      </c>
      <c r="AN73" s="27">
        <f t="shared" si="29"/>
        <v>0</v>
      </c>
      <c r="AO73" s="27">
        <f t="shared" si="29"/>
        <v>-9480000</v>
      </c>
      <c r="AP73" s="27">
        <f t="shared" si="29"/>
        <v>0</v>
      </c>
      <c r="AQ73" s="27">
        <f t="shared" si="29"/>
        <v>0</v>
      </c>
      <c r="AR73" s="27">
        <f t="shared" si="29"/>
        <v>0</v>
      </c>
      <c r="AS73" s="27">
        <f t="shared" si="29"/>
        <v>0</v>
      </c>
      <c r="AT73" s="27">
        <f t="shared" si="29"/>
        <v>0</v>
      </c>
      <c r="AU73" s="27">
        <f t="shared" si="29"/>
        <v>0</v>
      </c>
      <c r="AV73" s="27">
        <f t="shared" si="29"/>
        <v>0</v>
      </c>
      <c r="AW73" s="27">
        <f t="shared" si="29"/>
        <v>0</v>
      </c>
      <c r="AX73" s="27">
        <f t="shared" si="29"/>
        <v>0</v>
      </c>
      <c r="AY73" s="27">
        <f t="shared" si="29"/>
        <v>0</v>
      </c>
      <c r="AZ73" s="27">
        <f t="shared" si="29"/>
        <v>0</v>
      </c>
      <c r="BA73" s="27">
        <f t="shared" si="29"/>
        <v>-22440000</v>
      </c>
      <c r="BB73" s="27">
        <f t="shared" si="29"/>
        <v>0</v>
      </c>
      <c r="BC73" s="27">
        <f t="shared" si="29"/>
        <v>0</v>
      </c>
      <c r="BD73" s="27">
        <f t="shared" si="29"/>
        <v>0</v>
      </c>
      <c r="BE73" s="27">
        <f t="shared" si="29"/>
        <v>0</v>
      </c>
      <c r="BF73" s="27">
        <f t="shared" si="29"/>
        <v>0</v>
      </c>
      <c r="BG73" s="27">
        <f t="shared" si="29"/>
        <v>0</v>
      </c>
      <c r="BH73" s="27">
        <f t="shared" si="29"/>
        <v>0</v>
      </c>
      <c r="BI73" s="27">
        <f t="shared" si="29"/>
        <v>0</v>
      </c>
      <c r="BJ73" s="27">
        <f t="shared" si="29"/>
        <v>0</v>
      </c>
      <c r="BK73" s="27">
        <f t="shared" si="29"/>
        <v>0</v>
      </c>
      <c r="BL73" s="27">
        <f t="shared" si="29"/>
        <v>0</v>
      </c>
      <c r="BM73" s="27">
        <f t="shared" si="29"/>
        <v>-9000000</v>
      </c>
      <c r="BN73" s="27">
        <f t="shared" si="29"/>
        <v>0</v>
      </c>
      <c r="BO73" s="27">
        <f t="shared" si="29"/>
        <v>0</v>
      </c>
      <c r="BP73" s="27">
        <f t="shared" si="29"/>
        <v>0</v>
      </c>
      <c r="BQ73" s="27">
        <f t="shared" si="29"/>
        <v>0</v>
      </c>
      <c r="BR73" s="27">
        <f t="shared" si="29"/>
        <v>0</v>
      </c>
      <c r="BS73" s="27">
        <f t="shared" si="29"/>
        <v>0</v>
      </c>
      <c r="BT73" s="27">
        <f t="shared" si="29"/>
        <v>0</v>
      </c>
      <c r="BU73" s="27">
        <f t="shared" si="29"/>
        <v>0</v>
      </c>
      <c r="BV73" s="27">
        <f t="shared" si="29"/>
        <v>0</v>
      </c>
      <c r="BW73" s="27">
        <f t="shared" si="29"/>
        <v>0</v>
      </c>
      <c r="BX73" s="27">
        <f t="shared" si="29"/>
        <v>0</v>
      </c>
      <c r="BY73" s="27">
        <f t="shared" si="29"/>
        <v>0</v>
      </c>
      <c r="BZ73" s="27">
        <f t="shared" si="29"/>
        <v>0</v>
      </c>
      <c r="CA73" s="27">
        <f t="shared" si="29"/>
        <v>0</v>
      </c>
      <c r="CB73" s="27">
        <f t="shared" si="29"/>
        <v>0</v>
      </c>
      <c r="CC73" s="27">
        <f t="shared" si="29"/>
        <v>0</v>
      </c>
      <c r="CD73" s="27">
        <f t="shared" si="29"/>
        <v>0</v>
      </c>
      <c r="CE73" s="27">
        <f t="shared" si="29"/>
        <v>0</v>
      </c>
      <c r="CF73" s="27">
        <f t="shared" si="29"/>
        <v>0</v>
      </c>
      <c r="CG73" s="27">
        <f t="shared" si="29"/>
        <v>0</v>
      </c>
      <c r="CH73" s="27">
        <f t="shared" si="29"/>
        <v>0</v>
      </c>
      <c r="CI73" s="27">
        <f t="shared" si="29"/>
        <v>0</v>
      </c>
      <c r="CJ73" s="27">
        <f t="shared" si="29"/>
        <v>0</v>
      </c>
    </row>
    <row r="74" spans="1:88" ht="13">
      <c r="A74" s="61"/>
      <c r="B74" s="107" t="s">
        <v>113</v>
      </c>
      <c r="C74" s="108"/>
      <c r="D74" s="108"/>
      <c r="E74" s="109">
        <f t="shared" ref="E74:CJ74" si="30">E73</f>
        <v>-3200000</v>
      </c>
      <c r="F74" s="109">
        <f t="shared" si="30"/>
        <v>0</v>
      </c>
      <c r="G74" s="109">
        <f t="shared" si="30"/>
        <v>0</v>
      </c>
      <c r="H74" s="109">
        <f t="shared" si="30"/>
        <v>0</v>
      </c>
      <c r="I74" s="109">
        <f t="shared" si="30"/>
        <v>0</v>
      </c>
      <c r="J74" s="109">
        <f t="shared" si="30"/>
        <v>0</v>
      </c>
      <c r="K74" s="109">
        <f t="shared" si="30"/>
        <v>0</v>
      </c>
      <c r="L74" s="109">
        <f t="shared" si="30"/>
        <v>0</v>
      </c>
      <c r="M74" s="109">
        <f t="shared" si="30"/>
        <v>0</v>
      </c>
      <c r="N74" s="109">
        <f t="shared" si="30"/>
        <v>0</v>
      </c>
      <c r="O74" s="109">
        <f t="shared" si="30"/>
        <v>0</v>
      </c>
      <c r="P74" s="109">
        <f t="shared" si="30"/>
        <v>0</v>
      </c>
      <c r="Q74" s="109">
        <f t="shared" si="30"/>
        <v>-4240000</v>
      </c>
      <c r="R74" s="109">
        <f t="shared" si="30"/>
        <v>0</v>
      </c>
      <c r="S74" s="109">
        <f t="shared" si="30"/>
        <v>0</v>
      </c>
      <c r="T74" s="109">
        <f t="shared" si="30"/>
        <v>0</v>
      </c>
      <c r="U74" s="109">
        <f t="shared" si="30"/>
        <v>0</v>
      </c>
      <c r="V74" s="109">
        <f t="shared" si="30"/>
        <v>0</v>
      </c>
      <c r="W74" s="109">
        <f t="shared" si="30"/>
        <v>0</v>
      </c>
      <c r="X74" s="109">
        <f t="shared" si="30"/>
        <v>0</v>
      </c>
      <c r="Y74" s="109">
        <f t="shared" si="30"/>
        <v>0</v>
      </c>
      <c r="Z74" s="109">
        <f t="shared" si="30"/>
        <v>0</v>
      </c>
      <c r="AA74" s="109">
        <f t="shared" si="30"/>
        <v>0</v>
      </c>
      <c r="AB74" s="109">
        <f t="shared" si="30"/>
        <v>0</v>
      </c>
      <c r="AC74" s="109">
        <f t="shared" si="30"/>
        <v>-9480000</v>
      </c>
      <c r="AD74" s="109">
        <f t="shared" si="30"/>
        <v>0</v>
      </c>
      <c r="AE74" s="109">
        <f t="shared" si="30"/>
        <v>0</v>
      </c>
      <c r="AF74" s="109">
        <f t="shared" si="30"/>
        <v>0</v>
      </c>
      <c r="AG74" s="109">
        <f t="shared" si="30"/>
        <v>0</v>
      </c>
      <c r="AH74" s="109">
        <f t="shared" si="30"/>
        <v>0</v>
      </c>
      <c r="AI74" s="109">
        <f t="shared" si="30"/>
        <v>0</v>
      </c>
      <c r="AJ74" s="109">
        <f t="shared" si="30"/>
        <v>0</v>
      </c>
      <c r="AK74" s="109">
        <f t="shared" si="30"/>
        <v>0</v>
      </c>
      <c r="AL74" s="109">
        <f t="shared" si="30"/>
        <v>0</v>
      </c>
      <c r="AM74" s="109">
        <f t="shared" si="30"/>
        <v>0</v>
      </c>
      <c r="AN74" s="109">
        <f t="shared" si="30"/>
        <v>0</v>
      </c>
      <c r="AO74" s="109">
        <f t="shared" si="30"/>
        <v>-9480000</v>
      </c>
      <c r="AP74" s="109">
        <f t="shared" si="30"/>
        <v>0</v>
      </c>
      <c r="AQ74" s="109">
        <f t="shared" si="30"/>
        <v>0</v>
      </c>
      <c r="AR74" s="109">
        <f t="shared" si="30"/>
        <v>0</v>
      </c>
      <c r="AS74" s="109">
        <f t="shared" si="30"/>
        <v>0</v>
      </c>
      <c r="AT74" s="109">
        <f t="shared" si="30"/>
        <v>0</v>
      </c>
      <c r="AU74" s="109">
        <f t="shared" si="30"/>
        <v>0</v>
      </c>
      <c r="AV74" s="109">
        <f t="shared" si="30"/>
        <v>0</v>
      </c>
      <c r="AW74" s="109">
        <f t="shared" si="30"/>
        <v>0</v>
      </c>
      <c r="AX74" s="109">
        <f t="shared" si="30"/>
        <v>0</v>
      </c>
      <c r="AY74" s="109">
        <f t="shared" si="30"/>
        <v>0</v>
      </c>
      <c r="AZ74" s="109">
        <f t="shared" si="30"/>
        <v>0</v>
      </c>
      <c r="BA74" s="109">
        <f t="shared" si="30"/>
        <v>-22440000</v>
      </c>
      <c r="BB74" s="109">
        <f t="shared" si="30"/>
        <v>0</v>
      </c>
      <c r="BC74" s="109">
        <f t="shared" si="30"/>
        <v>0</v>
      </c>
      <c r="BD74" s="109">
        <f t="shared" si="30"/>
        <v>0</v>
      </c>
      <c r="BE74" s="109">
        <f t="shared" si="30"/>
        <v>0</v>
      </c>
      <c r="BF74" s="109">
        <f t="shared" si="30"/>
        <v>0</v>
      </c>
      <c r="BG74" s="109">
        <f t="shared" si="30"/>
        <v>0</v>
      </c>
      <c r="BH74" s="109">
        <f t="shared" si="30"/>
        <v>0</v>
      </c>
      <c r="BI74" s="109">
        <f t="shared" si="30"/>
        <v>0</v>
      </c>
      <c r="BJ74" s="109">
        <f t="shared" si="30"/>
        <v>0</v>
      </c>
      <c r="BK74" s="109">
        <f t="shared" si="30"/>
        <v>0</v>
      </c>
      <c r="BL74" s="109">
        <f t="shared" si="30"/>
        <v>0</v>
      </c>
      <c r="BM74" s="109">
        <f t="shared" si="30"/>
        <v>-9000000</v>
      </c>
      <c r="BN74" s="109">
        <f t="shared" si="30"/>
        <v>0</v>
      </c>
      <c r="BO74" s="109">
        <f t="shared" si="30"/>
        <v>0</v>
      </c>
      <c r="BP74" s="109">
        <f t="shared" si="30"/>
        <v>0</v>
      </c>
      <c r="BQ74" s="109">
        <f t="shared" si="30"/>
        <v>0</v>
      </c>
      <c r="BR74" s="109">
        <f t="shared" si="30"/>
        <v>0</v>
      </c>
      <c r="BS74" s="109">
        <f t="shared" si="30"/>
        <v>0</v>
      </c>
      <c r="BT74" s="109">
        <f t="shared" si="30"/>
        <v>0</v>
      </c>
      <c r="BU74" s="109">
        <f t="shared" si="30"/>
        <v>0</v>
      </c>
      <c r="BV74" s="109">
        <f t="shared" si="30"/>
        <v>0</v>
      </c>
      <c r="BW74" s="109">
        <f t="shared" si="30"/>
        <v>0</v>
      </c>
      <c r="BX74" s="109">
        <f t="shared" si="30"/>
        <v>0</v>
      </c>
      <c r="BY74" s="109">
        <f t="shared" si="30"/>
        <v>0</v>
      </c>
      <c r="BZ74" s="109">
        <f t="shared" si="30"/>
        <v>0</v>
      </c>
      <c r="CA74" s="109">
        <f t="shared" si="30"/>
        <v>0</v>
      </c>
      <c r="CB74" s="109">
        <f t="shared" si="30"/>
        <v>0</v>
      </c>
      <c r="CC74" s="109">
        <f t="shared" si="30"/>
        <v>0</v>
      </c>
      <c r="CD74" s="109">
        <f t="shared" si="30"/>
        <v>0</v>
      </c>
      <c r="CE74" s="109">
        <f t="shared" si="30"/>
        <v>0</v>
      </c>
      <c r="CF74" s="109">
        <f t="shared" si="30"/>
        <v>0</v>
      </c>
      <c r="CG74" s="109">
        <f t="shared" si="30"/>
        <v>0</v>
      </c>
      <c r="CH74" s="109">
        <f t="shared" si="30"/>
        <v>0</v>
      </c>
      <c r="CI74" s="109">
        <f t="shared" si="30"/>
        <v>0</v>
      </c>
      <c r="CJ74" s="109">
        <f t="shared" si="30"/>
        <v>0</v>
      </c>
    </row>
    <row r="75" spans="1:88" ht="13">
      <c r="A75" s="61"/>
      <c r="B75" s="61"/>
      <c r="C75" s="61"/>
      <c r="D75" s="61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55"/>
    </row>
    <row r="76" spans="1:88" ht="13">
      <c r="A76" s="61"/>
      <c r="B76" s="110" t="s">
        <v>114</v>
      </c>
      <c r="C76" s="61"/>
      <c r="D76" s="61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55"/>
      <c r="BL76" s="55"/>
      <c r="BM76" s="55"/>
      <c r="BN76" s="55"/>
      <c r="BO76" s="55"/>
      <c r="BP76" s="55"/>
      <c r="BQ76" s="55"/>
      <c r="BR76" s="55"/>
      <c r="BS76" s="55"/>
      <c r="BT76" s="55"/>
      <c r="BU76" s="55"/>
      <c r="BV76" s="55"/>
      <c r="BW76" s="55"/>
      <c r="BX76" s="55"/>
      <c r="BY76" s="55"/>
      <c r="BZ76" s="55"/>
      <c r="CA76" s="55"/>
      <c r="CB76" s="55"/>
      <c r="CC76" s="55"/>
      <c r="CD76" s="55"/>
      <c r="CE76" s="55"/>
      <c r="CF76" s="55"/>
      <c r="CG76" s="55"/>
      <c r="CH76" s="55"/>
      <c r="CI76" s="55"/>
      <c r="CJ76" s="55"/>
    </row>
    <row r="77" spans="1:88" ht="13">
      <c r="A77" s="61"/>
      <c r="B77" s="62" t="s">
        <v>115</v>
      </c>
      <c r="C77" s="61"/>
      <c r="D77" s="61"/>
      <c r="E77" s="27">
        <f t="shared" ref="E77:CJ77" si="31">E55-D55</f>
        <v>4500000</v>
      </c>
      <c r="F77" s="27">
        <f t="shared" si="31"/>
        <v>0</v>
      </c>
      <c r="G77" s="27">
        <f t="shared" si="31"/>
        <v>0</v>
      </c>
      <c r="H77" s="27">
        <f t="shared" si="31"/>
        <v>0</v>
      </c>
      <c r="I77" s="27">
        <f t="shared" si="31"/>
        <v>0</v>
      </c>
      <c r="J77" s="27">
        <f t="shared" si="31"/>
        <v>0</v>
      </c>
      <c r="K77" s="27">
        <f t="shared" si="31"/>
        <v>0</v>
      </c>
      <c r="L77" s="27">
        <f t="shared" si="31"/>
        <v>0</v>
      </c>
      <c r="M77" s="27">
        <f t="shared" si="31"/>
        <v>0</v>
      </c>
      <c r="N77" s="27">
        <f t="shared" si="31"/>
        <v>0</v>
      </c>
      <c r="O77" s="27">
        <f t="shared" si="31"/>
        <v>0</v>
      </c>
      <c r="P77" s="27">
        <f t="shared" si="31"/>
        <v>0</v>
      </c>
      <c r="Q77" s="27">
        <f t="shared" si="31"/>
        <v>12000000</v>
      </c>
      <c r="R77" s="27">
        <f t="shared" si="31"/>
        <v>0</v>
      </c>
      <c r="S77" s="27">
        <f t="shared" si="31"/>
        <v>0</v>
      </c>
      <c r="T77" s="27">
        <f t="shared" si="31"/>
        <v>0</v>
      </c>
      <c r="U77" s="27">
        <f t="shared" si="31"/>
        <v>0</v>
      </c>
      <c r="V77" s="27">
        <f t="shared" si="31"/>
        <v>0</v>
      </c>
      <c r="W77" s="27">
        <f t="shared" si="31"/>
        <v>0</v>
      </c>
      <c r="X77" s="27">
        <f t="shared" si="31"/>
        <v>0</v>
      </c>
      <c r="Y77" s="27">
        <f t="shared" si="31"/>
        <v>0</v>
      </c>
      <c r="Z77" s="27">
        <f t="shared" si="31"/>
        <v>0</v>
      </c>
      <c r="AA77" s="27">
        <f t="shared" si="31"/>
        <v>0</v>
      </c>
      <c r="AB77" s="27">
        <f t="shared" si="31"/>
        <v>0</v>
      </c>
      <c r="AC77" s="27">
        <f t="shared" si="31"/>
        <v>0</v>
      </c>
      <c r="AD77" s="27">
        <f t="shared" si="31"/>
        <v>0</v>
      </c>
      <c r="AE77" s="27">
        <f t="shared" si="31"/>
        <v>0</v>
      </c>
      <c r="AF77" s="27">
        <f t="shared" si="31"/>
        <v>0</v>
      </c>
      <c r="AG77" s="27">
        <f t="shared" si="31"/>
        <v>0</v>
      </c>
      <c r="AH77" s="27">
        <f t="shared" si="31"/>
        <v>0</v>
      </c>
      <c r="AI77" s="27">
        <f t="shared" si="31"/>
        <v>0</v>
      </c>
      <c r="AJ77" s="27">
        <f t="shared" si="31"/>
        <v>0</v>
      </c>
      <c r="AK77" s="27">
        <f t="shared" si="31"/>
        <v>0</v>
      </c>
      <c r="AL77" s="27">
        <f t="shared" si="31"/>
        <v>0</v>
      </c>
      <c r="AM77" s="27">
        <f t="shared" si="31"/>
        <v>0</v>
      </c>
      <c r="AN77" s="27">
        <f t="shared" si="31"/>
        <v>0</v>
      </c>
      <c r="AO77" s="27">
        <f t="shared" si="31"/>
        <v>0</v>
      </c>
      <c r="AP77" s="27">
        <f t="shared" si="31"/>
        <v>0</v>
      </c>
      <c r="AQ77" s="27">
        <f t="shared" si="31"/>
        <v>0</v>
      </c>
      <c r="AR77" s="27">
        <f t="shared" si="31"/>
        <v>0</v>
      </c>
      <c r="AS77" s="27">
        <f t="shared" si="31"/>
        <v>0</v>
      </c>
      <c r="AT77" s="27">
        <f t="shared" si="31"/>
        <v>0</v>
      </c>
      <c r="AU77" s="27">
        <f t="shared" si="31"/>
        <v>0</v>
      </c>
      <c r="AV77" s="27">
        <f t="shared" si="31"/>
        <v>0</v>
      </c>
      <c r="AW77" s="27">
        <f t="shared" si="31"/>
        <v>0</v>
      </c>
      <c r="AX77" s="27">
        <f t="shared" si="31"/>
        <v>0</v>
      </c>
      <c r="AY77" s="27">
        <f t="shared" si="31"/>
        <v>0</v>
      </c>
      <c r="AZ77" s="27">
        <f t="shared" si="31"/>
        <v>0</v>
      </c>
      <c r="BA77" s="27">
        <f t="shared" si="31"/>
        <v>0</v>
      </c>
      <c r="BB77" s="27">
        <f t="shared" si="31"/>
        <v>0</v>
      </c>
      <c r="BC77" s="27">
        <f t="shared" si="31"/>
        <v>0</v>
      </c>
      <c r="BD77" s="27">
        <f t="shared" si="31"/>
        <v>0</v>
      </c>
      <c r="BE77" s="27">
        <f t="shared" si="31"/>
        <v>0</v>
      </c>
      <c r="BF77" s="27">
        <f t="shared" si="31"/>
        <v>0</v>
      </c>
      <c r="BG77" s="27">
        <f t="shared" si="31"/>
        <v>0</v>
      </c>
      <c r="BH77" s="27">
        <f t="shared" si="31"/>
        <v>0</v>
      </c>
      <c r="BI77" s="27">
        <f t="shared" si="31"/>
        <v>0</v>
      </c>
      <c r="BJ77" s="27">
        <f t="shared" si="31"/>
        <v>0</v>
      </c>
      <c r="BK77" s="27">
        <f t="shared" si="31"/>
        <v>0</v>
      </c>
      <c r="BL77" s="27">
        <f t="shared" si="31"/>
        <v>0</v>
      </c>
      <c r="BM77" s="27">
        <f t="shared" si="31"/>
        <v>0</v>
      </c>
      <c r="BN77" s="27">
        <f t="shared" si="31"/>
        <v>0</v>
      </c>
      <c r="BO77" s="27">
        <f t="shared" si="31"/>
        <v>0</v>
      </c>
      <c r="BP77" s="27">
        <f t="shared" si="31"/>
        <v>0</v>
      </c>
      <c r="BQ77" s="27">
        <f t="shared" si="31"/>
        <v>0</v>
      </c>
      <c r="BR77" s="27">
        <f t="shared" si="31"/>
        <v>0</v>
      </c>
      <c r="BS77" s="27">
        <f t="shared" si="31"/>
        <v>0</v>
      </c>
      <c r="BT77" s="27">
        <f t="shared" si="31"/>
        <v>0</v>
      </c>
      <c r="BU77" s="27">
        <f t="shared" si="31"/>
        <v>0</v>
      </c>
      <c r="BV77" s="27">
        <f t="shared" si="31"/>
        <v>0</v>
      </c>
      <c r="BW77" s="27">
        <f t="shared" si="31"/>
        <v>0</v>
      </c>
      <c r="BX77" s="27">
        <f t="shared" si="31"/>
        <v>0</v>
      </c>
      <c r="BY77" s="27">
        <f t="shared" si="31"/>
        <v>0</v>
      </c>
      <c r="BZ77" s="27">
        <f t="shared" si="31"/>
        <v>0</v>
      </c>
      <c r="CA77" s="27">
        <f t="shared" si="31"/>
        <v>0</v>
      </c>
      <c r="CB77" s="27">
        <f t="shared" si="31"/>
        <v>0</v>
      </c>
      <c r="CC77" s="27">
        <f t="shared" si="31"/>
        <v>0</v>
      </c>
      <c r="CD77" s="27">
        <f t="shared" si="31"/>
        <v>0</v>
      </c>
      <c r="CE77" s="27">
        <f t="shared" si="31"/>
        <v>0</v>
      </c>
      <c r="CF77" s="27">
        <f t="shared" si="31"/>
        <v>0</v>
      </c>
      <c r="CG77" s="27">
        <f t="shared" si="31"/>
        <v>0</v>
      </c>
      <c r="CH77" s="27">
        <f t="shared" si="31"/>
        <v>0</v>
      </c>
      <c r="CI77" s="27">
        <f t="shared" si="31"/>
        <v>0</v>
      </c>
      <c r="CJ77" s="27">
        <f t="shared" si="31"/>
        <v>0</v>
      </c>
    </row>
    <row r="78" spans="1:88" ht="13">
      <c r="A78" s="61"/>
      <c r="B78" s="107" t="s">
        <v>116</v>
      </c>
      <c r="C78" s="108"/>
      <c r="D78" s="108"/>
      <c r="E78" s="109">
        <f t="shared" ref="E78:CJ78" si="32">E77</f>
        <v>4500000</v>
      </c>
      <c r="F78" s="109">
        <f t="shared" si="32"/>
        <v>0</v>
      </c>
      <c r="G78" s="109">
        <f t="shared" si="32"/>
        <v>0</v>
      </c>
      <c r="H78" s="109">
        <f t="shared" si="32"/>
        <v>0</v>
      </c>
      <c r="I78" s="109">
        <f t="shared" si="32"/>
        <v>0</v>
      </c>
      <c r="J78" s="109">
        <f t="shared" si="32"/>
        <v>0</v>
      </c>
      <c r="K78" s="109">
        <f t="shared" si="32"/>
        <v>0</v>
      </c>
      <c r="L78" s="109">
        <f t="shared" si="32"/>
        <v>0</v>
      </c>
      <c r="M78" s="109">
        <f t="shared" si="32"/>
        <v>0</v>
      </c>
      <c r="N78" s="109">
        <f t="shared" si="32"/>
        <v>0</v>
      </c>
      <c r="O78" s="109">
        <f t="shared" si="32"/>
        <v>0</v>
      </c>
      <c r="P78" s="109">
        <f t="shared" si="32"/>
        <v>0</v>
      </c>
      <c r="Q78" s="109">
        <f t="shared" si="32"/>
        <v>12000000</v>
      </c>
      <c r="R78" s="109">
        <f t="shared" si="32"/>
        <v>0</v>
      </c>
      <c r="S78" s="109">
        <f t="shared" si="32"/>
        <v>0</v>
      </c>
      <c r="T78" s="109">
        <f t="shared" si="32"/>
        <v>0</v>
      </c>
      <c r="U78" s="109">
        <f t="shared" si="32"/>
        <v>0</v>
      </c>
      <c r="V78" s="109">
        <f t="shared" si="32"/>
        <v>0</v>
      </c>
      <c r="W78" s="109">
        <f t="shared" si="32"/>
        <v>0</v>
      </c>
      <c r="X78" s="109">
        <f t="shared" si="32"/>
        <v>0</v>
      </c>
      <c r="Y78" s="109">
        <f t="shared" si="32"/>
        <v>0</v>
      </c>
      <c r="Z78" s="109">
        <f t="shared" si="32"/>
        <v>0</v>
      </c>
      <c r="AA78" s="109">
        <f t="shared" si="32"/>
        <v>0</v>
      </c>
      <c r="AB78" s="109">
        <f t="shared" si="32"/>
        <v>0</v>
      </c>
      <c r="AC78" s="109">
        <f t="shared" si="32"/>
        <v>0</v>
      </c>
      <c r="AD78" s="109">
        <f t="shared" si="32"/>
        <v>0</v>
      </c>
      <c r="AE78" s="109">
        <f t="shared" si="32"/>
        <v>0</v>
      </c>
      <c r="AF78" s="109">
        <f t="shared" si="32"/>
        <v>0</v>
      </c>
      <c r="AG78" s="109">
        <f t="shared" si="32"/>
        <v>0</v>
      </c>
      <c r="AH78" s="109">
        <f t="shared" si="32"/>
        <v>0</v>
      </c>
      <c r="AI78" s="109">
        <f t="shared" si="32"/>
        <v>0</v>
      </c>
      <c r="AJ78" s="109">
        <f t="shared" si="32"/>
        <v>0</v>
      </c>
      <c r="AK78" s="109">
        <f t="shared" si="32"/>
        <v>0</v>
      </c>
      <c r="AL78" s="109">
        <f t="shared" si="32"/>
        <v>0</v>
      </c>
      <c r="AM78" s="109">
        <f t="shared" si="32"/>
        <v>0</v>
      </c>
      <c r="AN78" s="109">
        <f t="shared" si="32"/>
        <v>0</v>
      </c>
      <c r="AO78" s="109">
        <f t="shared" si="32"/>
        <v>0</v>
      </c>
      <c r="AP78" s="109">
        <f t="shared" si="32"/>
        <v>0</v>
      </c>
      <c r="AQ78" s="109">
        <f t="shared" si="32"/>
        <v>0</v>
      </c>
      <c r="AR78" s="109">
        <f t="shared" si="32"/>
        <v>0</v>
      </c>
      <c r="AS78" s="109">
        <f t="shared" si="32"/>
        <v>0</v>
      </c>
      <c r="AT78" s="109">
        <f t="shared" si="32"/>
        <v>0</v>
      </c>
      <c r="AU78" s="109">
        <f t="shared" si="32"/>
        <v>0</v>
      </c>
      <c r="AV78" s="109">
        <f t="shared" si="32"/>
        <v>0</v>
      </c>
      <c r="AW78" s="109">
        <f t="shared" si="32"/>
        <v>0</v>
      </c>
      <c r="AX78" s="109">
        <f t="shared" si="32"/>
        <v>0</v>
      </c>
      <c r="AY78" s="109">
        <f t="shared" si="32"/>
        <v>0</v>
      </c>
      <c r="AZ78" s="109">
        <f t="shared" si="32"/>
        <v>0</v>
      </c>
      <c r="BA78" s="109">
        <f t="shared" si="32"/>
        <v>0</v>
      </c>
      <c r="BB78" s="109">
        <f t="shared" si="32"/>
        <v>0</v>
      </c>
      <c r="BC78" s="109">
        <f t="shared" si="32"/>
        <v>0</v>
      </c>
      <c r="BD78" s="109">
        <f t="shared" si="32"/>
        <v>0</v>
      </c>
      <c r="BE78" s="109">
        <f t="shared" si="32"/>
        <v>0</v>
      </c>
      <c r="BF78" s="109">
        <f t="shared" si="32"/>
        <v>0</v>
      </c>
      <c r="BG78" s="109">
        <f t="shared" si="32"/>
        <v>0</v>
      </c>
      <c r="BH78" s="109">
        <f t="shared" si="32"/>
        <v>0</v>
      </c>
      <c r="BI78" s="109">
        <f t="shared" si="32"/>
        <v>0</v>
      </c>
      <c r="BJ78" s="109">
        <f t="shared" si="32"/>
        <v>0</v>
      </c>
      <c r="BK78" s="109">
        <f t="shared" si="32"/>
        <v>0</v>
      </c>
      <c r="BL78" s="109">
        <f t="shared" si="32"/>
        <v>0</v>
      </c>
      <c r="BM78" s="109">
        <f t="shared" si="32"/>
        <v>0</v>
      </c>
      <c r="BN78" s="109">
        <f t="shared" si="32"/>
        <v>0</v>
      </c>
      <c r="BO78" s="109">
        <f t="shared" si="32"/>
        <v>0</v>
      </c>
      <c r="BP78" s="109">
        <f t="shared" si="32"/>
        <v>0</v>
      </c>
      <c r="BQ78" s="109">
        <f t="shared" si="32"/>
        <v>0</v>
      </c>
      <c r="BR78" s="109">
        <f t="shared" si="32"/>
        <v>0</v>
      </c>
      <c r="BS78" s="109">
        <f t="shared" si="32"/>
        <v>0</v>
      </c>
      <c r="BT78" s="109">
        <f t="shared" si="32"/>
        <v>0</v>
      </c>
      <c r="BU78" s="109">
        <f t="shared" si="32"/>
        <v>0</v>
      </c>
      <c r="BV78" s="109">
        <f t="shared" si="32"/>
        <v>0</v>
      </c>
      <c r="BW78" s="109">
        <f t="shared" si="32"/>
        <v>0</v>
      </c>
      <c r="BX78" s="109">
        <f t="shared" si="32"/>
        <v>0</v>
      </c>
      <c r="BY78" s="109">
        <f t="shared" si="32"/>
        <v>0</v>
      </c>
      <c r="BZ78" s="109">
        <f t="shared" si="32"/>
        <v>0</v>
      </c>
      <c r="CA78" s="109">
        <f t="shared" si="32"/>
        <v>0</v>
      </c>
      <c r="CB78" s="109">
        <f t="shared" si="32"/>
        <v>0</v>
      </c>
      <c r="CC78" s="109">
        <f t="shared" si="32"/>
        <v>0</v>
      </c>
      <c r="CD78" s="109">
        <f t="shared" si="32"/>
        <v>0</v>
      </c>
      <c r="CE78" s="109">
        <f t="shared" si="32"/>
        <v>0</v>
      </c>
      <c r="CF78" s="109">
        <f t="shared" si="32"/>
        <v>0</v>
      </c>
      <c r="CG78" s="109">
        <f t="shared" si="32"/>
        <v>0</v>
      </c>
      <c r="CH78" s="109">
        <f t="shared" si="32"/>
        <v>0</v>
      </c>
      <c r="CI78" s="109">
        <f t="shared" si="32"/>
        <v>0</v>
      </c>
      <c r="CJ78" s="109">
        <f t="shared" si="32"/>
        <v>0</v>
      </c>
    </row>
    <row r="79" spans="1:88" ht="13">
      <c r="A79" s="61"/>
      <c r="B79" s="61"/>
      <c r="C79" s="61"/>
      <c r="D79" s="61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5"/>
      <c r="BO79" s="55"/>
      <c r="BP79" s="55"/>
      <c r="BQ79" s="55"/>
      <c r="BR79" s="55"/>
      <c r="BS79" s="55"/>
      <c r="BT79" s="55"/>
      <c r="BU79" s="55"/>
      <c r="BV79" s="55"/>
      <c r="BW79" s="55"/>
      <c r="BX79" s="55"/>
      <c r="BY79" s="55"/>
      <c r="BZ79" s="55"/>
      <c r="CA79" s="55"/>
      <c r="CB79" s="55"/>
      <c r="CC79" s="55"/>
      <c r="CD79" s="55"/>
      <c r="CE79" s="55"/>
      <c r="CF79" s="55"/>
      <c r="CG79" s="55"/>
      <c r="CH79" s="55"/>
      <c r="CI79" s="55"/>
      <c r="CJ79" s="55"/>
    </row>
    <row r="80" spans="1:88" ht="13">
      <c r="A80" s="61"/>
      <c r="B80" s="110" t="s">
        <v>117</v>
      </c>
      <c r="C80" s="61"/>
      <c r="D80" s="61"/>
      <c r="E80" s="66">
        <f>'Model Assumptions'!C73</f>
        <v>60000</v>
      </c>
      <c r="F80" s="66">
        <f t="shared" ref="F80:CJ80" si="33">E84</f>
        <v>1251458.3333333333</v>
      </c>
      <c r="G80" s="66">
        <f t="shared" si="33"/>
        <v>1138541.6666666665</v>
      </c>
      <c r="H80" s="66">
        <f t="shared" si="33"/>
        <v>1025624.9999999999</v>
      </c>
      <c r="I80" s="66">
        <f t="shared" si="33"/>
        <v>912708.33333333326</v>
      </c>
      <c r="J80" s="66">
        <f t="shared" si="33"/>
        <v>799791.66666666663</v>
      </c>
      <c r="K80" s="66">
        <f t="shared" si="33"/>
        <v>686875</v>
      </c>
      <c r="L80" s="66">
        <f t="shared" si="33"/>
        <v>573958.33333333337</v>
      </c>
      <c r="M80" s="66">
        <f t="shared" si="33"/>
        <v>461041.66666666674</v>
      </c>
      <c r="N80" s="66">
        <f t="shared" si="33"/>
        <v>348125.00000000023</v>
      </c>
      <c r="O80" s="66">
        <f t="shared" si="33"/>
        <v>235208.33333333366</v>
      </c>
      <c r="P80" s="66">
        <f t="shared" si="33"/>
        <v>122291.66666666709</v>
      </c>
      <c r="Q80" s="66">
        <f t="shared" si="33"/>
        <v>9375.0000000005239</v>
      </c>
      <c r="R80" s="66">
        <f t="shared" si="33"/>
        <v>7620042.8854166679</v>
      </c>
      <c r="S80" s="66">
        <f t="shared" si="33"/>
        <v>7546064.9895833349</v>
      </c>
      <c r="T80" s="66">
        <f t="shared" si="33"/>
        <v>7472087.0937500019</v>
      </c>
      <c r="U80" s="66">
        <f t="shared" si="33"/>
        <v>7398109.1979166679</v>
      </c>
      <c r="V80" s="66">
        <f t="shared" si="33"/>
        <v>7324131.3020833349</v>
      </c>
      <c r="W80" s="66">
        <f t="shared" si="33"/>
        <v>7250153.4062500019</v>
      </c>
      <c r="X80" s="66">
        <f t="shared" si="33"/>
        <v>7361451.3047916684</v>
      </c>
      <c r="Y80" s="66">
        <f t="shared" si="33"/>
        <v>7791666.078333335</v>
      </c>
      <c r="Z80" s="66">
        <f t="shared" si="33"/>
        <v>8221880.8518750016</v>
      </c>
      <c r="AA80" s="66">
        <f t="shared" si="33"/>
        <v>8652095.6254166681</v>
      </c>
      <c r="AB80" s="66">
        <f t="shared" si="33"/>
        <v>9082310.3989583347</v>
      </c>
      <c r="AC80" s="66">
        <f t="shared" si="33"/>
        <v>9512525.1725000013</v>
      </c>
      <c r="AD80" s="66">
        <f t="shared" si="33"/>
        <v>519347.74669230916</v>
      </c>
      <c r="AE80" s="66">
        <f t="shared" si="33"/>
        <v>1396066.4146346166</v>
      </c>
      <c r="AF80" s="66">
        <f t="shared" si="33"/>
        <v>2272785.082576924</v>
      </c>
      <c r="AG80" s="66">
        <f t="shared" si="33"/>
        <v>3149503.7505192314</v>
      </c>
      <c r="AH80" s="66">
        <f t="shared" si="33"/>
        <v>4026222.4184615389</v>
      </c>
      <c r="AI80" s="66">
        <f t="shared" si="33"/>
        <v>4902941.0864038458</v>
      </c>
      <c r="AJ80" s="66">
        <f t="shared" si="33"/>
        <v>5963036.9574711537</v>
      </c>
      <c r="AK80" s="66">
        <f t="shared" si="33"/>
        <v>7421778.9222884616</v>
      </c>
      <c r="AL80" s="66">
        <f t="shared" si="33"/>
        <v>8880520.8871057685</v>
      </c>
      <c r="AM80" s="66">
        <f t="shared" si="33"/>
        <v>10339262.851923075</v>
      </c>
      <c r="AN80" s="66">
        <f t="shared" si="33"/>
        <v>11798004.816740381</v>
      </c>
      <c r="AO80" s="66">
        <f t="shared" si="33"/>
        <v>13256746.781557687</v>
      </c>
      <c r="AP80" s="66">
        <f t="shared" si="33"/>
        <v>6146794.5228577787</v>
      </c>
      <c r="AQ80" s="66">
        <f t="shared" si="33"/>
        <v>9235280.5454078708</v>
      </c>
      <c r="AR80" s="66">
        <f t="shared" si="33"/>
        <v>12323766.56795796</v>
      </c>
      <c r="AS80" s="66">
        <f t="shared" si="33"/>
        <v>15412252.590508051</v>
      </c>
      <c r="AT80" s="66">
        <f t="shared" si="33"/>
        <v>18500738.613058142</v>
      </c>
      <c r="AU80" s="66">
        <f t="shared" si="33"/>
        <v>21589224.635608234</v>
      </c>
      <c r="AV80" s="66">
        <f t="shared" si="33"/>
        <v>24677710.658158325</v>
      </c>
      <c r="AW80" s="66">
        <f t="shared" si="33"/>
        <v>27766196.680708412</v>
      </c>
      <c r="AX80" s="66">
        <f t="shared" si="33"/>
        <v>30854682.7032585</v>
      </c>
      <c r="AY80" s="66">
        <f t="shared" si="33"/>
        <v>33943168.725808591</v>
      </c>
      <c r="AZ80" s="66">
        <f t="shared" si="33"/>
        <v>37031654.748358682</v>
      </c>
      <c r="BA80" s="66">
        <f t="shared" si="33"/>
        <v>40120140.770908773</v>
      </c>
      <c r="BB80" s="66">
        <f t="shared" si="33"/>
        <v>22138140.435042612</v>
      </c>
      <c r="BC80" s="66">
        <f t="shared" si="33"/>
        <v>27226974.474176455</v>
      </c>
      <c r="BD80" s="66">
        <f t="shared" si="33"/>
        <v>32315808.513310295</v>
      </c>
      <c r="BE80" s="66">
        <f t="shared" si="33"/>
        <v>37404642.55244413</v>
      </c>
      <c r="BF80" s="66">
        <f t="shared" si="33"/>
        <v>42493476.591577977</v>
      </c>
      <c r="BG80" s="66">
        <f t="shared" si="33"/>
        <v>47582310.630711824</v>
      </c>
      <c r="BH80" s="66">
        <f t="shared" si="33"/>
        <v>52671144.66984567</v>
      </c>
      <c r="BI80" s="66">
        <f t="shared" si="33"/>
        <v>57759978.708979517</v>
      </c>
      <c r="BJ80" s="66">
        <f t="shared" si="33"/>
        <v>62848812.748113364</v>
      </c>
      <c r="BK80" s="66">
        <f t="shared" si="33"/>
        <v>67937646.787247211</v>
      </c>
      <c r="BL80" s="66">
        <f t="shared" si="33"/>
        <v>73026480.826381043</v>
      </c>
      <c r="BM80" s="66">
        <f t="shared" si="33"/>
        <v>78115314.865514889</v>
      </c>
      <c r="BN80" s="66">
        <f t="shared" si="33"/>
        <v>76033195.285641223</v>
      </c>
      <c r="BO80" s="66">
        <f t="shared" si="33"/>
        <v>85671494.455767572</v>
      </c>
      <c r="BP80" s="66">
        <f t="shared" si="33"/>
        <v>95309793.625893921</v>
      </c>
      <c r="BQ80" s="66">
        <f t="shared" si="33"/>
        <v>104948092.79602025</v>
      </c>
      <c r="BR80" s="66">
        <f t="shared" si="33"/>
        <v>114586391.9661466</v>
      </c>
      <c r="BS80" s="66">
        <f t="shared" si="33"/>
        <v>124224691.13627295</v>
      </c>
      <c r="BT80" s="66">
        <f t="shared" si="33"/>
        <v>133862990.3063993</v>
      </c>
      <c r="BU80" s="66">
        <f t="shared" si="33"/>
        <v>143501289.47652566</v>
      </c>
      <c r="BV80" s="66">
        <f t="shared" si="33"/>
        <v>153139588.64665201</v>
      </c>
      <c r="BW80" s="66">
        <f t="shared" si="33"/>
        <v>162777887.81677836</v>
      </c>
      <c r="BX80" s="66">
        <f t="shared" si="33"/>
        <v>172416186.98690471</v>
      </c>
      <c r="BY80" s="66">
        <f t="shared" si="33"/>
        <v>182054486.15703106</v>
      </c>
      <c r="BZ80" s="66">
        <f t="shared" si="33"/>
        <v>192722451.32439116</v>
      </c>
      <c r="CA80" s="66">
        <f t="shared" si="33"/>
        <v>205782293.05425125</v>
      </c>
      <c r="CB80" s="66">
        <f t="shared" si="33"/>
        <v>218842134.78411135</v>
      </c>
      <c r="CC80" s="66">
        <f t="shared" si="33"/>
        <v>231901976.51397145</v>
      </c>
      <c r="CD80" s="66">
        <f t="shared" si="33"/>
        <v>244961818.24383155</v>
      </c>
      <c r="CE80" s="66">
        <f t="shared" si="33"/>
        <v>258021659.97369164</v>
      </c>
      <c r="CF80" s="66">
        <f t="shared" si="33"/>
        <v>271081501.70355177</v>
      </c>
      <c r="CG80" s="66">
        <f t="shared" si="33"/>
        <v>284141343.4334119</v>
      </c>
      <c r="CH80" s="66">
        <f t="shared" si="33"/>
        <v>297201185.16327202</v>
      </c>
      <c r="CI80" s="66">
        <f t="shared" si="33"/>
        <v>310261026.89313209</v>
      </c>
      <c r="CJ80" s="66">
        <f t="shared" si="33"/>
        <v>323320868.62299222</v>
      </c>
    </row>
    <row r="81" spans="1:88" ht="13">
      <c r="A81" s="61"/>
      <c r="B81" s="61"/>
      <c r="C81" s="61"/>
      <c r="D81" s="61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5"/>
      <c r="BJ81" s="55"/>
      <c r="BK81" s="55"/>
      <c r="BL81" s="55"/>
      <c r="BM81" s="55"/>
      <c r="BN81" s="55"/>
      <c r="BO81" s="55"/>
      <c r="BP81" s="55"/>
      <c r="BQ81" s="55"/>
      <c r="BR81" s="55"/>
      <c r="BS81" s="55"/>
      <c r="BT81" s="55"/>
      <c r="BU81" s="55"/>
      <c r="BV81" s="55"/>
      <c r="BW81" s="55"/>
      <c r="BX81" s="55"/>
      <c r="BY81" s="55"/>
      <c r="BZ81" s="55"/>
      <c r="CA81" s="55"/>
      <c r="CB81" s="55"/>
      <c r="CC81" s="55"/>
      <c r="CD81" s="55"/>
      <c r="CE81" s="55"/>
      <c r="CF81" s="55"/>
      <c r="CG81" s="55"/>
      <c r="CH81" s="55"/>
      <c r="CI81" s="55"/>
      <c r="CJ81" s="55"/>
    </row>
    <row r="82" spans="1:88" ht="13">
      <c r="A82" s="61"/>
      <c r="B82" s="110" t="s">
        <v>118</v>
      </c>
      <c r="C82" s="61"/>
      <c r="D82" s="61"/>
      <c r="E82" s="66">
        <f t="shared" ref="E82:L82" si="34">E78+E74+E70</f>
        <v>1191458.3333333333</v>
      </c>
      <c r="F82" s="66">
        <f t="shared" si="34"/>
        <v>-112916.66666666666</v>
      </c>
      <c r="G82" s="66">
        <f t="shared" si="34"/>
        <v>-112916.66666666666</v>
      </c>
      <c r="H82" s="66">
        <f t="shared" si="34"/>
        <v>-112916.66666666666</v>
      </c>
      <c r="I82" s="66">
        <f t="shared" si="34"/>
        <v>-112916.66666666667</v>
      </c>
      <c r="J82" s="66">
        <f t="shared" si="34"/>
        <v>-112916.66666666666</v>
      </c>
      <c r="K82" s="66">
        <f t="shared" si="34"/>
        <v>-112916.66666666666</v>
      </c>
      <c r="L82" s="66">
        <f t="shared" si="34"/>
        <v>-112916.66666666666</v>
      </c>
      <c r="M82" s="66">
        <f t="shared" ref="M82:CJ82" si="35">SUM(M78,M74,M70)</f>
        <v>-112916.66666666654</v>
      </c>
      <c r="N82" s="66">
        <f t="shared" si="35"/>
        <v>-112916.66666666657</v>
      </c>
      <c r="O82" s="66">
        <f t="shared" si="35"/>
        <v>-112916.66666666657</v>
      </c>
      <c r="P82" s="66">
        <f t="shared" si="35"/>
        <v>-112916.66666666657</v>
      </c>
      <c r="Q82" s="66">
        <f t="shared" si="35"/>
        <v>7610667.885416667</v>
      </c>
      <c r="R82" s="66">
        <f t="shared" si="35"/>
        <v>-73977.895833333372</v>
      </c>
      <c r="S82" s="66">
        <f t="shared" si="35"/>
        <v>-73977.895833333256</v>
      </c>
      <c r="T82" s="66">
        <f t="shared" si="35"/>
        <v>-73977.895833333489</v>
      </c>
      <c r="U82" s="66">
        <f t="shared" si="35"/>
        <v>-73977.895833333256</v>
      </c>
      <c r="V82" s="66">
        <f t="shared" si="35"/>
        <v>-73977.895833333139</v>
      </c>
      <c r="W82" s="66">
        <f t="shared" si="35"/>
        <v>111297.89854166657</v>
      </c>
      <c r="X82" s="66">
        <f t="shared" si="35"/>
        <v>430214.77354166668</v>
      </c>
      <c r="Y82" s="66">
        <f t="shared" si="35"/>
        <v>430214.7735416668</v>
      </c>
      <c r="Z82" s="66">
        <f t="shared" si="35"/>
        <v>430214.77354166668</v>
      </c>
      <c r="AA82" s="66">
        <f t="shared" si="35"/>
        <v>430214.77354166668</v>
      </c>
      <c r="AB82" s="66">
        <f t="shared" si="35"/>
        <v>430214.77354166674</v>
      </c>
      <c r="AC82" s="66">
        <f t="shared" si="35"/>
        <v>-8993177.4258076921</v>
      </c>
      <c r="AD82" s="66">
        <f t="shared" si="35"/>
        <v>876718.66794230742</v>
      </c>
      <c r="AE82" s="66">
        <f t="shared" si="35"/>
        <v>876718.66794230766</v>
      </c>
      <c r="AF82" s="66">
        <f t="shared" si="35"/>
        <v>876718.66794230742</v>
      </c>
      <c r="AG82" s="66">
        <f t="shared" si="35"/>
        <v>876718.66794230766</v>
      </c>
      <c r="AH82" s="66">
        <f t="shared" si="35"/>
        <v>876718.66794230719</v>
      </c>
      <c r="AI82" s="66">
        <f t="shared" si="35"/>
        <v>1060095.8710673079</v>
      </c>
      <c r="AJ82" s="66">
        <f t="shared" si="35"/>
        <v>1458741.9648173079</v>
      </c>
      <c r="AK82" s="66">
        <f t="shared" si="35"/>
        <v>1458741.9648173074</v>
      </c>
      <c r="AL82" s="66">
        <f t="shared" si="35"/>
        <v>1458741.964817307</v>
      </c>
      <c r="AM82" s="66">
        <f t="shared" si="35"/>
        <v>1458741.9648173065</v>
      </c>
      <c r="AN82" s="66">
        <f t="shared" si="35"/>
        <v>1458741.9648173065</v>
      </c>
      <c r="AO82" s="66">
        <f t="shared" si="35"/>
        <v>-7109952.2586999079</v>
      </c>
      <c r="AP82" s="66">
        <f t="shared" si="35"/>
        <v>3088486.0225500916</v>
      </c>
      <c r="AQ82" s="66">
        <f t="shared" si="35"/>
        <v>3088486.0225500902</v>
      </c>
      <c r="AR82" s="66">
        <f t="shared" si="35"/>
        <v>3088486.0225500921</v>
      </c>
      <c r="AS82" s="66">
        <f t="shared" si="35"/>
        <v>3088486.0225500921</v>
      </c>
      <c r="AT82" s="66">
        <f t="shared" si="35"/>
        <v>3088486.0225500921</v>
      </c>
      <c r="AU82" s="66">
        <f t="shared" si="35"/>
        <v>3088486.0225500902</v>
      </c>
      <c r="AV82" s="66">
        <f t="shared" si="35"/>
        <v>3088486.0225500884</v>
      </c>
      <c r="AW82" s="66">
        <f t="shared" si="35"/>
        <v>3088486.0225500874</v>
      </c>
      <c r="AX82" s="66">
        <f t="shared" si="35"/>
        <v>3088486.0225500884</v>
      </c>
      <c r="AY82" s="66">
        <f t="shared" si="35"/>
        <v>3088486.0225500884</v>
      </c>
      <c r="AZ82" s="66">
        <f t="shared" si="35"/>
        <v>3088486.0225500874</v>
      </c>
      <c r="BA82" s="66">
        <f t="shared" si="35"/>
        <v>-17982000.335866161</v>
      </c>
      <c r="BB82" s="66">
        <f t="shared" si="35"/>
        <v>5088834.039133843</v>
      </c>
      <c r="BC82" s="66">
        <f t="shared" si="35"/>
        <v>5088834.0391338384</v>
      </c>
      <c r="BD82" s="66">
        <f t="shared" si="35"/>
        <v>5088834.0391338384</v>
      </c>
      <c r="BE82" s="66">
        <f t="shared" si="35"/>
        <v>5088834.039133843</v>
      </c>
      <c r="BF82" s="66">
        <f t="shared" si="35"/>
        <v>5088834.0391338449</v>
      </c>
      <c r="BG82" s="66">
        <f t="shared" si="35"/>
        <v>5088834.0391338468</v>
      </c>
      <c r="BH82" s="66">
        <f t="shared" si="35"/>
        <v>5088834.0391338449</v>
      </c>
      <c r="BI82" s="66">
        <f t="shared" si="35"/>
        <v>5088834.0391338449</v>
      </c>
      <c r="BJ82" s="66">
        <f t="shared" si="35"/>
        <v>5088834.039133843</v>
      </c>
      <c r="BK82" s="66">
        <f t="shared" si="35"/>
        <v>5088834.0391338337</v>
      </c>
      <c r="BL82" s="66">
        <f t="shared" si="35"/>
        <v>5088834.039133843</v>
      </c>
      <c r="BM82" s="66">
        <f t="shared" si="35"/>
        <v>-2082119.5798736606</v>
      </c>
      <c r="BN82" s="66">
        <f t="shared" si="35"/>
        <v>9638299.1701263487</v>
      </c>
      <c r="BO82" s="66">
        <f t="shared" si="35"/>
        <v>9638299.1701263413</v>
      </c>
      <c r="BP82" s="66">
        <f t="shared" si="35"/>
        <v>9638299.1701263357</v>
      </c>
      <c r="BQ82" s="66">
        <f t="shared" si="35"/>
        <v>9638299.1701263525</v>
      </c>
      <c r="BR82" s="66">
        <f t="shared" si="35"/>
        <v>9638299.1701263506</v>
      </c>
      <c r="BS82" s="66">
        <f t="shared" si="35"/>
        <v>9638299.1701263506</v>
      </c>
      <c r="BT82" s="66">
        <f t="shared" si="35"/>
        <v>9638299.1701263525</v>
      </c>
      <c r="BU82" s="66">
        <f t="shared" si="35"/>
        <v>9638299.1701263506</v>
      </c>
      <c r="BV82" s="66">
        <f t="shared" si="35"/>
        <v>9638299.1701263562</v>
      </c>
      <c r="BW82" s="66">
        <f t="shared" si="35"/>
        <v>9638299.1701263487</v>
      </c>
      <c r="BX82" s="66">
        <f t="shared" si="35"/>
        <v>9638299.1701263562</v>
      </c>
      <c r="BY82" s="66">
        <f t="shared" si="35"/>
        <v>10667965.167360097</v>
      </c>
      <c r="BZ82" s="66">
        <f t="shared" si="35"/>
        <v>13059841.729860097</v>
      </c>
      <c r="CA82" s="66">
        <f t="shared" si="35"/>
        <v>13059841.729860101</v>
      </c>
      <c r="CB82" s="66">
        <f t="shared" si="35"/>
        <v>13059841.729860101</v>
      </c>
      <c r="CC82" s="66">
        <f t="shared" si="35"/>
        <v>13059841.729860105</v>
      </c>
      <c r="CD82" s="66">
        <f t="shared" si="35"/>
        <v>13059841.729860097</v>
      </c>
      <c r="CE82" s="66">
        <f t="shared" si="35"/>
        <v>13059841.729860101</v>
      </c>
      <c r="CF82" s="66">
        <f t="shared" si="35"/>
        <v>13059841.729860101</v>
      </c>
      <c r="CG82" s="66">
        <f t="shared" si="35"/>
        <v>13059841.729860101</v>
      </c>
      <c r="CH82" s="66">
        <f t="shared" si="35"/>
        <v>13059841.729860097</v>
      </c>
      <c r="CI82" s="66">
        <f t="shared" si="35"/>
        <v>13059841.729860105</v>
      </c>
      <c r="CJ82" s="66">
        <f t="shared" si="35"/>
        <v>13059841.729860101</v>
      </c>
    </row>
    <row r="83" spans="1:88" ht="13">
      <c r="A83" s="61"/>
      <c r="B83" s="61"/>
      <c r="C83" s="61"/>
      <c r="D83" s="61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  <c r="BQ83" s="55"/>
      <c r="BR83" s="55"/>
      <c r="BS83" s="55"/>
      <c r="BT83" s="55"/>
      <c r="BU83" s="55"/>
      <c r="BV83" s="55"/>
      <c r="BW83" s="55"/>
      <c r="BX83" s="55"/>
      <c r="BY83" s="55"/>
      <c r="BZ83" s="55"/>
      <c r="CA83" s="55"/>
      <c r="CB83" s="55"/>
      <c r="CC83" s="55"/>
      <c r="CD83" s="55"/>
      <c r="CE83" s="55"/>
      <c r="CF83" s="55"/>
      <c r="CG83" s="55"/>
      <c r="CH83" s="55"/>
      <c r="CI83" s="55"/>
      <c r="CJ83" s="55"/>
    </row>
    <row r="84" spans="1:88" ht="13">
      <c r="A84" s="61"/>
      <c r="B84" s="110" t="s">
        <v>119</v>
      </c>
      <c r="C84" s="61"/>
      <c r="D84" s="61"/>
      <c r="E84" s="66">
        <f t="shared" ref="E84:CJ84" si="36">E82+E80</f>
        <v>1251458.3333333333</v>
      </c>
      <c r="F84" s="66">
        <f t="shared" si="36"/>
        <v>1138541.6666666665</v>
      </c>
      <c r="G84" s="66">
        <f t="shared" si="36"/>
        <v>1025624.9999999999</v>
      </c>
      <c r="H84" s="66">
        <f t="shared" si="36"/>
        <v>912708.33333333326</v>
      </c>
      <c r="I84" s="66">
        <f t="shared" si="36"/>
        <v>799791.66666666663</v>
      </c>
      <c r="J84" s="66">
        <f t="shared" si="36"/>
        <v>686875</v>
      </c>
      <c r="K84" s="66">
        <f t="shared" si="36"/>
        <v>573958.33333333337</v>
      </c>
      <c r="L84" s="66">
        <f t="shared" si="36"/>
        <v>461041.66666666674</v>
      </c>
      <c r="M84" s="66">
        <f t="shared" si="36"/>
        <v>348125.00000000023</v>
      </c>
      <c r="N84" s="66">
        <f t="shared" si="36"/>
        <v>235208.33333333366</v>
      </c>
      <c r="O84" s="66">
        <f t="shared" si="36"/>
        <v>122291.66666666709</v>
      </c>
      <c r="P84" s="66">
        <f t="shared" si="36"/>
        <v>9375.0000000005239</v>
      </c>
      <c r="Q84" s="66">
        <f t="shared" si="36"/>
        <v>7620042.8854166679</v>
      </c>
      <c r="R84" s="66">
        <f t="shared" si="36"/>
        <v>7546064.9895833349</v>
      </c>
      <c r="S84" s="66">
        <f t="shared" si="36"/>
        <v>7472087.0937500019</v>
      </c>
      <c r="T84" s="66">
        <f t="shared" si="36"/>
        <v>7398109.1979166679</v>
      </c>
      <c r="U84" s="66">
        <f t="shared" si="36"/>
        <v>7324131.3020833349</v>
      </c>
      <c r="V84" s="66">
        <f t="shared" si="36"/>
        <v>7250153.4062500019</v>
      </c>
      <c r="W84" s="66">
        <f t="shared" si="36"/>
        <v>7361451.3047916684</v>
      </c>
      <c r="X84" s="66">
        <f t="shared" si="36"/>
        <v>7791666.078333335</v>
      </c>
      <c r="Y84" s="66">
        <f t="shared" si="36"/>
        <v>8221880.8518750016</v>
      </c>
      <c r="Z84" s="66">
        <f t="shared" si="36"/>
        <v>8652095.6254166681</v>
      </c>
      <c r="AA84" s="66">
        <f t="shared" si="36"/>
        <v>9082310.3989583347</v>
      </c>
      <c r="AB84" s="66">
        <f t="shared" si="36"/>
        <v>9512525.1725000013</v>
      </c>
      <c r="AC84" s="66">
        <f t="shared" si="36"/>
        <v>519347.74669230916</v>
      </c>
      <c r="AD84" s="66">
        <f t="shared" si="36"/>
        <v>1396066.4146346166</v>
      </c>
      <c r="AE84" s="66">
        <f t="shared" si="36"/>
        <v>2272785.082576924</v>
      </c>
      <c r="AF84" s="66">
        <f t="shared" si="36"/>
        <v>3149503.7505192314</v>
      </c>
      <c r="AG84" s="66">
        <f t="shared" si="36"/>
        <v>4026222.4184615389</v>
      </c>
      <c r="AH84" s="66">
        <f t="shared" si="36"/>
        <v>4902941.0864038458</v>
      </c>
      <c r="AI84" s="66">
        <f t="shared" si="36"/>
        <v>5963036.9574711537</v>
      </c>
      <c r="AJ84" s="66">
        <f t="shared" si="36"/>
        <v>7421778.9222884616</v>
      </c>
      <c r="AK84" s="66">
        <f t="shared" si="36"/>
        <v>8880520.8871057685</v>
      </c>
      <c r="AL84" s="66">
        <f t="shared" si="36"/>
        <v>10339262.851923075</v>
      </c>
      <c r="AM84" s="66">
        <f t="shared" si="36"/>
        <v>11798004.816740381</v>
      </c>
      <c r="AN84" s="66">
        <f t="shared" si="36"/>
        <v>13256746.781557687</v>
      </c>
      <c r="AO84" s="66">
        <f t="shared" si="36"/>
        <v>6146794.5228577787</v>
      </c>
      <c r="AP84" s="66">
        <f t="shared" si="36"/>
        <v>9235280.5454078708</v>
      </c>
      <c r="AQ84" s="66">
        <f t="shared" si="36"/>
        <v>12323766.56795796</v>
      </c>
      <c r="AR84" s="66">
        <f t="shared" si="36"/>
        <v>15412252.590508051</v>
      </c>
      <c r="AS84" s="66">
        <f t="shared" si="36"/>
        <v>18500738.613058142</v>
      </c>
      <c r="AT84" s="66">
        <f t="shared" si="36"/>
        <v>21589224.635608234</v>
      </c>
      <c r="AU84" s="66">
        <f t="shared" si="36"/>
        <v>24677710.658158325</v>
      </c>
      <c r="AV84" s="66">
        <f t="shared" si="36"/>
        <v>27766196.680708412</v>
      </c>
      <c r="AW84" s="66">
        <f t="shared" si="36"/>
        <v>30854682.7032585</v>
      </c>
      <c r="AX84" s="66">
        <f t="shared" si="36"/>
        <v>33943168.725808591</v>
      </c>
      <c r="AY84" s="66">
        <f t="shared" si="36"/>
        <v>37031654.748358682</v>
      </c>
      <c r="AZ84" s="66">
        <f t="shared" si="36"/>
        <v>40120140.770908773</v>
      </c>
      <c r="BA84" s="66">
        <f t="shared" si="36"/>
        <v>22138140.435042612</v>
      </c>
      <c r="BB84" s="66">
        <f t="shared" si="36"/>
        <v>27226974.474176455</v>
      </c>
      <c r="BC84" s="66">
        <f t="shared" si="36"/>
        <v>32315808.513310295</v>
      </c>
      <c r="BD84" s="66">
        <f t="shared" si="36"/>
        <v>37404642.55244413</v>
      </c>
      <c r="BE84" s="66">
        <f t="shared" si="36"/>
        <v>42493476.591577977</v>
      </c>
      <c r="BF84" s="66">
        <f t="shared" si="36"/>
        <v>47582310.630711824</v>
      </c>
      <c r="BG84" s="66">
        <f t="shared" si="36"/>
        <v>52671144.66984567</v>
      </c>
      <c r="BH84" s="66">
        <f t="shared" si="36"/>
        <v>57759978.708979517</v>
      </c>
      <c r="BI84" s="66">
        <f t="shared" si="36"/>
        <v>62848812.748113364</v>
      </c>
      <c r="BJ84" s="66">
        <f t="shared" si="36"/>
        <v>67937646.787247211</v>
      </c>
      <c r="BK84" s="66">
        <f t="shared" si="36"/>
        <v>73026480.826381043</v>
      </c>
      <c r="BL84" s="66">
        <f t="shared" si="36"/>
        <v>78115314.865514889</v>
      </c>
      <c r="BM84" s="66">
        <f t="shared" si="36"/>
        <v>76033195.285641223</v>
      </c>
      <c r="BN84" s="66">
        <f t="shared" si="36"/>
        <v>85671494.455767572</v>
      </c>
      <c r="BO84" s="66">
        <f t="shared" si="36"/>
        <v>95309793.625893921</v>
      </c>
      <c r="BP84" s="66">
        <f t="shared" si="36"/>
        <v>104948092.79602025</v>
      </c>
      <c r="BQ84" s="66">
        <f t="shared" si="36"/>
        <v>114586391.9661466</v>
      </c>
      <c r="BR84" s="66">
        <f t="shared" si="36"/>
        <v>124224691.13627295</v>
      </c>
      <c r="BS84" s="66">
        <f t="shared" si="36"/>
        <v>133862990.3063993</v>
      </c>
      <c r="BT84" s="66">
        <f t="shared" si="36"/>
        <v>143501289.47652566</v>
      </c>
      <c r="BU84" s="66">
        <f t="shared" si="36"/>
        <v>153139588.64665201</v>
      </c>
      <c r="BV84" s="66">
        <f t="shared" si="36"/>
        <v>162777887.81677836</v>
      </c>
      <c r="BW84" s="66">
        <f t="shared" si="36"/>
        <v>172416186.98690471</v>
      </c>
      <c r="BX84" s="66">
        <f t="shared" si="36"/>
        <v>182054486.15703106</v>
      </c>
      <c r="BY84" s="66">
        <f t="shared" si="36"/>
        <v>192722451.32439116</v>
      </c>
      <c r="BZ84" s="66">
        <f t="shared" si="36"/>
        <v>205782293.05425125</v>
      </c>
      <c r="CA84" s="66">
        <f t="shared" si="36"/>
        <v>218842134.78411135</v>
      </c>
      <c r="CB84" s="66">
        <f t="shared" si="36"/>
        <v>231901976.51397145</v>
      </c>
      <c r="CC84" s="66">
        <f t="shared" si="36"/>
        <v>244961818.24383155</v>
      </c>
      <c r="CD84" s="66">
        <f t="shared" si="36"/>
        <v>258021659.97369164</v>
      </c>
      <c r="CE84" s="66">
        <f t="shared" si="36"/>
        <v>271081501.70355177</v>
      </c>
      <c r="CF84" s="66">
        <f t="shared" si="36"/>
        <v>284141343.4334119</v>
      </c>
      <c r="CG84" s="66">
        <f t="shared" si="36"/>
        <v>297201185.16327202</v>
      </c>
      <c r="CH84" s="66">
        <f t="shared" si="36"/>
        <v>310261026.89313209</v>
      </c>
      <c r="CI84" s="66">
        <f t="shared" si="36"/>
        <v>323320868.62299222</v>
      </c>
      <c r="CJ84" s="66">
        <f t="shared" si="36"/>
        <v>336380710.35285234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3:I1033"/>
  <sheetViews>
    <sheetView showGridLines="0" workbookViewId="0"/>
  </sheetViews>
  <sheetFormatPr baseColWidth="10" defaultColWidth="12.6640625" defaultRowHeight="15.75" customHeight="1"/>
  <cols>
    <col min="1" max="1" width="4.1640625" customWidth="1"/>
    <col min="2" max="2" width="28.6640625" customWidth="1"/>
    <col min="3" max="3" width="24" customWidth="1"/>
    <col min="4" max="4" width="21.5" customWidth="1"/>
    <col min="5" max="5" width="26.1640625" customWidth="1"/>
    <col min="6" max="6" width="17.33203125" customWidth="1"/>
    <col min="7" max="7" width="22.1640625" customWidth="1"/>
    <col min="8" max="8" width="1.83203125" customWidth="1"/>
    <col min="9" max="9" width="7.33203125" customWidth="1"/>
  </cols>
  <sheetData>
    <row r="3" spans="2:7" ht="15.75" customHeight="1">
      <c r="B3" s="123" t="s">
        <v>120</v>
      </c>
      <c r="C3" s="124" t="s">
        <v>121</v>
      </c>
      <c r="D3" s="124" t="s">
        <v>122</v>
      </c>
      <c r="E3" s="124" t="s">
        <v>123</v>
      </c>
      <c r="F3" s="124" t="s">
        <v>124</v>
      </c>
      <c r="G3" s="125" t="s">
        <v>125</v>
      </c>
    </row>
    <row r="4" spans="2:7" ht="15.75" customHeight="1">
      <c r="B4" s="126" t="s">
        <v>126</v>
      </c>
      <c r="C4" s="127">
        <f>'Facility AFE'!C29</f>
        <v>3200000</v>
      </c>
      <c r="D4" s="127">
        <f>'Facility AFE'!C90</f>
        <v>1000000</v>
      </c>
      <c r="E4" s="127">
        <f>'Facility AFE'!C91</f>
        <v>1500000</v>
      </c>
      <c r="F4" s="127">
        <v>0</v>
      </c>
      <c r="G4" s="128">
        <v>0</v>
      </c>
    </row>
    <row r="5" spans="2:7" ht="15.75" customHeight="1">
      <c r="B5" s="129" t="s">
        <v>127</v>
      </c>
      <c r="C5" s="130">
        <f>Personnel!E15</f>
        <v>1250000</v>
      </c>
      <c r="D5" s="130">
        <f>Personnel!E34</f>
        <v>1773944</v>
      </c>
      <c r="E5" s="130">
        <f>Personnel!E55</f>
        <v>2281903.846153846</v>
      </c>
      <c r="F5" s="130">
        <f>Personnel!E78</f>
        <v>2864575.5494505493</v>
      </c>
      <c r="G5" s="131">
        <f>Personnel!E78</f>
        <v>2864575.5494505493</v>
      </c>
    </row>
    <row r="6" spans="2:7" ht="15.75" customHeight="1">
      <c r="B6" s="126" t="s">
        <v>74</v>
      </c>
      <c r="C6" s="132">
        <v>0</v>
      </c>
      <c r="D6" s="127">
        <f>'H2 Production Costs'!C54*12</f>
        <v>2014211.8421052629</v>
      </c>
      <c r="E6" s="127">
        <f>'H2 Production Costs'!C56*6+'H2 Production Costs'!C55*6</f>
        <v>15106588.815789472</v>
      </c>
      <c r="F6" s="127">
        <f>'H2 Production Costs'!C56*12</f>
        <v>20142118.421052631</v>
      </c>
      <c r="G6" s="128">
        <f>'H2 Production Costs'!C56*12</f>
        <v>20142118.421052631</v>
      </c>
    </row>
    <row r="7" spans="2:7" ht="15.75" customHeight="1">
      <c r="B7" s="133" t="s">
        <v>75</v>
      </c>
      <c r="C7" s="134">
        <f>-C4-C5</f>
        <v>-4450000</v>
      </c>
      <c r="D7" s="134">
        <f t="shared" ref="D7:G7" si="0">-D4-D5+D6</f>
        <v>-759732.15789473709</v>
      </c>
      <c r="E7" s="134">
        <f t="shared" si="0"/>
        <v>11324684.969635626</v>
      </c>
      <c r="F7" s="134">
        <f t="shared" si="0"/>
        <v>17277542.871602081</v>
      </c>
      <c r="G7" s="135">
        <f t="shared" si="0"/>
        <v>17277542.871602081</v>
      </c>
    </row>
    <row r="11" spans="2:7" ht="15.75" customHeight="1">
      <c r="B11" s="123" t="s">
        <v>128</v>
      </c>
      <c r="C11" s="124" t="s">
        <v>121</v>
      </c>
      <c r="D11" s="124" t="s">
        <v>122</v>
      </c>
      <c r="E11" s="124" t="s">
        <v>123</v>
      </c>
      <c r="F11" s="124" t="s">
        <v>124</v>
      </c>
      <c r="G11" s="125" t="s">
        <v>125</v>
      </c>
    </row>
    <row r="12" spans="2:7" ht="15.75" customHeight="1">
      <c r="B12" s="126" t="s">
        <v>126</v>
      </c>
      <c r="C12" s="127">
        <f>'Facility AFE'!C53</f>
        <v>3240000</v>
      </c>
      <c r="D12" s="127">
        <f>'Facility AFE'!C92</f>
        <v>1500000</v>
      </c>
      <c r="E12" s="132">
        <v>0</v>
      </c>
      <c r="F12" s="132">
        <v>0</v>
      </c>
      <c r="G12" s="136">
        <v>0</v>
      </c>
    </row>
    <row r="13" spans="2:7" ht="15.75" customHeight="1">
      <c r="B13" s="129" t="s">
        <v>127</v>
      </c>
      <c r="C13" s="130">
        <f>Personnel!E91</f>
        <v>817292</v>
      </c>
      <c r="D13" s="137">
        <f>Personnel!E104</f>
        <v>1082053.3999999999</v>
      </c>
      <c r="E13" s="137">
        <f>Personnel!E117</f>
        <v>1244361.4099999999</v>
      </c>
      <c r="F13" s="137">
        <f>Personnel!E130</f>
        <v>1431015.6214999999</v>
      </c>
      <c r="G13" s="138">
        <f>Personnel!E130</f>
        <v>1431015.6214999999</v>
      </c>
    </row>
    <row r="14" spans="2:7" ht="15.75" customHeight="1">
      <c r="B14" s="126" t="s">
        <v>74</v>
      </c>
      <c r="C14" s="132">
        <v>0</v>
      </c>
      <c r="D14" s="127">
        <f>'H2 Production Costs'!C66*12</f>
        <v>10071059.210526315</v>
      </c>
      <c r="E14" s="127">
        <f>'H2 Production Costs'!C67*12</f>
        <v>20142118.421052631</v>
      </c>
      <c r="F14" s="127">
        <f>'H2 Production Costs'!C67*12</f>
        <v>20142118.421052631</v>
      </c>
      <c r="G14" s="128">
        <f>'H2 Production Costs'!C67*12</f>
        <v>20142118.421052631</v>
      </c>
    </row>
    <row r="15" spans="2:7" ht="15.75" customHeight="1">
      <c r="B15" s="133" t="s">
        <v>75</v>
      </c>
      <c r="C15" s="134">
        <f>-C12-C13</f>
        <v>-4057292</v>
      </c>
      <c r="D15" s="134">
        <f t="shared" ref="D15:G15" si="1">-D12-D13+D14</f>
        <v>7489005.8105263151</v>
      </c>
      <c r="E15" s="139">
        <f t="shared" si="1"/>
        <v>18897757.011052631</v>
      </c>
      <c r="F15" s="139">
        <f t="shared" si="1"/>
        <v>18711102.799552631</v>
      </c>
      <c r="G15" s="140">
        <f t="shared" si="1"/>
        <v>18711102.799552631</v>
      </c>
    </row>
    <row r="19" spans="2:8" ht="15.75" customHeight="1">
      <c r="B19" s="141" t="s">
        <v>129</v>
      </c>
      <c r="C19" s="142" t="s">
        <v>130</v>
      </c>
      <c r="D19" s="142" t="s">
        <v>131</v>
      </c>
      <c r="E19" s="143" t="s">
        <v>132</v>
      </c>
      <c r="H19" s="144"/>
    </row>
    <row r="20" spans="2:8" ht="15.75" customHeight="1">
      <c r="B20" s="145" t="s">
        <v>133</v>
      </c>
      <c r="C20" s="146" t="s">
        <v>134</v>
      </c>
      <c r="D20" s="146" t="s">
        <v>135</v>
      </c>
      <c r="E20" s="147" t="s">
        <v>136</v>
      </c>
      <c r="H20" s="144"/>
    </row>
    <row r="21" spans="2:8" ht="15.75" customHeight="1">
      <c r="B21" s="148" t="s">
        <v>137</v>
      </c>
      <c r="C21" s="149" t="s">
        <v>138</v>
      </c>
      <c r="D21" s="149" t="s">
        <v>139</v>
      </c>
      <c r="E21" s="150" t="s">
        <v>140</v>
      </c>
      <c r="H21" s="144"/>
    </row>
    <row r="22" spans="2:8" ht="15.75" customHeight="1">
      <c r="B22" s="151" t="s">
        <v>141</v>
      </c>
      <c r="C22" s="152" t="s">
        <v>142</v>
      </c>
      <c r="D22" s="152" t="s">
        <v>143</v>
      </c>
      <c r="E22" s="153" t="s">
        <v>144</v>
      </c>
      <c r="H22" s="144"/>
    </row>
    <row r="23" spans="2:8" ht="15.75" customHeight="1">
      <c r="H23" s="144"/>
    </row>
    <row r="26" spans="2:8" ht="15.75" customHeight="1">
      <c r="B26" s="154" t="s">
        <v>145</v>
      </c>
      <c r="C26" s="155" t="s">
        <v>146</v>
      </c>
    </row>
    <row r="27" spans="2:8" ht="15.75" customHeight="1">
      <c r="B27" s="156" t="s">
        <v>147</v>
      </c>
      <c r="C27" s="157">
        <v>7.05</v>
      </c>
    </row>
    <row r="28" spans="2:8" ht="15.75" customHeight="1">
      <c r="B28" s="158" t="s">
        <v>148</v>
      </c>
      <c r="C28" s="159">
        <v>6.15</v>
      </c>
    </row>
    <row r="29" spans="2:8" ht="15.75" customHeight="1">
      <c r="B29" s="160" t="s">
        <v>149</v>
      </c>
      <c r="C29" s="161">
        <v>4.3600000000000003</v>
      </c>
    </row>
    <row r="34" spans="8:8" ht="15.75" customHeight="1">
      <c r="H34" s="144"/>
    </row>
    <row r="35" spans="8:8" ht="15.75" customHeight="1">
      <c r="H35" s="144"/>
    </row>
    <row r="36" spans="8:8" ht="15.75" customHeight="1">
      <c r="H36" s="144"/>
    </row>
    <row r="37" spans="8:8" ht="15.75" customHeight="1">
      <c r="H37" s="144"/>
    </row>
    <row r="38" spans="8:8" ht="15.75" customHeight="1">
      <c r="H38" s="144"/>
    </row>
    <row r="40" spans="8:8" ht="15.75" customHeight="1">
      <c r="H40" s="144"/>
    </row>
    <row r="41" spans="8:8" ht="15.75" customHeight="1">
      <c r="H41" s="144"/>
    </row>
    <row r="42" spans="8:8" ht="15.75" customHeight="1">
      <c r="H42" s="144"/>
    </row>
    <row r="43" spans="8:8" ht="15.75" customHeight="1">
      <c r="H43" s="144"/>
    </row>
    <row r="44" spans="8:8" ht="15.75" customHeight="1">
      <c r="H44" s="144"/>
    </row>
    <row r="62" spans="8:9" ht="13">
      <c r="H62" s="162"/>
      <c r="I62" s="162"/>
    </row>
    <row r="63" spans="8:9" ht="13">
      <c r="H63" s="162"/>
      <c r="I63" s="162"/>
    </row>
    <row r="64" spans="8:9" ht="13">
      <c r="H64" s="162"/>
      <c r="I64" s="162"/>
    </row>
    <row r="65" spans="8:9" ht="13">
      <c r="H65" s="162"/>
      <c r="I65" s="162"/>
    </row>
    <row r="66" spans="8:9" ht="13">
      <c r="H66" s="162"/>
      <c r="I66" s="162"/>
    </row>
    <row r="67" spans="8:9" ht="13">
      <c r="H67" s="162"/>
      <c r="I67" s="162"/>
    </row>
    <row r="119" spans="1:5" ht="13">
      <c r="A119" s="162"/>
      <c r="B119" s="162"/>
      <c r="C119" s="162"/>
      <c r="D119" s="163"/>
      <c r="E119" s="162"/>
    </row>
    <row r="120" spans="1:5" ht="13">
      <c r="A120" s="162"/>
      <c r="B120" s="162" t="s">
        <v>150</v>
      </c>
      <c r="C120" s="162" t="s">
        <v>151</v>
      </c>
      <c r="D120" s="163" t="s">
        <v>152</v>
      </c>
      <c r="E120" s="162" t="s">
        <v>153</v>
      </c>
    </row>
    <row r="121" spans="1:5" ht="13">
      <c r="A121" s="162"/>
      <c r="B121" s="162" t="s">
        <v>154</v>
      </c>
      <c r="C121" s="162" t="s">
        <v>155</v>
      </c>
      <c r="D121" s="163">
        <v>3000000</v>
      </c>
      <c r="E121" s="162" t="s">
        <v>156</v>
      </c>
    </row>
    <row r="122" spans="1:5" ht="13">
      <c r="A122" s="162"/>
      <c r="B122" s="162" t="s">
        <v>154</v>
      </c>
      <c r="C122" s="162" t="s">
        <v>157</v>
      </c>
      <c r="D122" s="163">
        <v>500000</v>
      </c>
      <c r="E122" s="162" t="s">
        <v>158</v>
      </c>
    </row>
    <row r="123" spans="1:5" ht="13">
      <c r="A123" s="162"/>
      <c r="B123" s="162" t="s">
        <v>154</v>
      </c>
      <c r="C123" s="162" t="s">
        <v>159</v>
      </c>
      <c r="D123" s="163">
        <v>1000000</v>
      </c>
      <c r="E123" s="162" t="s">
        <v>160</v>
      </c>
    </row>
    <row r="124" spans="1:5" ht="13">
      <c r="A124" s="162"/>
      <c r="B124" s="162" t="s">
        <v>154</v>
      </c>
      <c r="C124" s="162" t="s">
        <v>75</v>
      </c>
      <c r="D124" s="163">
        <f>SUM(D121:D123)</f>
        <v>4500000</v>
      </c>
      <c r="E124" s="162" t="s">
        <v>161</v>
      </c>
    </row>
    <row r="125" spans="1:5" ht="13">
      <c r="D125" s="163"/>
    </row>
    <row r="126" spans="1:5" ht="13">
      <c r="A126" s="162"/>
      <c r="B126" s="162" t="s">
        <v>162</v>
      </c>
      <c r="C126" s="162" t="s">
        <v>151</v>
      </c>
      <c r="D126" s="163" t="s">
        <v>152</v>
      </c>
      <c r="E126" s="162" t="s">
        <v>153</v>
      </c>
    </row>
    <row r="127" spans="1:5" ht="13">
      <c r="A127" s="162"/>
      <c r="B127" s="162" t="s">
        <v>163</v>
      </c>
      <c r="C127" s="162" t="s">
        <v>164</v>
      </c>
      <c r="D127" s="163">
        <f>D218</f>
        <v>38000</v>
      </c>
      <c r="E127" s="162" t="s">
        <v>165</v>
      </c>
    </row>
    <row r="128" spans="1:5" ht="13">
      <c r="A128" s="162"/>
      <c r="B128" s="162" t="s">
        <v>163</v>
      </c>
      <c r="C128" s="162" t="s">
        <v>166</v>
      </c>
      <c r="D128" s="163">
        <v>7500000</v>
      </c>
      <c r="E128" s="162" t="s">
        <v>167</v>
      </c>
    </row>
    <row r="129" spans="1:7" ht="13">
      <c r="A129" s="162"/>
      <c r="B129" s="162" t="s">
        <v>168</v>
      </c>
      <c r="C129" s="162" t="s">
        <v>169</v>
      </c>
      <c r="D129" s="163">
        <f>D227</f>
        <v>613000</v>
      </c>
    </row>
    <row r="130" spans="1:7" ht="13">
      <c r="A130" s="162"/>
      <c r="B130" s="162" t="s">
        <v>168</v>
      </c>
      <c r="C130" s="162" t="s">
        <v>170</v>
      </c>
      <c r="D130" s="163">
        <v>4000000</v>
      </c>
      <c r="E130" s="162" t="s">
        <v>171</v>
      </c>
    </row>
    <row r="131" spans="1:7" ht="13">
      <c r="A131" s="162"/>
      <c r="B131" s="162" t="s">
        <v>172</v>
      </c>
      <c r="C131" s="162" t="s">
        <v>173</v>
      </c>
      <c r="D131" s="163">
        <f>D239</f>
        <v>1050500</v>
      </c>
    </row>
    <row r="132" spans="1:7" ht="13">
      <c r="A132" s="162"/>
      <c r="B132" s="162" t="s">
        <v>174</v>
      </c>
      <c r="C132" s="162" t="s">
        <v>175</v>
      </c>
      <c r="D132" s="163">
        <f>D252</f>
        <v>3691125</v>
      </c>
    </row>
    <row r="133" spans="1:7" ht="13">
      <c r="A133" s="162"/>
      <c r="B133" s="162" t="s">
        <v>176</v>
      </c>
      <c r="C133" s="162" t="s">
        <v>177</v>
      </c>
      <c r="D133" s="163">
        <f>D264</f>
        <v>39534875</v>
      </c>
    </row>
    <row r="135" spans="1:7" ht="13">
      <c r="A135" s="162"/>
      <c r="B135" s="162" t="s">
        <v>178</v>
      </c>
      <c r="C135" s="162" t="s">
        <v>151</v>
      </c>
      <c r="D135" s="163" t="s">
        <v>152</v>
      </c>
      <c r="E135" s="162" t="s">
        <v>153</v>
      </c>
      <c r="G135" s="162"/>
    </row>
    <row r="136" spans="1:7" ht="13">
      <c r="A136" s="162"/>
      <c r="B136" s="162" t="s">
        <v>179</v>
      </c>
      <c r="C136" s="162" t="s">
        <v>180</v>
      </c>
      <c r="D136" s="163">
        <v>1105000</v>
      </c>
      <c r="E136" s="162" t="s">
        <v>181</v>
      </c>
      <c r="G136" s="162" t="s">
        <v>182</v>
      </c>
    </row>
    <row r="137" spans="1:7" ht="13">
      <c r="A137" s="162"/>
      <c r="B137" s="162" t="s">
        <v>179</v>
      </c>
      <c r="C137" s="162" t="s">
        <v>183</v>
      </c>
      <c r="D137" s="163">
        <v>325000</v>
      </c>
      <c r="E137" s="162" t="s">
        <v>184</v>
      </c>
    </row>
    <row r="138" spans="1:7" ht="13">
      <c r="A138" s="162"/>
      <c r="B138" s="162" t="s">
        <v>179</v>
      </c>
      <c r="C138" s="162" t="s">
        <v>185</v>
      </c>
      <c r="D138" s="163">
        <v>225000</v>
      </c>
      <c r="E138" s="162" t="s">
        <v>186</v>
      </c>
    </row>
    <row r="139" spans="1:7" ht="13">
      <c r="A139" s="162"/>
      <c r="B139" s="162" t="s">
        <v>179</v>
      </c>
      <c r="C139" s="162" t="s">
        <v>187</v>
      </c>
      <c r="D139" s="163">
        <v>400000</v>
      </c>
      <c r="E139" s="162" t="s">
        <v>188</v>
      </c>
      <c r="F139" s="162" t="s">
        <v>189</v>
      </c>
    </row>
    <row r="140" spans="1:7" ht="13">
      <c r="A140" s="162"/>
      <c r="B140" s="162" t="s">
        <v>179</v>
      </c>
      <c r="C140" s="162" t="s">
        <v>190</v>
      </c>
      <c r="D140" s="163">
        <v>182000</v>
      </c>
      <c r="E140" s="162" t="s">
        <v>191</v>
      </c>
    </row>
    <row r="141" spans="1:7" ht="13">
      <c r="A141" s="162"/>
      <c r="B141" s="162" t="s">
        <v>179</v>
      </c>
      <c r="C141" s="162" t="s">
        <v>192</v>
      </c>
      <c r="D141" s="163">
        <f>SUM(D136:D140)</f>
        <v>2237000</v>
      </c>
      <c r="E141" s="162" t="s">
        <v>193</v>
      </c>
    </row>
    <row r="143" spans="1:7" ht="13">
      <c r="A143" s="144"/>
      <c r="B143" s="144" t="s">
        <v>194</v>
      </c>
      <c r="C143" s="162" t="s">
        <v>151</v>
      </c>
      <c r="D143" s="163" t="s">
        <v>152</v>
      </c>
      <c r="E143" s="162" t="s">
        <v>153</v>
      </c>
      <c r="F143" s="144"/>
      <c r="G143" s="144"/>
    </row>
    <row r="144" spans="1:7" ht="13">
      <c r="A144" s="144"/>
      <c r="B144" s="144" t="s">
        <v>195</v>
      </c>
      <c r="C144" s="144" t="s">
        <v>196</v>
      </c>
      <c r="D144" s="164">
        <v>350000</v>
      </c>
      <c r="E144" s="144" t="s">
        <v>197</v>
      </c>
      <c r="F144" s="144"/>
      <c r="G144" s="144"/>
    </row>
    <row r="145" spans="1:7" ht="13">
      <c r="A145" s="144"/>
      <c r="B145" s="144" t="s">
        <v>195</v>
      </c>
      <c r="C145" s="144" t="s">
        <v>198</v>
      </c>
      <c r="D145" s="164">
        <v>375000</v>
      </c>
      <c r="E145" s="144" t="s">
        <v>199</v>
      </c>
      <c r="F145" s="144"/>
      <c r="G145" s="144" t="s">
        <v>200</v>
      </c>
    </row>
    <row r="146" spans="1:7" ht="13">
      <c r="A146" s="144"/>
      <c r="B146" s="144" t="s">
        <v>195</v>
      </c>
      <c r="C146" s="144" t="s">
        <v>8</v>
      </c>
      <c r="D146" s="164">
        <f>F289</f>
        <v>1250000</v>
      </c>
      <c r="E146" s="144" t="s">
        <v>201</v>
      </c>
      <c r="F146" s="144"/>
      <c r="G146" s="144"/>
    </row>
    <row r="147" spans="1:7" ht="13">
      <c r="A147" s="144"/>
      <c r="B147" s="144" t="s">
        <v>195</v>
      </c>
      <c r="C147" s="144" t="s">
        <v>202</v>
      </c>
      <c r="D147" s="164">
        <f>SUM(D144:D146)</f>
        <v>1975000</v>
      </c>
      <c r="E147" s="144"/>
      <c r="F147" s="144"/>
      <c r="G147" s="144"/>
    </row>
    <row r="148" spans="1:7" ht="13">
      <c r="A148" s="144"/>
      <c r="B148" s="144"/>
      <c r="C148" s="144"/>
      <c r="D148" s="164"/>
      <c r="E148" s="144"/>
      <c r="F148" s="144"/>
      <c r="G148" s="144"/>
    </row>
    <row r="149" spans="1:7" ht="13">
      <c r="A149" s="162"/>
      <c r="B149" s="162" t="s">
        <v>203</v>
      </c>
      <c r="C149" s="162" t="s">
        <v>151</v>
      </c>
      <c r="D149" s="163" t="s">
        <v>152</v>
      </c>
      <c r="E149" s="162" t="s">
        <v>153</v>
      </c>
      <c r="F149" s="162"/>
    </row>
    <row r="150" spans="1:7" ht="13">
      <c r="A150" s="162"/>
      <c r="B150" s="162" t="s">
        <v>204</v>
      </c>
      <c r="C150" s="162" t="s">
        <v>205</v>
      </c>
      <c r="D150" s="163">
        <v>50000</v>
      </c>
      <c r="E150" s="162" t="s">
        <v>206</v>
      </c>
    </row>
    <row r="151" spans="1:7" ht="13">
      <c r="A151" s="162"/>
      <c r="B151" s="162" t="s">
        <v>204</v>
      </c>
      <c r="C151" s="162" t="s">
        <v>207</v>
      </c>
      <c r="D151" s="163">
        <v>25000</v>
      </c>
      <c r="E151" s="162" t="s">
        <v>208</v>
      </c>
    </row>
    <row r="152" spans="1:7" ht="13">
      <c r="A152" s="162"/>
      <c r="B152" s="162" t="s">
        <v>204</v>
      </c>
      <c r="C152" s="162" t="s">
        <v>209</v>
      </c>
      <c r="D152" s="163">
        <v>60000</v>
      </c>
      <c r="E152" s="162" t="s">
        <v>210</v>
      </c>
    </row>
    <row r="153" spans="1:7" ht="13">
      <c r="A153" s="162"/>
      <c r="B153" s="162" t="s">
        <v>204</v>
      </c>
      <c r="C153" s="162" t="s">
        <v>211</v>
      </c>
      <c r="D153" s="163">
        <v>30000</v>
      </c>
      <c r="E153" s="162" t="s">
        <v>212</v>
      </c>
    </row>
    <row r="154" spans="1:7" ht="13">
      <c r="A154" s="162"/>
      <c r="B154" s="162" t="s">
        <v>204</v>
      </c>
      <c r="C154" s="162" t="s">
        <v>213</v>
      </c>
      <c r="D154" s="163">
        <v>15000</v>
      </c>
      <c r="E154" s="162" t="s">
        <v>214</v>
      </c>
    </row>
    <row r="155" spans="1:7" ht="13">
      <c r="A155" s="162"/>
      <c r="B155" s="162" t="s">
        <v>204</v>
      </c>
      <c r="C155" s="162" t="s">
        <v>215</v>
      </c>
      <c r="D155" s="163">
        <v>20000</v>
      </c>
      <c r="E155" s="162" t="s">
        <v>216</v>
      </c>
    </row>
    <row r="156" spans="1:7" ht="13">
      <c r="A156" s="162"/>
      <c r="B156" s="162" t="s">
        <v>204</v>
      </c>
      <c r="C156" s="162" t="s">
        <v>217</v>
      </c>
      <c r="D156" s="163">
        <v>50000</v>
      </c>
      <c r="E156" s="162" t="s">
        <v>218</v>
      </c>
    </row>
    <row r="157" spans="1:7" ht="13">
      <c r="A157" s="162"/>
      <c r="B157" s="162" t="s">
        <v>204</v>
      </c>
      <c r="C157" s="162" t="s">
        <v>219</v>
      </c>
      <c r="D157" s="163">
        <f>SUM(D150:D156)</f>
        <v>250000</v>
      </c>
    </row>
    <row r="158" spans="1:7" ht="13">
      <c r="C158" s="162" t="s">
        <v>220</v>
      </c>
      <c r="D158" s="164">
        <f>D159-D146</f>
        <v>3212000</v>
      </c>
    </row>
    <row r="159" spans="1:7" ht="13">
      <c r="A159" s="144"/>
      <c r="B159" s="144" t="s">
        <v>221</v>
      </c>
      <c r="C159" s="144" t="s">
        <v>222</v>
      </c>
      <c r="D159" s="164">
        <f>SUM(D141,D147,D157)</f>
        <v>4462000</v>
      </c>
      <c r="E159" s="144"/>
      <c r="F159" s="144"/>
      <c r="G159" s="144"/>
    </row>
    <row r="160" spans="1:7" ht="13">
      <c r="A160" s="144"/>
      <c r="B160" s="144"/>
      <c r="C160" s="144"/>
      <c r="E160" s="144"/>
      <c r="F160" s="144"/>
      <c r="G160" s="144"/>
    </row>
    <row r="161" spans="1:7" ht="13">
      <c r="A161" s="144"/>
      <c r="B161" s="144" t="s">
        <v>223</v>
      </c>
      <c r="C161" s="162" t="s">
        <v>151</v>
      </c>
      <c r="D161" s="163" t="s">
        <v>152</v>
      </c>
      <c r="E161" s="162" t="s">
        <v>153</v>
      </c>
      <c r="F161" s="144"/>
      <c r="G161" s="144"/>
    </row>
    <row r="162" spans="1:7" ht="13">
      <c r="A162" s="144"/>
      <c r="B162" s="144" t="s">
        <v>224</v>
      </c>
      <c r="C162" s="144" t="s">
        <v>198</v>
      </c>
      <c r="D162" s="164">
        <v>875000</v>
      </c>
      <c r="E162" s="144" t="s">
        <v>199</v>
      </c>
      <c r="F162" s="144"/>
      <c r="G162" s="144" t="s">
        <v>200</v>
      </c>
    </row>
    <row r="163" spans="1:7" ht="13">
      <c r="A163" s="144"/>
      <c r="B163" s="144" t="s">
        <v>224</v>
      </c>
      <c r="C163" s="144" t="s">
        <v>225</v>
      </c>
      <c r="D163" s="164">
        <f>F289*1.5</f>
        <v>1875000</v>
      </c>
      <c r="E163" s="144" t="s">
        <v>201</v>
      </c>
      <c r="F163" s="144"/>
      <c r="G163" s="144"/>
    </row>
    <row r="164" spans="1:7" ht="13">
      <c r="A164" s="162"/>
      <c r="B164" s="162" t="s">
        <v>226</v>
      </c>
      <c r="C164" s="162" t="s">
        <v>227</v>
      </c>
      <c r="D164" s="163">
        <f>D157*1.5</f>
        <v>375000</v>
      </c>
    </row>
    <row r="165" spans="1:7" ht="13">
      <c r="A165" s="144"/>
      <c r="B165" s="144" t="s">
        <v>228</v>
      </c>
      <c r="D165" s="163">
        <f>SUM(D162:D164)</f>
        <v>3125000</v>
      </c>
      <c r="E165" s="162"/>
      <c r="F165" s="144"/>
      <c r="G165" s="144"/>
    </row>
    <row r="166" spans="1:7" ht="13">
      <c r="A166" s="144"/>
      <c r="B166" s="144"/>
      <c r="C166" s="162"/>
      <c r="D166" s="163"/>
      <c r="E166" s="162"/>
      <c r="F166" s="144"/>
      <c r="G166" s="144"/>
    </row>
    <row r="167" spans="1:7" ht="13">
      <c r="A167" s="144"/>
      <c r="B167" s="144" t="s">
        <v>229</v>
      </c>
      <c r="C167" s="162" t="s">
        <v>151</v>
      </c>
      <c r="D167" s="163" t="s">
        <v>152</v>
      </c>
      <c r="E167" s="162" t="s">
        <v>153</v>
      </c>
      <c r="F167" s="144"/>
      <c r="G167" s="144"/>
    </row>
    <row r="168" spans="1:7" ht="13">
      <c r="A168" s="144"/>
      <c r="B168" s="144" t="s">
        <v>230</v>
      </c>
      <c r="C168" s="144" t="s">
        <v>198</v>
      </c>
      <c r="D168" s="164">
        <v>875000</v>
      </c>
      <c r="E168" s="144" t="s">
        <v>199</v>
      </c>
      <c r="F168" s="144"/>
      <c r="G168" s="144" t="s">
        <v>200</v>
      </c>
    </row>
    <row r="169" spans="1:7" ht="13">
      <c r="A169" s="144"/>
      <c r="B169" s="144" t="s">
        <v>230</v>
      </c>
      <c r="C169" s="144" t="s">
        <v>231</v>
      </c>
      <c r="D169" s="164">
        <f>D163*1.25</f>
        <v>2343750</v>
      </c>
      <c r="E169" s="144" t="s">
        <v>201</v>
      </c>
      <c r="F169" s="144"/>
      <c r="G169" s="144"/>
    </row>
    <row r="170" spans="1:7" ht="13">
      <c r="A170" s="162"/>
      <c r="B170" s="162" t="s">
        <v>232</v>
      </c>
      <c r="C170" s="162" t="s">
        <v>227</v>
      </c>
      <c r="D170" s="163">
        <f>D164*1.5</f>
        <v>562500</v>
      </c>
    </row>
    <row r="171" spans="1:7" ht="13">
      <c r="A171" s="162"/>
      <c r="B171" s="162" t="s">
        <v>233</v>
      </c>
      <c r="D171" s="163">
        <f>SUM(D168:D170)</f>
        <v>3781250</v>
      </c>
    </row>
    <row r="173" spans="1:7" ht="13">
      <c r="A173" s="144"/>
      <c r="B173" s="144" t="s">
        <v>234</v>
      </c>
      <c r="C173" s="162" t="s">
        <v>151</v>
      </c>
      <c r="D173" s="163" t="s">
        <v>152</v>
      </c>
      <c r="E173" s="162" t="s">
        <v>153</v>
      </c>
      <c r="F173" s="144"/>
    </row>
    <row r="174" spans="1:7" ht="13">
      <c r="A174" s="144"/>
      <c r="B174" s="144" t="s">
        <v>235</v>
      </c>
      <c r="C174" s="144" t="s">
        <v>198</v>
      </c>
      <c r="D174" s="164">
        <v>875000</v>
      </c>
      <c r="E174" s="144" t="s">
        <v>199</v>
      </c>
      <c r="F174" s="144"/>
    </row>
    <row r="175" spans="1:7" ht="13">
      <c r="A175" s="144"/>
      <c r="B175" s="144" t="s">
        <v>235</v>
      </c>
      <c r="C175" s="144" t="s">
        <v>231</v>
      </c>
      <c r="D175" s="164">
        <f>D169*1.25</f>
        <v>2929687.5</v>
      </c>
      <c r="E175" s="144" t="s">
        <v>201</v>
      </c>
      <c r="F175" s="144"/>
    </row>
    <row r="176" spans="1:7" ht="13">
      <c r="A176" s="162"/>
      <c r="B176" s="162" t="s">
        <v>236</v>
      </c>
      <c r="C176" s="162" t="s">
        <v>227</v>
      </c>
      <c r="D176" s="163">
        <f>D170*1.5</f>
        <v>843750</v>
      </c>
    </row>
    <row r="177" spans="1:7" ht="13">
      <c r="A177" s="162"/>
      <c r="B177" s="162" t="s">
        <v>237</v>
      </c>
      <c r="D177" s="163">
        <f>SUM(D174:D176)</f>
        <v>4648437.5</v>
      </c>
    </row>
    <row r="179" spans="1:7" ht="13">
      <c r="A179" s="162"/>
      <c r="B179" s="162" t="s">
        <v>238</v>
      </c>
      <c r="C179" s="162"/>
      <c r="D179" s="163"/>
      <c r="E179" s="162"/>
    </row>
    <row r="180" spans="1:7" ht="13">
      <c r="A180" s="162"/>
      <c r="B180" s="162" t="s">
        <v>239</v>
      </c>
      <c r="C180" s="162" t="s">
        <v>240</v>
      </c>
      <c r="D180" s="163">
        <v>25</v>
      </c>
      <c r="E180" s="162" t="s">
        <v>241</v>
      </c>
    </row>
    <row r="181" spans="1:7" ht="13">
      <c r="A181" s="162"/>
      <c r="B181" s="162" t="s">
        <v>239</v>
      </c>
      <c r="C181" s="162" t="s">
        <v>242</v>
      </c>
      <c r="D181" s="163">
        <v>5</v>
      </c>
      <c r="E181" s="162" t="s">
        <v>243</v>
      </c>
    </row>
    <row r="182" spans="1:7" ht="13">
      <c r="A182" s="162"/>
      <c r="B182" s="162" t="s">
        <v>239</v>
      </c>
      <c r="C182" s="162" t="s">
        <v>244</v>
      </c>
      <c r="D182" s="163">
        <v>20</v>
      </c>
      <c r="E182" s="162" t="s">
        <v>245</v>
      </c>
    </row>
    <row r="183" spans="1:7" ht="13">
      <c r="A183" s="162"/>
      <c r="B183" s="162" t="s">
        <v>239</v>
      </c>
      <c r="C183" s="162" t="s">
        <v>246</v>
      </c>
      <c r="D183" s="165">
        <v>5000</v>
      </c>
      <c r="E183" s="162" t="s">
        <v>247</v>
      </c>
      <c r="F183" s="162"/>
    </row>
    <row r="184" spans="1:7" ht="13">
      <c r="A184" s="162"/>
      <c r="B184" s="162" t="s">
        <v>239</v>
      </c>
      <c r="C184" s="162" t="s">
        <v>248</v>
      </c>
      <c r="D184" s="165">
        <v>25000</v>
      </c>
      <c r="E184" s="162" t="s">
        <v>249</v>
      </c>
      <c r="F184" s="162"/>
    </row>
    <row r="185" spans="1:7" ht="13">
      <c r="A185" s="162"/>
      <c r="B185" s="162" t="s">
        <v>239</v>
      </c>
      <c r="C185" s="162" t="s">
        <v>250</v>
      </c>
      <c r="D185" s="165">
        <v>50000</v>
      </c>
      <c r="E185" s="162" t="s">
        <v>251</v>
      </c>
    </row>
    <row r="186" spans="1:7" ht="13">
      <c r="A186" s="162"/>
      <c r="B186" s="162" t="s">
        <v>239</v>
      </c>
      <c r="C186" s="162" t="s">
        <v>252</v>
      </c>
      <c r="D186" s="163">
        <f>D183*D182</f>
        <v>100000</v>
      </c>
      <c r="E186" s="162" t="s">
        <v>247</v>
      </c>
    </row>
    <row r="187" spans="1:7" ht="13">
      <c r="A187" s="162"/>
      <c r="B187" s="162" t="s">
        <v>239</v>
      </c>
      <c r="C187" s="162" t="s">
        <v>253</v>
      </c>
      <c r="D187" s="163">
        <f>D184*D182</f>
        <v>500000</v>
      </c>
      <c r="E187" s="162" t="s">
        <v>249</v>
      </c>
      <c r="F187" s="162" t="s">
        <v>254</v>
      </c>
      <c r="G187" s="162"/>
    </row>
    <row r="188" spans="1:7" ht="13">
      <c r="A188" s="162"/>
      <c r="B188" s="162" t="s">
        <v>239</v>
      </c>
      <c r="C188" s="162" t="s">
        <v>255</v>
      </c>
      <c r="D188" s="163">
        <f>D185*D182</f>
        <v>1000000</v>
      </c>
      <c r="E188" s="162" t="s">
        <v>251</v>
      </c>
      <c r="F188" s="162" t="s">
        <v>256</v>
      </c>
      <c r="G188" s="162"/>
    </row>
    <row r="189" spans="1:7" ht="13">
      <c r="A189" s="162"/>
      <c r="B189" s="162" t="s">
        <v>239</v>
      </c>
      <c r="C189" s="162" t="s">
        <v>257</v>
      </c>
      <c r="D189" s="163">
        <v>0</v>
      </c>
      <c r="E189" s="162"/>
      <c r="F189" s="162"/>
      <c r="G189" s="162"/>
    </row>
    <row r="190" spans="1:7" ht="13">
      <c r="A190" s="162"/>
      <c r="B190" s="162" t="s">
        <v>239</v>
      </c>
      <c r="C190" s="162" t="s">
        <v>258</v>
      </c>
      <c r="D190" s="163">
        <f>D186*12</f>
        <v>1200000</v>
      </c>
      <c r="E190" s="162"/>
      <c r="F190" s="162"/>
      <c r="G190" s="162"/>
    </row>
    <row r="191" spans="1:7" ht="13">
      <c r="A191" s="162"/>
      <c r="B191" s="162" t="s">
        <v>239</v>
      </c>
      <c r="C191" s="162" t="s">
        <v>259</v>
      </c>
      <c r="D191" s="163">
        <v>-1000000</v>
      </c>
      <c r="E191" s="162" t="s">
        <v>260</v>
      </c>
      <c r="F191" s="162"/>
      <c r="G191" s="162"/>
    </row>
    <row r="192" spans="1:7" ht="13">
      <c r="A192" s="162"/>
      <c r="B192" s="162" t="s">
        <v>239</v>
      </c>
      <c r="C192" s="162" t="s">
        <v>261</v>
      </c>
      <c r="D192" s="163">
        <f>D187*6+D188*6</f>
        <v>9000000</v>
      </c>
      <c r="E192" s="162" t="s">
        <v>262</v>
      </c>
      <c r="F192" s="162"/>
      <c r="G192" s="162"/>
    </row>
    <row r="193" spans="1:5" ht="13">
      <c r="A193" s="162"/>
      <c r="B193" s="162" t="s">
        <v>239</v>
      </c>
      <c r="C193" s="162" t="s">
        <v>263</v>
      </c>
      <c r="D193" s="163">
        <v>-1500000</v>
      </c>
      <c r="E193" s="162" t="s">
        <v>264</v>
      </c>
    </row>
    <row r="194" spans="1:5" ht="13">
      <c r="A194" s="162"/>
      <c r="B194" s="162" t="s">
        <v>239</v>
      </c>
      <c r="C194" s="162" t="s">
        <v>265</v>
      </c>
      <c r="D194" s="163">
        <f>D188*12</f>
        <v>12000000</v>
      </c>
      <c r="E194" s="162" t="s">
        <v>266</v>
      </c>
    </row>
    <row r="195" spans="1:5" ht="13">
      <c r="A195" s="162"/>
      <c r="B195" s="162"/>
      <c r="C195" s="162"/>
      <c r="D195" s="163"/>
      <c r="E195" s="162"/>
    </row>
    <row r="196" spans="1:5" ht="13">
      <c r="A196" s="162"/>
      <c r="B196" s="162" t="s">
        <v>267</v>
      </c>
      <c r="C196" s="162"/>
      <c r="D196" s="163"/>
      <c r="E196" s="162"/>
    </row>
    <row r="197" spans="1:5" ht="13">
      <c r="A197" s="162"/>
      <c r="B197" s="162" t="s">
        <v>268</v>
      </c>
      <c r="C197" s="162" t="s">
        <v>269</v>
      </c>
      <c r="D197" s="165">
        <v>0</v>
      </c>
      <c r="E197" s="162" t="s">
        <v>270</v>
      </c>
    </row>
    <row r="198" spans="1:5" ht="13">
      <c r="A198" s="162"/>
      <c r="B198" s="162" t="s">
        <v>271</v>
      </c>
      <c r="C198" s="162" t="s">
        <v>272</v>
      </c>
      <c r="D198" s="165">
        <v>5000</v>
      </c>
      <c r="E198" s="162" t="s">
        <v>270</v>
      </c>
    </row>
    <row r="199" spans="1:5" ht="13">
      <c r="A199" s="162"/>
      <c r="B199" s="162" t="s">
        <v>273</v>
      </c>
      <c r="C199" s="162" t="s">
        <v>274</v>
      </c>
      <c r="D199" s="165">
        <v>62500</v>
      </c>
      <c r="E199" s="162" t="s">
        <v>270</v>
      </c>
    </row>
    <row r="200" spans="1:5" ht="13">
      <c r="A200" s="162"/>
      <c r="B200" s="162" t="s">
        <v>275</v>
      </c>
      <c r="C200" s="162" t="s">
        <v>276</v>
      </c>
      <c r="D200" s="165">
        <v>100000</v>
      </c>
      <c r="E200" s="162" t="s">
        <v>270</v>
      </c>
    </row>
    <row r="201" spans="1:5" ht="13">
      <c r="A201" s="162"/>
      <c r="B201" s="162" t="s">
        <v>277</v>
      </c>
      <c r="C201" s="162" t="s">
        <v>278</v>
      </c>
      <c r="D201" s="165">
        <v>250000</v>
      </c>
      <c r="E201" s="162" t="s">
        <v>270</v>
      </c>
    </row>
    <row r="202" spans="1:5" ht="13">
      <c r="A202" s="162"/>
      <c r="B202" s="162" t="s">
        <v>279</v>
      </c>
      <c r="C202" s="162" t="s">
        <v>280</v>
      </c>
      <c r="D202" s="165">
        <v>300000</v>
      </c>
      <c r="E202" s="162" t="s">
        <v>270</v>
      </c>
    </row>
    <row r="203" spans="1:5" ht="13">
      <c r="A203" s="162"/>
      <c r="B203" s="162" t="s">
        <v>281</v>
      </c>
      <c r="C203" s="162" t="s">
        <v>282</v>
      </c>
      <c r="D203" s="165">
        <v>450000</v>
      </c>
      <c r="E203" s="162" t="s">
        <v>270</v>
      </c>
    </row>
    <row r="204" spans="1:5" ht="13">
      <c r="A204" s="162"/>
      <c r="B204" s="162" t="s">
        <v>283</v>
      </c>
      <c r="C204" s="162" t="s">
        <v>284</v>
      </c>
      <c r="D204" s="165">
        <f t="shared" ref="D204:D210" si="2">D197*12</f>
        <v>0</v>
      </c>
      <c r="E204" s="162" t="s">
        <v>285</v>
      </c>
    </row>
    <row r="205" spans="1:5" ht="13">
      <c r="A205" s="162"/>
      <c r="B205" s="162" t="s">
        <v>286</v>
      </c>
      <c r="C205" s="162" t="s">
        <v>287</v>
      </c>
      <c r="D205" s="165">
        <f t="shared" si="2"/>
        <v>60000</v>
      </c>
      <c r="E205" s="162" t="s">
        <v>285</v>
      </c>
    </row>
    <row r="206" spans="1:5" ht="13">
      <c r="A206" s="162"/>
      <c r="B206" s="162" t="s">
        <v>288</v>
      </c>
      <c r="C206" s="162" t="s">
        <v>289</v>
      </c>
      <c r="D206" s="165">
        <f t="shared" si="2"/>
        <v>750000</v>
      </c>
      <c r="E206" s="162" t="s">
        <v>285</v>
      </c>
    </row>
    <row r="207" spans="1:5" ht="13">
      <c r="A207" s="162"/>
      <c r="B207" s="162" t="s">
        <v>290</v>
      </c>
      <c r="C207" s="162" t="s">
        <v>291</v>
      </c>
      <c r="D207" s="165">
        <f t="shared" si="2"/>
        <v>1200000</v>
      </c>
      <c r="E207" s="162" t="s">
        <v>285</v>
      </c>
    </row>
    <row r="208" spans="1:5" ht="13">
      <c r="A208" s="162"/>
      <c r="B208" s="162" t="s">
        <v>292</v>
      </c>
      <c r="C208" s="162" t="s">
        <v>293</v>
      </c>
      <c r="D208" s="165">
        <f t="shared" si="2"/>
        <v>3000000</v>
      </c>
      <c r="E208" s="162" t="s">
        <v>285</v>
      </c>
    </row>
    <row r="209" spans="1:5" ht="13">
      <c r="A209" s="162"/>
      <c r="B209" s="162" t="s">
        <v>294</v>
      </c>
      <c r="C209" s="162" t="s">
        <v>295</v>
      </c>
      <c r="D209" s="165">
        <f t="shared" si="2"/>
        <v>3600000</v>
      </c>
      <c r="E209" s="162" t="s">
        <v>285</v>
      </c>
    </row>
    <row r="210" spans="1:5" ht="13">
      <c r="A210" s="162"/>
      <c r="B210" s="162" t="s">
        <v>296</v>
      </c>
      <c r="C210" s="162" t="s">
        <v>297</v>
      </c>
      <c r="D210" s="165">
        <f t="shared" si="2"/>
        <v>5400000</v>
      </c>
      <c r="E210" s="162" t="s">
        <v>285</v>
      </c>
    </row>
    <row r="211" spans="1:5" ht="13">
      <c r="A211" s="162"/>
      <c r="B211" s="162"/>
      <c r="C211" s="162"/>
      <c r="D211" s="163"/>
      <c r="E211" s="162"/>
    </row>
    <row r="212" spans="1:5" ht="13">
      <c r="A212" s="162"/>
      <c r="B212" s="162" t="s">
        <v>298</v>
      </c>
      <c r="C212" s="162" t="s">
        <v>151</v>
      </c>
      <c r="D212" s="163" t="s">
        <v>152</v>
      </c>
      <c r="E212" s="162" t="s">
        <v>153</v>
      </c>
    </row>
    <row r="213" spans="1:5" ht="13">
      <c r="A213" s="162"/>
      <c r="B213" s="162" t="s">
        <v>121</v>
      </c>
      <c r="C213" s="162" t="s">
        <v>299</v>
      </c>
      <c r="D213" s="163">
        <f>D124</f>
        <v>4500000</v>
      </c>
      <c r="E213" s="162"/>
    </row>
    <row r="214" spans="1:5" ht="13">
      <c r="A214" s="162"/>
      <c r="B214" s="162" t="s">
        <v>121</v>
      </c>
      <c r="C214" s="144" t="s">
        <v>222</v>
      </c>
      <c r="D214" s="163">
        <f>-1*D159</f>
        <v>-4462000</v>
      </c>
    </row>
    <row r="215" spans="1:5" ht="13">
      <c r="A215" s="162"/>
      <c r="B215" s="162" t="s">
        <v>121</v>
      </c>
      <c r="C215" s="162" t="s">
        <v>75</v>
      </c>
      <c r="D215" s="163">
        <f>SUM(D213:D214)</f>
        <v>38000</v>
      </c>
    </row>
    <row r="216" spans="1:5" ht="13">
      <c r="A216" s="162"/>
      <c r="B216" s="162"/>
      <c r="C216" s="162"/>
    </row>
    <row r="217" spans="1:5" ht="13">
      <c r="A217" s="162"/>
      <c r="B217" s="162" t="s">
        <v>298</v>
      </c>
      <c r="C217" s="162" t="s">
        <v>151</v>
      </c>
      <c r="D217" s="163" t="s">
        <v>152</v>
      </c>
      <c r="E217" s="162" t="s">
        <v>153</v>
      </c>
    </row>
    <row r="218" spans="1:5" ht="13">
      <c r="A218" s="162"/>
      <c r="B218" s="162" t="s">
        <v>122</v>
      </c>
      <c r="C218" s="162" t="s">
        <v>300</v>
      </c>
      <c r="D218" s="163">
        <f>D215</f>
        <v>38000</v>
      </c>
    </row>
    <row r="219" spans="1:5" ht="13">
      <c r="A219" s="162"/>
      <c r="B219" s="162" t="s">
        <v>122</v>
      </c>
      <c r="C219" s="162" t="s">
        <v>301</v>
      </c>
      <c r="D219" s="163">
        <v>7500000</v>
      </c>
    </row>
    <row r="220" spans="1:5" ht="13">
      <c r="A220" s="162"/>
      <c r="B220" s="162" t="s">
        <v>122</v>
      </c>
      <c r="C220" s="162" t="s">
        <v>302</v>
      </c>
      <c r="D220" s="163">
        <f>D190</f>
        <v>1200000</v>
      </c>
    </row>
    <row r="221" spans="1:5" ht="13">
      <c r="A221" s="162"/>
      <c r="B221" s="162" t="s">
        <v>122</v>
      </c>
      <c r="C221" s="162" t="s">
        <v>303</v>
      </c>
      <c r="D221" s="163">
        <f>-1*D165</f>
        <v>-3125000</v>
      </c>
    </row>
    <row r="222" spans="1:5" ht="13">
      <c r="A222" s="162"/>
      <c r="B222" s="162" t="s">
        <v>122</v>
      </c>
      <c r="C222" s="162" t="s">
        <v>304</v>
      </c>
      <c r="D222" s="163">
        <f>D191</f>
        <v>-1000000</v>
      </c>
    </row>
    <row r="223" spans="1:5" ht="13">
      <c r="A223" s="162"/>
      <c r="B223" s="162" t="s">
        <v>122</v>
      </c>
      <c r="C223" s="162" t="s">
        <v>305</v>
      </c>
      <c r="D223" s="163">
        <f>-1*4000000</f>
        <v>-4000000</v>
      </c>
    </row>
    <row r="224" spans="1:5" ht="13">
      <c r="A224" s="162"/>
      <c r="B224" s="162" t="s">
        <v>122</v>
      </c>
      <c r="C224" s="162" t="s">
        <v>75</v>
      </c>
      <c r="D224" s="163">
        <f>SUM(D218:D223)</f>
        <v>613000</v>
      </c>
    </row>
    <row r="226" spans="1:5" ht="13">
      <c r="A226" s="162"/>
      <c r="B226" s="162" t="s">
        <v>298</v>
      </c>
      <c r="C226" s="162" t="s">
        <v>151</v>
      </c>
      <c r="D226" s="163" t="s">
        <v>152</v>
      </c>
      <c r="E226" s="162" t="s">
        <v>153</v>
      </c>
    </row>
    <row r="227" spans="1:5" ht="13">
      <c r="A227" s="162"/>
      <c r="B227" s="162" t="s">
        <v>123</v>
      </c>
      <c r="C227" s="162" t="s">
        <v>306</v>
      </c>
      <c r="D227" s="163">
        <f>D224</f>
        <v>613000</v>
      </c>
    </row>
    <row r="228" spans="1:5" ht="13">
      <c r="A228" s="162"/>
      <c r="B228" s="162" t="s">
        <v>123</v>
      </c>
      <c r="C228" s="162" t="s">
        <v>307</v>
      </c>
      <c r="D228" s="163">
        <v>4000000</v>
      </c>
    </row>
    <row r="229" spans="1:5" ht="13">
      <c r="A229" s="162"/>
      <c r="B229" s="162" t="s">
        <v>123</v>
      </c>
      <c r="C229" s="162" t="s">
        <v>302</v>
      </c>
      <c r="D229" s="163">
        <f>D192</f>
        <v>9000000</v>
      </c>
    </row>
    <row r="230" spans="1:5" ht="13">
      <c r="A230" s="162"/>
      <c r="B230" s="162" t="s">
        <v>123</v>
      </c>
      <c r="C230" s="162" t="s">
        <v>303</v>
      </c>
      <c r="D230" s="163">
        <f>-1*D171</f>
        <v>-3781250</v>
      </c>
    </row>
    <row r="231" spans="1:5" ht="13">
      <c r="A231" s="162"/>
      <c r="B231" s="162" t="s">
        <v>123</v>
      </c>
      <c r="C231" s="162" t="s">
        <v>304</v>
      </c>
      <c r="D231" s="163">
        <f>D193</f>
        <v>-1500000</v>
      </c>
    </row>
    <row r="232" spans="1:5" ht="13">
      <c r="A232" s="162"/>
      <c r="B232" s="162" t="s">
        <v>123</v>
      </c>
      <c r="C232" s="162" t="s">
        <v>308</v>
      </c>
      <c r="D232" s="163">
        <f>-8000000</f>
        <v>-8000000</v>
      </c>
    </row>
    <row r="233" spans="1:5" ht="13">
      <c r="A233" s="162"/>
      <c r="B233" s="162" t="s">
        <v>123</v>
      </c>
      <c r="C233" s="162" t="s">
        <v>309</v>
      </c>
      <c r="D233" s="163">
        <v>6000000</v>
      </c>
    </row>
    <row r="234" spans="1:5" ht="13">
      <c r="A234" s="162"/>
      <c r="B234" s="162" t="s">
        <v>123</v>
      </c>
      <c r="C234" s="162" t="s">
        <v>310</v>
      </c>
      <c r="D234" s="163">
        <v>-3781250</v>
      </c>
    </row>
    <row r="235" spans="1:5" ht="13">
      <c r="A235" s="162"/>
      <c r="B235" s="162" t="s">
        <v>123</v>
      </c>
      <c r="C235" s="162" t="s">
        <v>311</v>
      </c>
      <c r="D235" s="163">
        <f>-1*1500000</f>
        <v>-1500000</v>
      </c>
    </row>
    <row r="236" spans="1:5" ht="13">
      <c r="A236" s="162"/>
      <c r="B236" s="162" t="s">
        <v>123</v>
      </c>
      <c r="C236" s="162" t="s">
        <v>75</v>
      </c>
      <c r="D236" s="163">
        <f>SUM(D227:D235)</f>
        <v>1050500</v>
      </c>
    </row>
    <row r="238" spans="1:5" ht="13">
      <c r="A238" s="162"/>
      <c r="B238" s="162" t="s">
        <v>298</v>
      </c>
      <c r="C238" s="162" t="s">
        <v>151</v>
      </c>
      <c r="D238" s="163" t="s">
        <v>152</v>
      </c>
      <c r="E238" s="162" t="s">
        <v>153</v>
      </c>
    </row>
    <row r="239" spans="1:5" ht="13">
      <c r="A239" s="162"/>
      <c r="B239" s="162" t="s">
        <v>124</v>
      </c>
      <c r="C239" s="162" t="s">
        <v>312</v>
      </c>
      <c r="D239" s="163">
        <f>D236</f>
        <v>1050500</v>
      </c>
    </row>
    <row r="240" spans="1:5" ht="13">
      <c r="A240" s="162"/>
      <c r="B240" s="162" t="s">
        <v>124</v>
      </c>
      <c r="C240" s="162" t="s">
        <v>302</v>
      </c>
      <c r="D240" s="163">
        <f>D194</f>
        <v>12000000</v>
      </c>
    </row>
    <row r="241" spans="1:5" ht="13">
      <c r="A241" s="162"/>
      <c r="B241" s="162" t="s">
        <v>124</v>
      </c>
      <c r="C241" s="162" t="s">
        <v>302</v>
      </c>
      <c r="D241" s="163">
        <f>-1*D177</f>
        <v>-4648437.5</v>
      </c>
    </row>
    <row r="242" spans="1:5" ht="13">
      <c r="A242" s="162"/>
      <c r="B242" s="162" t="s">
        <v>124</v>
      </c>
      <c r="C242" s="162" t="s">
        <v>309</v>
      </c>
      <c r="D242" s="163">
        <v>12000000</v>
      </c>
    </row>
    <row r="243" spans="1:5" ht="13">
      <c r="A243" s="162"/>
      <c r="B243" s="162" t="s">
        <v>124</v>
      </c>
      <c r="C243" s="162" t="s">
        <v>309</v>
      </c>
      <c r="D243" s="163">
        <v>-4648437.5</v>
      </c>
    </row>
    <row r="244" spans="1:5" ht="13">
      <c r="A244" s="162"/>
      <c r="B244" s="162" t="s">
        <v>124</v>
      </c>
      <c r="C244" s="162" t="s">
        <v>311</v>
      </c>
      <c r="D244" s="163">
        <v>-1500000</v>
      </c>
    </row>
    <row r="245" spans="1:5" ht="13">
      <c r="A245" s="162"/>
      <c r="B245" s="162" t="s">
        <v>124</v>
      </c>
      <c r="C245" s="162" t="s">
        <v>313</v>
      </c>
      <c r="D245" s="163">
        <v>12000000</v>
      </c>
      <c r="E245" s="163"/>
    </row>
    <row r="246" spans="1:5" ht="13">
      <c r="A246" s="162"/>
      <c r="B246" s="162" t="s">
        <v>124</v>
      </c>
      <c r="C246" s="162" t="s">
        <v>314</v>
      </c>
      <c r="D246" s="163">
        <v>-7562500</v>
      </c>
      <c r="E246" s="163"/>
    </row>
    <row r="247" spans="1:5" ht="13">
      <c r="A247" s="162"/>
      <c r="B247" s="162" t="s">
        <v>124</v>
      </c>
      <c r="C247" s="162" t="s">
        <v>315</v>
      </c>
      <c r="D247" s="163">
        <v>-3000000</v>
      </c>
    </row>
    <row r="248" spans="1:5" ht="13">
      <c r="A248" s="162"/>
      <c r="B248" s="162" t="s">
        <v>124</v>
      </c>
      <c r="C248" s="162" t="s">
        <v>316</v>
      </c>
      <c r="D248" s="163">
        <v>-12000000</v>
      </c>
    </row>
    <row r="249" spans="1:5" ht="13">
      <c r="A249" s="162"/>
      <c r="B249" s="162" t="s">
        <v>124</v>
      </c>
      <c r="C249" s="162" t="s">
        <v>75</v>
      </c>
      <c r="D249" s="163">
        <f>SUM(D239:D248)</f>
        <v>3691125</v>
      </c>
    </row>
    <row r="250" spans="1:5" ht="13">
      <c r="D250" s="163"/>
    </row>
    <row r="251" spans="1:5" ht="13">
      <c r="A251" s="162"/>
      <c r="B251" s="162" t="s">
        <v>298</v>
      </c>
      <c r="C251" s="162" t="s">
        <v>151</v>
      </c>
      <c r="D251" s="163" t="s">
        <v>152</v>
      </c>
      <c r="E251" s="162" t="s">
        <v>153</v>
      </c>
    </row>
    <row r="252" spans="1:5" ht="13">
      <c r="A252" s="162"/>
      <c r="B252" s="162" t="s">
        <v>317</v>
      </c>
      <c r="C252" s="162" t="s">
        <v>318</v>
      </c>
      <c r="D252" s="163">
        <f>D249</f>
        <v>3691125</v>
      </c>
    </row>
    <row r="253" spans="1:5" ht="13">
      <c r="A253" s="162"/>
      <c r="B253" s="162" t="s">
        <v>317</v>
      </c>
      <c r="C253" s="162" t="s">
        <v>302</v>
      </c>
      <c r="D253" s="163">
        <v>12000000</v>
      </c>
    </row>
    <row r="254" spans="1:5" ht="13">
      <c r="A254" s="162"/>
      <c r="B254" s="162" t="s">
        <v>317</v>
      </c>
      <c r="C254" s="162" t="s">
        <v>302</v>
      </c>
      <c r="D254" s="163">
        <v>-4648437.5</v>
      </c>
    </row>
    <row r="255" spans="1:5" ht="13">
      <c r="A255" s="162"/>
      <c r="B255" s="162" t="s">
        <v>317</v>
      </c>
      <c r="C255" s="162" t="s">
        <v>309</v>
      </c>
      <c r="D255" s="163">
        <v>12000000</v>
      </c>
    </row>
    <row r="256" spans="1:5" ht="13">
      <c r="A256" s="162"/>
      <c r="B256" s="162" t="s">
        <v>317</v>
      </c>
      <c r="C256" s="162" t="s">
        <v>310</v>
      </c>
      <c r="D256" s="163">
        <v>-4648437.5</v>
      </c>
    </row>
    <row r="257" spans="1:7" ht="13">
      <c r="A257" s="162"/>
      <c r="B257" s="162" t="s">
        <v>317</v>
      </c>
      <c r="C257" s="162" t="s">
        <v>313</v>
      </c>
      <c r="D257" s="163">
        <f t="shared" ref="D257:D258" si="3">D242*2</f>
        <v>24000000</v>
      </c>
    </row>
    <row r="258" spans="1:7" ht="13">
      <c r="A258" s="162"/>
      <c r="B258" s="162" t="s">
        <v>317</v>
      </c>
      <c r="C258" s="162" t="s">
        <v>314</v>
      </c>
      <c r="D258" s="163">
        <f t="shared" si="3"/>
        <v>-9296875</v>
      </c>
    </row>
    <row r="259" spans="1:7" ht="13">
      <c r="A259" s="162"/>
      <c r="B259" s="162" t="s">
        <v>317</v>
      </c>
      <c r="C259" s="162" t="s">
        <v>315</v>
      </c>
      <c r="D259" s="163">
        <v>-3000000</v>
      </c>
    </row>
    <row r="260" spans="1:7" ht="13">
      <c r="A260" s="162"/>
      <c r="B260" s="162" t="s">
        <v>317</v>
      </c>
      <c r="C260" s="162" t="s">
        <v>319</v>
      </c>
      <c r="D260" s="163">
        <v>12000000</v>
      </c>
    </row>
    <row r="261" spans="1:7" ht="13">
      <c r="A261" s="162"/>
      <c r="B261" s="162" t="s">
        <v>317</v>
      </c>
      <c r="C261" s="162" t="s">
        <v>320</v>
      </c>
      <c r="D261" s="163">
        <v>-7562500</v>
      </c>
    </row>
    <row r="262" spans="1:7" ht="13">
      <c r="A262" s="162"/>
      <c r="B262" s="162" t="s">
        <v>317</v>
      </c>
      <c r="C262" s="162" t="s">
        <v>321</v>
      </c>
      <c r="D262" s="163">
        <v>-10000000</v>
      </c>
    </row>
    <row r="263" spans="1:7" ht="13">
      <c r="A263" s="162"/>
      <c r="B263" s="162" t="s">
        <v>317</v>
      </c>
      <c r="C263" s="162" t="s">
        <v>322</v>
      </c>
      <c r="D263" s="163">
        <v>15000000</v>
      </c>
    </row>
    <row r="264" spans="1:7" ht="13">
      <c r="A264" s="162"/>
      <c r="B264" s="162" t="s">
        <v>317</v>
      </c>
      <c r="C264" s="162" t="s">
        <v>19</v>
      </c>
      <c r="D264" s="163">
        <f>SUM(D252:D263)</f>
        <v>39534875</v>
      </c>
    </row>
    <row r="266" spans="1:7" ht="13">
      <c r="A266" s="162"/>
      <c r="B266" s="162" t="s">
        <v>298</v>
      </c>
      <c r="C266" s="162" t="s">
        <v>151</v>
      </c>
      <c r="D266" s="163" t="s">
        <v>152</v>
      </c>
      <c r="E266" s="162" t="s">
        <v>153</v>
      </c>
      <c r="F266" s="162"/>
      <c r="G266" s="162"/>
    </row>
    <row r="267" spans="1:7" ht="13">
      <c r="A267" s="162"/>
      <c r="B267" s="162" t="s">
        <v>323</v>
      </c>
      <c r="C267" s="162" t="s">
        <v>324</v>
      </c>
      <c r="D267" s="163">
        <f>D264</f>
        <v>39534875</v>
      </c>
      <c r="E267" s="162"/>
      <c r="F267" s="162"/>
      <c r="G267" s="162"/>
    </row>
    <row r="268" spans="1:7" ht="13">
      <c r="A268" s="162"/>
      <c r="B268" s="162" t="s">
        <v>323</v>
      </c>
      <c r="C268" s="162" t="s">
        <v>325</v>
      </c>
      <c r="D268" s="163">
        <f>-4000000*12</f>
        <v>-48000000</v>
      </c>
      <c r="E268" s="162"/>
      <c r="F268" s="162"/>
      <c r="G268" s="162"/>
    </row>
    <row r="269" spans="1:7" ht="13">
      <c r="A269" s="162"/>
      <c r="B269" s="162" t="s">
        <v>323</v>
      </c>
      <c r="C269" s="162" t="s">
        <v>326</v>
      </c>
      <c r="D269" s="163">
        <f>6*12000000</f>
        <v>72000000</v>
      </c>
      <c r="E269" s="162"/>
      <c r="F269" s="162"/>
      <c r="G269" s="162"/>
    </row>
    <row r="270" spans="1:7" ht="13">
      <c r="A270" s="162"/>
      <c r="B270" s="162" t="s">
        <v>323</v>
      </c>
      <c r="C270" s="162" t="s">
        <v>327</v>
      </c>
      <c r="D270" s="163">
        <f>D254*6</f>
        <v>-27890625</v>
      </c>
      <c r="E270" s="162"/>
      <c r="F270" s="162"/>
      <c r="G270" s="162"/>
    </row>
    <row r="271" spans="1:7" ht="13">
      <c r="A271" s="162"/>
      <c r="B271" s="162" t="s">
        <v>323</v>
      </c>
      <c r="C271" s="162" t="s">
        <v>328</v>
      </c>
      <c r="D271" s="163">
        <f>D259</f>
        <v>-3000000</v>
      </c>
    </row>
    <row r="272" spans="1:7" ht="13">
      <c r="A272" s="162"/>
      <c r="B272" s="162" t="s">
        <v>323</v>
      </c>
      <c r="C272" s="162" t="s">
        <v>321</v>
      </c>
      <c r="D272" s="163">
        <v>-20000000</v>
      </c>
    </row>
    <row r="273" spans="1:7" ht="13">
      <c r="A273" s="162"/>
      <c r="B273" s="162" t="s">
        <v>323</v>
      </c>
      <c r="C273" s="162" t="s">
        <v>322</v>
      </c>
      <c r="D273" s="163">
        <v>40000000</v>
      </c>
    </row>
    <row r="274" spans="1:7" ht="13">
      <c r="A274" s="162"/>
      <c r="B274" s="162" t="s">
        <v>323</v>
      </c>
      <c r="C274" s="162" t="s">
        <v>19</v>
      </c>
      <c r="D274" s="163">
        <f>SUM(D267:D273)</f>
        <v>52644250</v>
      </c>
    </row>
    <row r="276" spans="1:7" ht="13">
      <c r="A276" s="162"/>
      <c r="B276" s="162" t="s">
        <v>329</v>
      </c>
      <c r="C276" s="162"/>
      <c r="D276" s="162"/>
      <c r="E276" s="162"/>
      <c r="F276" s="162"/>
      <c r="G276" s="162"/>
    </row>
    <row r="277" spans="1:7" ht="13">
      <c r="A277" s="162"/>
      <c r="B277" s="162" t="s">
        <v>330</v>
      </c>
      <c r="C277" s="162" t="s">
        <v>331</v>
      </c>
      <c r="D277" s="162" t="s">
        <v>332</v>
      </c>
      <c r="E277" s="162" t="s">
        <v>333</v>
      </c>
      <c r="F277" s="162" t="s">
        <v>334</v>
      </c>
      <c r="G277" s="162" t="s">
        <v>153</v>
      </c>
    </row>
    <row r="278" spans="1:7" ht="13">
      <c r="A278" s="162"/>
      <c r="B278" s="162" t="s">
        <v>335</v>
      </c>
      <c r="C278" s="162" t="s">
        <v>336</v>
      </c>
      <c r="D278" s="162">
        <v>1</v>
      </c>
      <c r="E278" s="163">
        <v>150000</v>
      </c>
      <c r="F278" s="163">
        <f t="shared" ref="F278:F286" si="4">D278*E278</f>
        <v>150000</v>
      </c>
      <c r="G278" s="162" t="s">
        <v>337</v>
      </c>
    </row>
    <row r="279" spans="1:7" ht="13">
      <c r="A279" s="162"/>
      <c r="B279" s="162" t="s">
        <v>338</v>
      </c>
      <c r="C279" s="162" t="s">
        <v>339</v>
      </c>
      <c r="D279" s="162">
        <v>1</v>
      </c>
      <c r="E279" s="163">
        <v>130000</v>
      </c>
      <c r="F279" s="163">
        <f t="shared" si="4"/>
        <v>130000</v>
      </c>
      <c r="G279" s="162" t="s">
        <v>340</v>
      </c>
    </row>
    <row r="280" spans="1:7" ht="13">
      <c r="A280" s="162"/>
      <c r="B280" s="162" t="s">
        <v>338</v>
      </c>
      <c r="C280" s="162" t="s">
        <v>341</v>
      </c>
      <c r="D280" s="162">
        <v>2</v>
      </c>
      <c r="E280" s="163">
        <v>90000</v>
      </c>
      <c r="F280" s="163">
        <f t="shared" si="4"/>
        <v>180000</v>
      </c>
      <c r="G280" s="162" t="s">
        <v>342</v>
      </c>
    </row>
    <row r="281" spans="1:7" ht="13">
      <c r="A281" s="162"/>
      <c r="B281" s="162" t="s">
        <v>24</v>
      </c>
      <c r="C281" s="162" t="s">
        <v>343</v>
      </c>
      <c r="D281" s="162">
        <v>1</v>
      </c>
      <c r="E281" s="163">
        <v>70000</v>
      </c>
      <c r="F281" s="163">
        <f t="shared" si="4"/>
        <v>70000</v>
      </c>
      <c r="G281" s="162" t="s">
        <v>344</v>
      </c>
    </row>
    <row r="282" spans="1:7" ht="13">
      <c r="A282" s="162"/>
      <c r="B282" s="162" t="s">
        <v>24</v>
      </c>
      <c r="C282" s="162" t="s">
        <v>345</v>
      </c>
      <c r="D282" s="162">
        <v>1</v>
      </c>
      <c r="E282" s="163">
        <v>65000</v>
      </c>
      <c r="F282" s="163">
        <f t="shared" si="4"/>
        <v>65000</v>
      </c>
      <c r="G282" s="162" t="s">
        <v>346</v>
      </c>
    </row>
    <row r="283" spans="1:7" ht="13">
      <c r="A283" s="162"/>
      <c r="B283" s="162" t="s">
        <v>347</v>
      </c>
      <c r="C283" s="162" t="s">
        <v>348</v>
      </c>
      <c r="D283" s="162">
        <v>1</v>
      </c>
      <c r="E283" s="163">
        <v>90000</v>
      </c>
      <c r="F283" s="163">
        <f t="shared" si="4"/>
        <v>90000</v>
      </c>
      <c r="G283" s="162" t="s">
        <v>349</v>
      </c>
    </row>
    <row r="284" spans="1:7" ht="13">
      <c r="A284" s="162"/>
      <c r="B284" s="162" t="s">
        <v>350</v>
      </c>
      <c r="C284" s="162" t="s">
        <v>351</v>
      </c>
      <c r="D284" s="162">
        <v>1</v>
      </c>
      <c r="E284" s="163">
        <v>60000</v>
      </c>
      <c r="F284" s="163">
        <f t="shared" si="4"/>
        <v>60000</v>
      </c>
      <c r="G284" s="162" t="s">
        <v>352</v>
      </c>
    </row>
    <row r="285" spans="1:7" ht="13">
      <c r="A285" s="162"/>
      <c r="B285" s="162" t="s">
        <v>353</v>
      </c>
      <c r="C285" s="162" t="s">
        <v>354</v>
      </c>
      <c r="D285" s="162">
        <v>1</v>
      </c>
      <c r="E285" s="163">
        <v>85000</v>
      </c>
      <c r="F285" s="163">
        <f t="shared" si="4"/>
        <v>85000</v>
      </c>
      <c r="G285" s="162" t="s">
        <v>355</v>
      </c>
    </row>
    <row r="286" spans="1:7" ht="13">
      <c r="A286" s="162"/>
      <c r="B286" s="162" t="s">
        <v>356</v>
      </c>
      <c r="C286" s="162" t="s">
        <v>357</v>
      </c>
      <c r="D286" s="162">
        <v>1</v>
      </c>
      <c r="E286" s="163">
        <v>80000</v>
      </c>
      <c r="F286" s="163">
        <f t="shared" si="4"/>
        <v>80000</v>
      </c>
      <c r="G286" s="162" t="s">
        <v>358</v>
      </c>
    </row>
    <row r="287" spans="1:7" ht="13">
      <c r="A287" s="162"/>
      <c r="B287" s="162" t="s">
        <v>359</v>
      </c>
      <c r="C287" s="162" t="s">
        <v>360</v>
      </c>
      <c r="E287" s="162" t="s">
        <v>359</v>
      </c>
      <c r="F287" s="163">
        <f>SUM(F278:F286)</f>
        <v>910000</v>
      </c>
      <c r="G287" s="162" t="s">
        <v>361</v>
      </c>
    </row>
    <row r="288" spans="1:7" ht="13">
      <c r="C288" s="162" t="s">
        <v>362</v>
      </c>
      <c r="E288" s="162" t="s">
        <v>359</v>
      </c>
      <c r="F288" s="163">
        <v>435000</v>
      </c>
      <c r="G288" s="162" t="s">
        <v>363</v>
      </c>
    </row>
    <row r="289" spans="1:7" ht="13">
      <c r="A289" s="162"/>
      <c r="B289" s="162" t="s">
        <v>359</v>
      </c>
      <c r="C289" s="162" t="s">
        <v>364</v>
      </c>
      <c r="E289" s="162" t="s">
        <v>359</v>
      </c>
      <c r="F289" s="163">
        <v>1250000</v>
      </c>
      <c r="G289" s="162" t="s">
        <v>365</v>
      </c>
    </row>
    <row r="290" spans="1:7" ht="13">
      <c r="A290" s="162"/>
      <c r="B290" s="162"/>
      <c r="D290" s="162"/>
    </row>
    <row r="291" spans="1:7" ht="13">
      <c r="A291" s="162"/>
      <c r="B291" s="162" t="s">
        <v>366</v>
      </c>
      <c r="C291" s="162" t="s">
        <v>367</v>
      </c>
      <c r="D291" s="162" t="s">
        <v>368</v>
      </c>
    </row>
    <row r="292" spans="1:7" ht="13">
      <c r="A292" s="162"/>
      <c r="B292" s="162" t="s">
        <v>122</v>
      </c>
      <c r="C292" s="162" t="s">
        <v>369</v>
      </c>
      <c r="D292" s="163">
        <f>F289*1.5</f>
        <v>1875000</v>
      </c>
    </row>
    <row r="293" spans="1:7" ht="13">
      <c r="A293" s="162"/>
      <c r="B293" s="162" t="s">
        <v>123</v>
      </c>
      <c r="C293" s="162" t="s">
        <v>370</v>
      </c>
      <c r="D293" s="163">
        <f t="shared" ref="D293:D294" si="5">D292*1.25</f>
        <v>2343750</v>
      </c>
    </row>
    <row r="294" spans="1:7" ht="13">
      <c r="A294" s="162"/>
      <c r="B294" s="162" t="s">
        <v>371</v>
      </c>
      <c r="C294" s="162" t="s">
        <v>372</v>
      </c>
      <c r="D294" s="163">
        <f t="shared" si="5"/>
        <v>2929687.5</v>
      </c>
    </row>
    <row r="295" spans="1:7" ht="13">
      <c r="D295" s="163"/>
    </row>
    <row r="296" spans="1:7" ht="13">
      <c r="D296" s="163"/>
    </row>
    <row r="297" spans="1:7" ht="13">
      <c r="D297" s="163"/>
    </row>
    <row r="298" spans="1:7" ht="13">
      <c r="D298" s="163"/>
    </row>
    <row r="299" spans="1:7" ht="13">
      <c r="D299" s="163"/>
    </row>
    <row r="300" spans="1:7" ht="13">
      <c r="D300" s="163"/>
    </row>
    <row r="301" spans="1:7" ht="13">
      <c r="D301" s="163"/>
    </row>
    <row r="302" spans="1:7" ht="13">
      <c r="D302" s="163"/>
    </row>
    <row r="303" spans="1:7" ht="13">
      <c r="D303" s="163"/>
    </row>
    <row r="304" spans="1:7" ht="13">
      <c r="D304" s="163"/>
    </row>
    <row r="305" spans="4:4" ht="13">
      <c r="D305" s="163"/>
    </row>
    <row r="306" spans="4:4" ht="13">
      <c r="D306" s="163"/>
    </row>
    <row r="307" spans="4:4" ht="13">
      <c r="D307" s="163"/>
    </row>
    <row r="308" spans="4:4" ht="13">
      <c r="D308" s="163"/>
    </row>
    <row r="309" spans="4:4" ht="13">
      <c r="D309" s="163"/>
    </row>
    <row r="310" spans="4:4" ht="13">
      <c r="D310" s="163"/>
    </row>
    <row r="311" spans="4:4" ht="13">
      <c r="D311" s="163"/>
    </row>
    <row r="312" spans="4:4" ht="13">
      <c r="D312" s="163"/>
    </row>
    <row r="313" spans="4:4" ht="13">
      <c r="D313" s="163"/>
    </row>
    <row r="314" spans="4:4" ht="13">
      <c r="D314" s="163"/>
    </row>
    <row r="315" spans="4:4" ht="13">
      <c r="D315" s="163"/>
    </row>
    <row r="316" spans="4:4" ht="13">
      <c r="D316" s="163"/>
    </row>
    <row r="317" spans="4:4" ht="13">
      <c r="D317" s="163"/>
    </row>
    <row r="318" spans="4:4" ht="13">
      <c r="D318" s="163"/>
    </row>
    <row r="319" spans="4:4" ht="13">
      <c r="D319" s="163"/>
    </row>
    <row r="320" spans="4:4" ht="13">
      <c r="D320" s="163"/>
    </row>
    <row r="321" spans="4:4" ht="13">
      <c r="D321" s="163"/>
    </row>
    <row r="322" spans="4:4" ht="13">
      <c r="D322" s="163"/>
    </row>
    <row r="323" spans="4:4" ht="13">
      <c r="D323" s="163"/>
    </row>
    <row r="324" spans="4:4" ht="13">
      <c r="D324" s="163"/>
    </row>
    <row r="325" spans="4:4" ht="13">
      <c r="D325" s="163"/>
    </row>
    <row r="326" spans="4:4" ht="13">
      <c r="D326" s="163"/>
    </row>
    <row r="327" spans="4:4" ht="13">
      <c r="D327" s="163"/>
    </row>
    <row r="328" spans="4:4" ht="13">
      <c r="D328" s="163"/>
    </row>
    <row r="329" spans="4:4" ht="13">
      <c r="D329" s="163"/>
    </row>
    <row r="330" spans="4:4" ht="13">
      <c r="D330" s="163"/>
    </row>
    <row r="331" spans="4:4" ht="13">
      <c r="D331" s="163"/>
    </row>
    <row r="332" spans="4:4" ht="13">
      <c r="D332" s="163"/>
    </row>
    <row r="333" spans="4:4" ht="13">
      <c r="D333" s="163"/>
    </row>
    <row r="334" spans="4:4" ht="13">
      <c r="D334" s="163"/>
    </row>
    <row r="335" spans="4:4" ht="13">
      <c r="D335" s="163"/>
    </row>
    <row r="336" spans="4:4" ht="13">
      <c r="D336" s="163"/>
    </row>
    <row r="337" spans="4:4" ht="13">
      <c r="D337" s="163"/>
    </row>
    <row r="338" spans="4:4" ht="13">
      <c r="D338" s="163"/>
    </row>
    <row r="339" spans="4:4" ht="13">
      <c r="D339" s="163"/>
    </row>
    <row r="340" spans="4:4" ht="13">
      <c r="D340" s="163"/>
    </row>
    <row r="341" spans="4:4" ht="13">
      <c r="D341" s="163"/>
    </row>
    <row r="342" spans="4:4" ht="13">
      <c r="D342" s="163"/>
    </row>
    <row r="343" spans="4:4" ht="13">
      <c r="D343" s="163"/>
    </row>
    <row r="344" spans="4:4" ht="13">
      <c r="D344" s="163"/>
    </row>
    <row r="345" spans="4:4" ht="13">
      <c r="D345" s="163"/>
    </row>
    <row r="346" spans="4:4" ht="13">
      <c r="D346" s="163"/>
    </row>
    <row r="347" spans="4:4" ht="13">
      <c r="D347" s="163"/>
    </row>
    <row r="348" spans="4:4" ht="13">
      <c r="D348" s="163"/>
    </row>
    <row r="349" spans="4:4" ht="13">
      <c r="D349" s="163"/>
    </row>
    <row r="350" spans="4:4" ht="13">
      <c r="D350" s="163"/>
    </row>
    <row r="351" spans="4:4" ht="13">
      <c r="D351" s="163"/>
    </row>
    <row r="352" spans="4:4" ht="13">
      <c r="D352" s="163"/>
    </row>
    <row r="353" spans="4:4" ht="13">
      <c r="D353" s="163"/>
    </row>
    <row r="354" spans="4:4" ht="13">
      <c r="D354" s="163"/>
    </row>
    <row r="355" spans="4:4" ht="13">
      <c r="D355" s="163"/>
    </row>
    <row r="356" spans="4:4" ht="13">
      <c r="D356" s="163"/>
    </row>
    <row r="357" spans="4:4" ht="13">
      <c r="D357" s="163"/>
    </row>
    <row r="358" spans="4:4" ht="13">
      <c r="D358" s="163"/>
    </row>
    <row r="359" spans="4:4" ht="13">
      <c r="D359" s="163"/>
    </row>
    <row r="360" spans="4:4" ht="13">
      <c r="D360" s="163"/>
    </row>
    <row r="361" spans="4:4" ht="13">
      <c r="D361" s="163"/>
    </row>
    <row r="362" spans="4:4" ht="13">
      <c r="D362" s="163"/>
    </row>
    <row r="363" spans="4:4" ht="13">
      <c r="D363" s="163"/>
    </row>
    <row r="364" spans="4:4" ht="13">
      <c r="D364" s="163"/>
    </row>
    <row r="365" spans="4:4" ht="13">
      <c r="D365" s="163"/>
    </row>
    <row r="366" spans="4:4" ht="13">
      <c r="D366" s="163"/>
    </row>
    <row r="367" spans="4:4" ht="13">
      <c r="D367" s="163"/>
    </row>
    <row r="368" spans="4:4" ht="13">
      <c r="D368" s="163"/>
    </row>
    <row r="369" spans="4:4" ht="13">
      <c r="D369" s="163"/>
    </row>
    <row r="370" spans="4:4" ht="13">
      <c r="D370" s="163"/>
    </row>
    <row r="371" spans="4:4" ht="13">
      <c r="D371" s="163"/>
    </row>
    <row r="372" spans="4:4" ht="13">
      <c r="D372" s="163"/>
    </row>
    <row r="373" spans="4:4" ht="13">
      <c r="D373" s="163"/>
    </row>
    <row r="374" spans="4:4" ht="13">
      <c r="D374" s="163"/>
    </row>
    <row r="375" spans="4:4" ht="13">
      <c r="D375" s="163"/>
    </row>
    <row r="376" spans="4:4" ht="13">
      <c r="D376" s="163"/>
    </row>
    <row r="377" spans="4:4" ht="13">
      <c r="D377" s="163"/>
    </row>
    <row r="378" spans="4:4" ht="13">
      <c r="D378" s="163"/>
    </row>
    <row r="379" spans="4:4" ht="13">
      <c r="D379" s="163"/>
    </row>
    <row r="380" spans="4:4" ht="13">
      <c r="D380" s="163"/>
    </row>
    <row r="381" spans="4:4" ht="13">
      <c r="D381" s="163"/>
    </row>
    <row r="382" spans="4:4" ht="13">
      <c r="D382" s="163"/>
    </row>
    <row r="383" spans="4:4" ht="13">
      <c r="D383" s="163"/>
    </row>
    <row r="384" spans="4:4" ht="13">
      <c r="D384" s="163"/>
    </row>
    <row r="385" spans="4:4" ht="13">
      <c r="D385" s="163"/>
    </row>
    <row r="386" spans="4:4" ht="13">
      <c r="D386" s="163"/>
    </row>
    <row r="387" spans="4:4" ht="13">
      <c r="D387" s="163"/>
    </row>
    <row r="388" spans="4:4" ht="13">
      <c r="D388" s="163"/>
    </row>
    <row r="389" spans="4:4" ht="13">
      <c r="D389" s="163"/>
    </row>
    <row r="390" spans="4:4" ht="13">
      <c r="D390" s="163"/>
    </row>
    <row r="391" spans="4:4" ht="13">
      <c r="D391" s="163"/>
    </row>
    <row r="392" spans="4:4" ht="13">
      <c r="D392" s="163"/>
    </row>
    <row r="393" spans="4:4" ht="13">
      <c r="D393" s="163"/>
    </row>
    <row r="394" spans="4:4" ht="13">
      <c r="D394" s="163"/>
    </row>
    <row r="395" spans="4:4" ht="13">
      <c r="D395" s="163"/>
    </row>
    <row r="396" spans="4:4" ht="13">
      <c r="D396" s="163"/>
    </row>
    <row r="397" spans="4:4" ht="13">
      <c r="D397" s="163"/>
    </row>
    <row r="398" spans="4:4" ht="13">
      <c r="D398" s="163"/>
    </row>
    <row r="399" spans="4:4" ht="13">
      <c r="D399" s="163"/>
    </row>
    <row r="400" spans="4:4" ht="13">
      <c r="D400" s="163"/>
    </row>
    <row r="401" spans="4:4" ht="13">
      <c r="D401" s="163"/>
    </row>
    <row r="402" spans="4:4" ht="13">
      <c r="D402" s="163"/>
    </row>
    <row r="403" spans="4:4" ht="13">
      <c r="D403" s="163"/>
    </row>
    <row r="404" spans="4:4" ht="13">
      <c r="D404" s="163"/>
    </row>
    <row r="405" spans="4:4" ht="13">
      <c r="D405" s="163"/>
    </row>
    <row r="406" spans="4:4" ht="13">
      <c r="D406" s="163"/>
    </row>
    <row r="407" spans="4:4" ht="13">
      <c r="D407" s="163"/>
    </row>
    <row r="408" spans="4:4" ht="13">
      <c r="D408" s="163"/>
    </row>
    <row r="409" spans="4:4" ht="13">
      <c r="D409" s="163"/>
    </row>
    <row r="410" spans="4:4" ht="13">
      <c r="D410" s="163"/>
    </row>
    <row r="411" spans="4:4" ht="13">
      <c r="D411" s="163"/>
    </row>
    <row r="412" spans="4:4" ht="13">
      <c r="D412" s="163"/>
    </row>
    <row r="413" spans="4:4" ht="13">
      <c r="D413" s="163"/>
    </row>
    <row r="414" spans="4:4" ht="13">
      <c r="D414" s="163"/>
    </row>
    <row r="415" spans="4:4" ht="13">
      <c r="D415" s="163"/>
    </row>
    <row r="416" spans="4:4" ht="13">
      <c r="D416" s="163"/>
    </row>
    <row r="417" spans="4:4" ht="13">
      <c r="D417" s="163"/>
    </row>
    <row r="418" spans="4:4" ht="13">
      <c r="D418" s="163"/>
    </row>
    <row r="419" spans="4:4" ht="13">
      <c r="D419" s="163"/>
    </row>
    <row r="420" spans="4:4" ht="13">
      <c r="D420" s="163"/>
    </row>
    <row r="421" spans="4:4" ht="13">
      <c r="D421" s="163"/>
    </row>
    <row r="422" spans="4:4" ht="13">
      <c r="D422" s="163"/>
    </row>
    <row r="423" spans="4:4" ht="13">
      <c r="D423" s="163"/>
    </row>
    <row r="424" spans="4:4" ht="13">
      <c r="D424" s="163"/>
    </row>
    <row r="425" spans="4:4" ht="13">
      <c r="D425" s="163"/>
    </row>
    <row r="426" spans="4:4" ht="13">
      <c r="D426" s="163"/>
    </row>
    <row r="427" spans="4:4" ht="13">
      <c r="D427" s="163"/>
    </row>
    <row r="428" spans="4:4" ht="13">
      <c r="D428" s="163"/>
    </row>
    <row r="429" spans="4:4" ht="13">
      <c r="D429" s="163"/>
    </row>
    <row r="430" spans="4:4" ht="13">
      <c r="D430" s="163"/>
    </row>
    <row r="431" spans="4:4" ht="13">
      <c r="D431" s="163"/>
    </row>
    <row r="432" spans="4:4" ht="13">
      <c r="D432" s="163"/>
    </row>
    <row r="433" spans="4:4" ht="13">
      <c r="D433" s="163"/>
    </row>
    <row r="434" spans="4:4" ht="13">
      <c r="D434" s="163"/>
    </row>
    <row r="435" spans="4:4" ht="13">
      <c r="D435" s="163"/>
    </row>
    <row r="436" spans="4:4" ht="13">
      <c r="D436" s="163"/>
    </row>
    <row r="437" spans="4:4" ht="13">
      <c r="D437" s="163"/>
    </row>
    <row r="438" spans="4:4" ht="13">
      <c r="D438" s="163"/>
    </row>
    <row r="439" spans="4:4" ht="13">
      <c r="D439" s="163"/>
    </row>
    <row r="440" spans="4:4" ht="13">
      <c r="D440" s="163"/>
    </row>
    <row r="441" spans="4:4" ht="13">
      <c r="D441" s="163"/>
    </row>
    <row r="442" spans="4:4" ht="13">
      <c r="D442" s="163"/>
    </row>
    <row r="443" spans="4:4" ht="13">
      <c r="D443" s="163"/>
    </row>
    <row r="444" spans="4:4" ht="13">
      <c r="D444" s="163"/>
    </row>
    <row r="445" spans="4:4" ht="13">
      <c r="D445" s="163"/>
    </row>
    <row r="446" spans="4:4" ht="13">
      <c r="D446" s="163"/>
    </row>
    <row r="447" spans="4:4" ht="13">
      <c r="D447" s="163"/>
    </row>
    <row r="448" spans="4:4" ht="13">
      <c r="D448" s="163"/>
    </row>
    <row r="449" spans="4:4" ht="13">
      <c r="D449" s="163"/>
    </row>
    <row r="450" spans="4:4" ht="13">
      <c r="D450" s="163"/>
    </row>
    <row r="451" spans="4:4" ht="13">
      <c r="D451" s="163"/>
    </row>
    <row r="452" spans="4:4" ht="13">
      <c r="D452" s="163"/>
    </row>
    <row r="453" spans="4:4" ht="13">
      <c r="D453" s="163"/>
    </row>
    <row r="454" spans="4:4" ht="13">
      <c r="D454" s="163"/>
    </row>
    <row r="455" spans="4:4" ht="13">
      <c r="D455" s="163"/>
    </row>
    <row r="456" spans="4:4" ht="13">
      <c r="D456" s="163"/>
    </row>
    <row r="457" spans="4:4" ht="13">
      <c r="D457" s="163"/>
    </row>
    <row r="458" spans="4:4" ht="13">
      <c r="D458" s="163"/>
    </row>
    <row r="459" spans="4:4" ht="13">
      <c r="D459" s="163"/>
    </row>
    <row r="460" spans="4:4" ht="13">
      <c r="D460" s="163"/>
    </row>
    <row r="461" spans="4:4" ht="13">
      <c r="D461" s="163"/>
    </row>
    <row r="462" spans="4:4" ht="13">
      <c r="D462" s="163"/>
    </row>
    <row r="463" spans="4:4" ht="13">
      <c r="D463" s="163"/>
    </row>
    <row r="464" spans="4:4" ht="13">
      <c r="D464" s="163"/>
    </row>
    <row r="465" spans="4:4" ht="13">
      <c r="D465" s="163"/>
    </row>
    <row r="466" spans="4:4" ht="13">
      <c r="D466" s="163"/>
    </row>
    <row r="467" spans="4:4" ht="13">
      <c r="D467" s="163"/>
    </row>
    <row r="468" spans="4:4" ht="13">
      <c r="D468" s="163"/>
    </row>
    <row r="469" spans="4:4" ht="13">
      <c r="D469" s="163"/>
    </row>
    <row r="470" spans="4:4" ht="13">
      <c r="D470" s="163"/>
    </row>
    <row r="471" spans="4:4" ht="13">
      <c r="D471" s="163"/>
    </row>
    <row r="472" spans="4:4" ht="13">
      <c r="D472" s="163"/>
    </row>
    <row r="473" spans="4:4" ht="13">
      <c r="D473" s="163"/>
    </row>
    <row r="474" spans="4:4" ht="13">
      <c r="D474" s="163"/>
    </row>
    <row r="475" spans="4:4" ht="13">
      <c r="D475" s="163"/>
    </row>
    <row r="476" spans="4:4" ht="13">
      <c r="D476" s="163"/>
    </row>
    <row r="477" spans="4:4" ht="13">
      <c r="D477" s="163"/>
    </row>
    <row r="478" spans="4:4" ht="13">
      <c r="D478" s="163"/>
    </row>
    <row r="479" spans="4:4" ht="13">
      <c r="D479" s="163"/>
    </row>
    <row r="480" spans="4:4" ht="13">
      <c r="D480" s="163"/>
    </row>
    <row r="481" spans="4:4" ht="13">
      <c r="D481" s="163"/>
    </row>
    <row r="482" spans="4:4" ht="13">
      <c r="D482" s="163"/>
    </row>
    <row r="483" spans="4:4" ht="13">
      <c r="D483" s="163"/>
    </row>
    <row r="484" spans="4:4" ht="13">
      <c r="D484" s="163"/>
    </row>
    <row r="485" spans="4:4" ht="13">
      <c r="D485" s="163"/>
    </row>
    <row r="486" spans="4:4" ht="13">
      <c r="D486" s="163"/>
    </row>
    <row r="487" spans="4:4" ht="13">
      <c r="D487" s="163"/>
    </row>
    <row r="488" spans="4:4" ht="13">
      <c r="D488" s="163"/>
    </row>
    <row r="489" spans="4:4" ht="13">
      <c r="D489" s="163"/>
    </row>
    <row r="490" spans="4:4" ht="13">
      <c r="D490" s="163"/>
    </row>
    <row r="491" spans="4:4" ht="13">
      <c r="D491" s="163"/>
    </row>
    <row r="492" spans="4:4" ht="13">
      <c r="D492" s="163"/>
    </row>
    <row r="493" spans="4:4" ht="13">
      <c r="D493" s="163"/>
    </row>
    <row r="494" spans="4:4" ht="13">
      <c r="D494" s="163"/>
    </row>
    <row r="495" spans="4:4" ht="13">
      <c r="D495" s="163"/>
    </row>
    <row r="496" spans="4:4" ht="13">
      <c r="D496" s="163"/>
    </row>
    <row r="497" spans="4:4" ht="13">
      <c r="D497" s="163"/>
    </row>
    <row r="498" spans="4:4" ht="13">
      <c r="D498" s="163"/>
    </row>
    <row r="499" spans="4:4" ht="13">
      <c r="D499" s="163"/>
    </row>
    <row r="500" spans="4:4" ht="13">
      <c r="D500" s="163"/>
    </row>
    <row r="501" spans="4:4" ht="13">
      <c r="D501" s="163"/>
    </row>
    <row r="502" spans="4:4" ht="13">
      <c r="D502" s="163"/>
    </row>
    <row r="503" spans="4:4" ht="13">
      <c r="D503" s="163"/>
    </row>
    <row r="504" spans="4:4" ht="13">
      <c r="D504" s="163"/>
    </row>
    <row r="505" spans="4:4" ht="13">
      <c r="D505" s="163"/>
    </row>
    <row r="506" spans="4:4" ht="13">
      <c r="D506" s="163"/>
    </row>
    <row r="507" spans="4:4" ht="13">
      <c r="D507" s="163"/>
    </row>
    <row r="508" spans="4:4" ht="13">
      <c r="D508" s="163"/>
    </row>
    <row r="509" spans="4:4" ht="13">
      <c r="D509" s="163"/>
    </row>
    <row r="510" spans="4:4" ht="13">
      <c r="D510" s="163"/>
    </row>
    <row r="511" spans="4:4" ht="13">
      <c r="D511" s="163"/>
    </row>
    <row r="512" spans="4:4" ht="13">
      <c r="D512" s="163"/>
    </row>
    <row r="513" spans="4:4" ht="13">
      <c r="D513" s="163"/>
    </row>
    <row r="514" spans="4:4" ht="13">
      <c r="D514" s="163"/>
    </row>
    <row r="515" spans="4:4" ht="13">
      <c r="D515" s="163"/>
    </row>
    <row r="516" spans="4:4" ht="13">
      <c r="D516" s="163"/>
    </row>
    <row r="517" spans="4:4" ht="13">
      <c r="D517" s="163"/>
    </row>
    <row r="518" spans="4:4" ht="13">
      <c r="D518" s="163"/>
    </row>
    <row r="519" spans="4:4" ht="13">
      <c r="D519" s="163"/>
    </row>
    <row r="520" spans="4:4" ht="13">
      <c r="D520" s="163"/>
    </row>
    <row r="521" spans="4:4" ht="13">
      <c r="D521" s="163"/>
    </row>
    <row r="522" spans="4:4" ht="13">
      <c r="D522" s="163"/>
    </row>
    <row r="523" spans="4:4" ht="13">
      <c r="D523" s="163"/>
    </row>
    <row r="524" spans="4:4" ht="13">
      <c r="D524" s="163"/>
    </row>
    <row r="525" spans="4:4" ht="13">
      <c r="D525" s="163"/>
    </row>
    <row r="526" spans="4:4" ht="13">
      <c r="D526" s="163"/>
    </row>
    <row r="527" spans="4:4" ht="13">
      <c r="D527" s="163"/>
    </row>
    <row r="528" spans="4:4" ht="13">
      <c r="D528" s="163"/>
    </row>
    <row r="529" spans="4:4" ht="13">
      <c r="D529" s="163"/>
    </row>
    <row r="530" spans="4:4" ht="13">
      <c r="D530" s="163"/>
    </row>
    <row r="531" spans="4:4" ht="13">
      <c r="D531" s="163"/>
    </row>
    <row r="532" spans="4:4" ht="13">
      <c r="D532" s="163"/>
    </row>
    <row r="533" spans="4:4" ht="13">
      <c r="D533" s="163"/>
    </row>
    <row r="534" spans="4:4" ht="13">
      <c r="D534" s="163"/>
    </row>
    <row r="535" spans="4:4" ht="13">
      <c r="D535" s="163"/>
    </row>
    <row r="536" spans="4:4" ht="13">
      <c r="D536" s="163"/>
    </row>
    <row r="537" spans="4:4" ht="13">
      <c r="D537" s="163"/>
    </row>
    <row r="538" spans="4:4" ht="13">
      <c r="D538" s="163"/>
    </row>
    <row r="539" spans="4:4" ht="13">
      <c r="D539" s="163"/>
    </row>
    <row r="540" spans="4:4" ht="13">
      <c r="D540" s="163"/>
    </row>
    <row r="541" spans="4:4" ht="13">
      <c r="D541" s="163"/>
    </row>
    <row r="542" spans="4:4" ht="13">
      <c r="D542" s="163"/>
    </row>
    <row r="543" spans="4:4" ht="13">
      <c r="D543" s="163"/>
    </row>
    <row r="544" spans="4:4" ht="13">
      <c r="D544" s="163"/>
    </row>
    <row r="545" spans="4:4" ht="13">
      <c r="D545" s="163"/>
    </row>
    <row r="546" spans="4:4" ht="13">
      <c r="D546" s="163"/>
    </row>
    <row r="547" spans="4:4" ht="13">
      <c r="D547" s="163"/>
    </row>
    <row r="548" spans="4:4" ht="13">
      <c r="D548" s="163"/>
    </row>
    <row r="549" spans="4:4" ht="13">
      <c r="D549" s="163"/>
    </row>
    <row r="550" spans="4:4" ht="13">
      <c r="D550" s="163"/>
    </row>
    <row r="551" spans="4:4" ht="13">
      <c r="D551" s="163"/>
    </row>
    <row r="552" spans="4:4" ht="13">
      <c r="D552" s="163"/>
    </row>
    <row r="553" spans="4:4" ht="13">
      <c r="D553" s="163"/>
    </row>
    <row r="554" spans="4:4" ht="13">
      <c r="D554" s="163"/>
    </row>
    <row r="555" spans="4:4" ht="13">
      <c r="D555" s="163"/>
    </row>
    <row r="556" spans="4:4" ht="13">
      <c r="D556" s="163"/>
    </row>
    <row r="557" spans="4:4" ht="13">
      <c r="D557" s="163"/>
    </row>
    <row r="558" spans="4:4" ht="13">
      <c r="D558" s="163"/>
    </row>
    <row r="559" spans="4:4" ht="13">
      <c r="D559" s="163"/>
    </row>
    <row r="560" spans="4:4" ht="13">
      <c r="D560" s="163"/>
    </row>
    <row r="561" spans="4:4" ht="13">
      <c r="D561" s="163"/>
    </row>
    <row r="562" spans="4:4" ht="13">
      <c r="D562" s="163"/>
    </row>
    <row r="563" spans="4:4" ht="13">
      <c r="D563" s="163"/>
    </row>
    <row r="564" spans="4:4" ht="13">
      <c r="D564" s="163"/>
    </row>
    <row r="565" spans="4:4" ht="13">
      <c r="D565" s="163"/>
    </row>
    <row r="566" spans="4:4" ht="13">
      <c r="D566" s="163"/>
    </row>
    <row r="567" spans="4:4" ht="13">
      <c r="D567" s="163"/>
    </row>
    <row r="568" spans="4:4" ht="13">
      <c r="D568" s="163"/>
    </row>
    <row r="569" spans="4:4" ht="13">
      <c r="D569" s="163"/>
    </row>
    <row r="570" spans="4:4" ht="13">
      <c r="D570" s="163"/>
    </row>
    <row r="571" spans="4:4" ht="13">
      <c r="D571" s="163"/>
    </row>
    <row r="572" spans="4:4" ht="13">
      <c r="D572" s="163"/>
    </row>
    <row r="573" spans="4:4" ht="13">
      <c r="D573" s="163"/>
    </row>
    <row r="574" spans="4:4" ht="13">
      <c r="D574" s="163"/>
    </row>
    <row r="575" spans="4:4" ht="13">
      <c r="D575" s="163"/>
    </row>
    <row r="576" spans="4:4" ht="13">
      <c r="D576" s="163"/>
    </row>
    <row r="577" spans="4:4" ht="13">
      <c r="D577" s="163"/>
    </row>
    <row r="578" spans="4:4" ht="13">
      <c r="D578" s="163"/>
    </row>
    <row r="579" spans="4:4" ht="13">
      <c r="D579" s="163"/>
    </row>
    <row r="580" spans="4:4" ht="13">
      <c r="D580" s="163"/>
    </row>
    <row r="581" spans="4:4" ht="13">
      <c r="D581" s="163"/>
    </row>
    <row r="582" spans="4:4" ht="13">
      <c r="D582" s="163"/>
    </row>
    <row r="583" spans="4:4" ht="13">
      <c r="D583" s="163"/>
    </row>
    <row r="584" spans="4:4" ht="13">
      <c r="D584" s="163"/>
    </row>
    <row r="585" spans="4:4" ht="13">
      <c r="D585" s="163"/>
    </row>
    <row r="586" spans="4:4" ht="13">
      <c r="D586" s="163"/>
    </row>
    <row r="587" spans="4:4" ht="13">
      <c r="D587" s="163"/>
    </row>
    <row r="588" spans="4:4" ht="13">
      <c r="D588" s="163"/>
    </row>
    <row r="589" spans="4:4" ht="13">
      <c r="D589" s="163"/>
    </row>
    <row r="590" spans="4:4" ht="13">
      <c r="D590" s="163"/>
    </row>
    <row r="591" spans="4:4" ht="13">
      <c r="D591" s="163"/>
    </row>
    <row r="592" spans="4:4" ht="13">
      <c r="D592" s="163"/>
    </row>
    <row r="593" spans="4:4" ht="13">
      <c r="D593" s="163"/>
    </row>
    <row r="594" spans="4:4" ht="13">
      <c r="D594" s="163"/>
    </row>
    <row r="595" spans="4:4" ht="13">
      <c r="D595" s="163"/>
    </row>
    <row r="596" spans="4:4" ht="13">
      <c r="D596" s="163"/>
    </row>
    <row r="597" spans="4:4" ht="13">
      <c r="D597" s="163"/>
    </row>
    <row r="598" spans="4:4" ht="13">
      <c r="D598" s="163"/>
    </row>
    <row r="599" spans="4:4" ht="13">
      <c r="D599" s="163"/>
    </row>
    <row r="600" spans="4:4" ht="13">
      <c r="D600" s="163"/>
    </row>
    <row r="601" spans="4:4" ht="13">
      <c r="D601" s="163"/>
    </row>
    <row r="602" spans="4:4" ht="13">
      <c r="D602" s="163"/>
    </row>
    <row r="603" spans="4:4" ht="13">
      <c r="D603" s="163"/>
    </row>
    <row r="604" spans="4:4" ht="13">
      <c r="D604" s="163"/>
    </row>
    <row r="605" spans="4:4" ht="13">
      <c r="D605" s="163"/>
    </row>
    <row r="606" spans="4:4" ht="13">
      <c r="D606" s="163"/>
    </row>
    <row r="607" spans="4:4" ht="13">
      <c r="D607" s="163"/>
    </row>
    <row r="608" spans="4:4" ht="13">
      <c r="D608" s="163"/>
    </row>
    <row r="609" spans="4:4" ht="13">
      <c r="D609" s="163"/>
    </row>
    <row r="610" spans="4:4" ht="13">
      <c r="D610" s="163"/>
    </row>
    <row r="611" spans="4:4" ht="13">
      <c r="D611" s="163"/>
    </row>
    <row r="612" spans="4:4" ht="13">
      <c r="D612" s="163"/>
    </row>
    <row r="613" spans="4:4" ht="13">
      <c r="D613" s="163"/>
    </row>
    <row r="614" spans="4:4" ht="13">
      <c r="D614" s="163"/>
    </row>
    <row r="615" spans="4:4" ht="13">
      <c r="D615" s="163"/>
    </row>
    <row r="616" spans="4:4" ht="13">
      <c r="D616" s="163"/>
    </row>
    <row r="617" spans="4:4" ht="13">
      <c r="D617" s="163"/>
    </row>
    <row r="618" spans="4:4" ht="13">
      <c r="D618" s="163"/>
    </row>
    <row r="619" spans="4:4" ht="13">
      <c r="D619" s="163"/>
    </row>
    <row r="620" spans="4:4" ht="13">
      <c r="D620" s="163"/>
    </row>
    <row r="621" spans="4:4" ht="13">
      <c r="D621" s="163"/>
    </row>
    <row r="622" spans="4:4" ht="13">
      <c r="D622" s="163"/>
    </row>
    <row r="623" spans="4:4" ht="13">
      <c r="D623" s="163"/>
    </row>
    <row r="624" spans="4:4" ht="13">
      <c r="D624" s="163"/>
    </row>
    <row r="625" spans="4:4" ht="13">
      <c r="D625" s="163"/>
    </row>
    <row r="626" spans="4:4" ht="13">
      <c r="D626" s="163"/>
    </row>
    <row r="627" spans="4:4" ht="13">
      <c r="D627" s="163"/>
    </row>
    <row r="628" spans="4:4" ht="13">
      <c r="D628" s="163"/>
    </row>
    <row r="629" spans="4:4" ht="13">
      <c r="D629" s="163"/>
    </row>
    <row r="630" spans="4:4" ht="13">
      <c r="D630" s="163"/>
    </row>
    <row r="631" spans="4:4" ht="13">
      <c r="D631" s="163"/>
    </row>
    <row r="632" spans="4:4" ht="13">
      <c r="D632" s="163"/>
    </row>
    <row r="633" spans="4:4" ht="13">
      <c r="D633" s="163"/>
    </row>
    <row r="634" spans="4:4" ht="13">
      <c r="D634" s="163"/>
    </row>
    <row r="635" spans="4:4" ht="13">
      <c r="D635" s="163"/>
    </row>
    <row r="636" spans="4:4" ht="13">
      <c r="D636" s="163"/>
    </row>
    <row r="637" spans="4:4" ht="13">
      <c r="D637" s="163"/>
    </row>
    <row r="638" spans="4:4" ht="13">
      <c r="D638" s="163"/>
    </row>
    <row r="639" spans="4:4" ht="13">
      <c r="D639" s="163"/>
    </row>
    <row r="640" spans="4:4" ht="13">
      <c r="D640" s="163"/>
    </row>
    <row r="641" spans="4:4" ht="13">
      <c r="D641" s="163"/>
    </row>
    <row r="642" spans="4:4" ht="13">
      <c r="D642" s="163"/>
    </row>
    <row r="643" spans="4:4" ht="13">
      <c r="D643" s="163"/>
    </row>
    <row r="644" spans="4:4" ht="13">
      <c r="D644" s="163"/>
    </row>
    <row r="645" spans="4:4" ht="13">
      <c r="D645" s="163"/>
    </row>
    <row r="646" spans="4:4" ht="13">
      <c r="D646" s="163"/>
    </row>
    <row r="647" spans="4:4" ht="13">
      <c r="D647" s="163"/>
    </row>
    <row r="648" spans="4:4" ht="13">
      <c r="D648" s="163"/>
    </row>
    <row r="649" spans="4:4" ht="13">
      <c r="D649" s="163"/>
    </row>
    <row r="650" spans="4:4" ht="13">
      <c r="D650" s="163"/>
    </row>
    <row r="651" spans="4:4" ht="13">
      <c r="D651" s="163"/>
    </row>
    <row r="652" spans="4:4" ht="13">
      <c r="D652" s="163"/>
    </row>
    <row r="653" spans="4:4" ht="13">
      <c r="D653" s="163"/>
    </row>
    <row r="654" spans="4:4" ht="13">
      <c r="D654" s="163"/>
    </row>
    <row r="655" spans="4:4" ht="13">
      <c r="D655" s="163"/>
    </row>
    <row r="656" spans="4:4" ht="13">
      <c r="D656" s="163"/>
    </row>
    <row r="657" spans="4:4" ht="13">
      <c r="D657" s="163"/>
    </row>
    <row r="658" spans="4:4" ht="13">
      <c r="D658" s="163"/>
    </row>
    <row r="659" spans="4:4" ht="13">
      <c r="D659" s="163"/>
    </row>
    <row r="660" spans="4:4" ht="13">
      <c r="D660" s="163"/>
    </row>
    <row r="661" spans="4:4" ht="13">
      <c r="D661" s="163"/>
    </row>
    <row r="662" spans="4:4" ht="13">
      <c r="D662" s="163"/>
    </row>
    <row r="663" spans="4:4" ht="13">
      <c r="D663" s="163"/>
    </row>
    <row r="664" spans="4:4" ht="13">
      <c r="D664" s="163"/>
    </row>
    <row r="665" spans="4:4" ht="13">
      <c r="D665" s="163"/>
    </row>
    <row r="666" spans="4:4" ht="13">
      <c r="D666" s="163"/>
    </row>
    <row r="667" spans="4:4" ht="13">
      <c r="D667" s="163"/>
    </row>
    <row r="668" spans="4:4" ht="13">
      <c r="D668" s="163"/>
    </row>
    <row r="669" spans="4:4" ht="13">
      <c r="D669" s="163"/>
    </row>
    <row r="670" spans="4:4" ht="13">
      <c r="D670" s="163"/>
    </row>
    <row r="671" spans="4:4" ht="13">
      <c r="D671" s="163"/>
    </row>
    <row r="672" spans="4:4" ht="13">
      <c r="D672" s="163"/>
    </row>
    <row r="673" spans="4:4" ht="13">
      <c r="D673" s="163"/>
    </row>
    <row r="674" spans="4:4" ht="13">
      <c r="D674" s="163"/>
    </row>
    <row r="675" spans="4:4" ht="13">
      <c r="D675" s="163"/>
    </row>
    <row r="676" spans="4:4" ht="13">
      <c r="D676" s="163"/>
    </row>
    <row r="677" spans="4:4" ht="13">
      <c r="D677" s="163"/>
    </row>
    <row r="678" spans="4:4" ht="13">
      <c r="D678" s="163"/>
    </row>
    <row r="679" spans="4:4" ht="13">
      <c r="D679" s="163"/>
    </row>
    <row r="680" spans="4:4" ht="13">
      <c r="D680" s="163"/>
    </row>
    <row r="681" spans="4:4" ht="13">
      <c r="D681" s="163"/>
    </row>
    <row r="682" spans="4:4" ht="13">
      <c r="D682" s="163"/>
    </row>
    <row r="683" spans="4:4" ht="13">
      <c r="D683" s="163"/>
    </row>
    <row r="684" spans="4:4" ht="13">
      <c r="D684" s="163"/>
    </row>
    <row r="685" spans="4:4" ht="13">
      <c r="D685" s="163"/>
    </row>
    <row r="686" spans="4:4" ht="13">
      <c r="D686" s="163"/>
    </row>
    <row r="687" spans="4:4" ht="13">
      <c r="D687" s="163"/>
    </row>
    <row r="688" spans="4:4" ht="13">
      <c r="D688" s="163"/>
    </row>
    <row r="689" spans="4:4" ht="13">
      <c r="D689" s="163"/>
    </row>
    <row r="690" spans="4:4" ht="13">
      <c r="D690" s="163"/>
    </row>
    <row r="691" spans="4:4" ht="13">
      <c r="D691" s="163"/>
    </row>
    <row r="692" spans="4:4" ht="13">
      <c r="D692" s="163"/>
    </row>
    <row r="693" spans="4:4" ht="13">
      <c r="D693" s="163"/>
    </row>
    <row r="694" spans="4:4" ht="13">
      <c r="D694" s="163"/>
    </row>
    <row r="695" spans="4:4" ht="13">
      <c r="D695" s="163"/>
    </row>
    <row r="696" spans="4:4" ht="13">
      <c r="D696" s="163"/>
    </row>
    <row r="697" spans="4:4" ht="13">
      <c r="D697" s="163"/>
    </row>
    <row r="698" spans="4:4" ht="13">
      <c r="D698" s="163"/>
    </row>
    <row r="699" spans="4:4" ht="13">
      <c r="D699" s="163"/>
    </row>
    <row r="700" spans="4:4" ht="13">
      <c r="D700" s="163"/>
    </row>
    <row r="701" spans="4:4" ht="13">
      <c r="D701" s="163"/>
    </row>
    <row r="702" spans="4:4" ht="13">
      <c r="D702" s="163"/>
    </row>
    <row r="703" spans="4:4" ht="13">
      <c r="D703" s="163"/>
    </row>
    <row r="704" spans="4:4" ht="13">
      <c r="D704" s="163"/>
    </row>
    <row r="705" spans="4:4" ht="13">
      <c r="D705" s="163"/>
    </row>
    <row r="706" spans="4:4" ht="13">
      <c r="D706" s="163"/>
    </row>
    <row r="707" spans="4:4" ht="13">
      <c r="D707" s="163"/>
    </row>
    <row r="708" spans="4:4" ht="13">
      <c r="D708" s="163"/>
    </row>
    <row r="709" spans="4:4" ht="13">
      <c r="D709" s="163"/>
    </row>
    <row r="710" spans="4:4" ht="13">
      <c r="D710" s="163"/>
    </row>
    <row r="711" spans="4:4" ht="13">
      <c r="D711" s="163"/>
    </row>
    <row r="712" spans="4:4" ht="13">
      <c r="D712" s="163"/>
    </row>
    <row r="713" spans="4:4" ht="13">
      <c r="D713" s="163"/>
    </row>
    <row r="714" spans="4:4" ht="13">
      <c r="D714" s="163"/>
    </row>
    <row r="715" spans="4:4" ht="13">
      <c r="D715" s="163"/>
    </row>
    <row r="716" spans="4:4" ht="13">
      <c r="D716" s="163"/>
    </row>
    <row r="717" spans="4:4" ht="13">
      <c r="D717" s="163"/>
    </row>
    <row r="718" spans="4:4" ht="13">
      <c r="D718" s="163"/>
    </row>
    <row r="719" spans="4:4" ht="13">
      <c r="D719" s="163"/>
    </row>
    <row r="720" spans="4:4" ht="13">
      <c r="D720" s="163"/>
    </row>
    <row r="721" spans="4:4" ht="13">
      <c r="D721" s="163"/>
    </row>
    <row r="722" spans="4:4" ht="13">
      <c r="D722" s="163"/>
    </row>
    <row r="723" spans="4:4" ht="13">
      <c r="D723" s="163"/>
    </row>
    <row r="724" spans="4:4" ht="13">
      <c r="D724" s="163"/>
    </row>
    <row r="725" spans="4:4" ht="13">
      <c r="D725" s="163"/>
    </row>
    <row r="726" spans="4:4" ht="13">
      <c r="D726" s="163"/>
    </row>
    <row r="727" spans="4:4" ht="13">
      <c r="D727" s="163"/>
    </row>
    <row r="728" spans="4:4" ht="13">
      <c r="D728" s="163"/>
    </row>
    <row r="729" spans="4:4" ht="13">
      <c r="D729" s="163"/>
    </row>
    <row r="730" spans="4:4" ht="13">
      <c r="D730" s="163"/>
    </row>
    <row r="731" spans="4:4" ht="13">
      <c r="D731" s="163"/>
    </row>
    <row r="732" spans="4:4" ht="13">
      <c r="D732" s="163"/>
    </row>
    <row r="733" spans="4:4" ht="13">
      <c r="D733" s="163"/>
    </row>
    <row r="734" spans="4:4" ht="13">
      <c r="D734" s="163"/>
    </row>
    <row r="735" spans="4:4" ht="13">
      <c r="D735" s="163"/>
    </row>
    <row r="736" spans="4:4" ht="13">
      <c r="D736" s="163"/>
    </row>
    <row r="737" spans="4:4" ht="13">
      <c r="D737" s="163"/>
    </row>
    <row r="738" spans="4:4" ht="13">
      <c r="D738" s="163"/>
    </row>
    <row r="739" spans="4:4" ht="13">
      <c r="D739" s="163"/>
    </row>
    <row r="740" spans="4:4" ht="13">
      <c r="D740" s="163"/>
    </row>
    <row r="741" spans="4:4" ht="13">
      <c r="D741" s="163"/>
    </row>
    <row r="742" spans="4:4" ht="13">
      <c r="D742" s="163"/>
    </row>
    <row r="743" spans="4:4" ht="13">
      <c r="D743" s="163"/>
    </row>
    <row r="744" spans="4:4" ht="13">
      <c r="D744" s="163"/>
    </row>
    <row r="745" spans="4:4" ht="13">
      <c r="D745" s="163"/>
    </row>
    <row r="746" spans="4:4" ht="13">
      <c r="D746" s="163"/>
    </row>
    <row r="747" spans="4:4" ht="13">
      <c r="D747" s="163"/>
    </row>
    <row r="748" spans="4:4" ht="13">
      <c r="D748" s="163"/>
    </row>
    <row r="749" spans="4:4" ht="13">
      <c r="D749" s="163"/>
    </row>
    <row r="750" spans="4:4" ht="13">
      <c r="D750" s="163"/>
    </row>
    <row r="751" spans="4:4" ht="13">
      <c r="D751" s="163"/>
    </row>
    <row r="752" spans="4:4" ht="13">
      <c r="D752" s="163"/>
    </row>
    <row r="753" spans="4:4" ht="13">
      <c r="D753" s="163"/>
    </row>
    <row r="754" spans="4:4" ht="13">
      <c r="D754" s="163"/>
    </row>
    <row r="755" spans="4:4" ht="13">
      <c r="D755" s="163"/>
    </row>
    <row r="756" spans="4:4" ht="13">
      <c r="D756" s="163"/>
    </row>
    <row r="757" spans="4:4" ht="13">
      <c r="D757" s="163"/>
    </row>
    <row r="758" spans="4:4" ht="13">
      <c r="D758" s="163"/>
    </row>
    <row r="759" spans="4:4" ht="13">
      <c r="D759" s="163"/>
    </row>
    <row r="760" spans="4:4" ht="13">
      <c r="D760" s="163"/>
    </row>
    <row r="761" spans="4:4" ht="13">
      <c r="D761" s="163"/>
    </row>
    <row r="762" spans="4:4" ht="13">
      <c r="D762" s="163"/>
    </row>
    <row r="763" spans="4:4" ht="13">
      <c r="D763" s="163"/>
    </row>
    <row r="764" spans="4:4" ht="13">
      <c r="D764" s="163"/>
    </row>
    <row r="765" spans="4:4" ht="13">
      <c r="D765" s="163"/>
    </row>
    <row r="766" spans="4:4" ht="13">
      <c r="D766" s="163"/>
    </row>
    <row r="767" spans="4:4" ht="13">
      <c r="D767" s="163"/>
    </row>
    <row r="768" spans="4:4" ht="13">
      <c r="D768" s="163"/>
    </row>
    <row r="769" spans="4:4" ht="13">
      <c r="D769" s="163"/>
    </row>
    <row r="770" spans="4:4" ht="13">
      <c r="D770" s="163"/>
    </row>
    <row r="771" spans="4:4" ht="13">
      <c r="D771" s="163"/>
    </row>
    <row r="772" spans="4:4" ht="13">
      <c r="D772" s="163"/>
    </row>
    <row r="773" spans="4:4" ht="13">
      <c r="D773" s="163"/>
    </row>
    <row r="774" spans="4:4" ht="13">
      <c r="D774" s="163"/>
    </row>
    <row r="775" spans="4:4" ht="13">
      <c r="D775" s="163"/>
    </row>
    <row r="776" spans="4:4" ht="13">
      <c r="D776" s="163"/>
    </row>
    <row r="777" spans="4:4" ht="13">
      <c r="D777" s="163"/>
    </row>
    <row r="778" spans="4:4" ht="13">
      <c r="D778" s="163"/>
    </row>
    <row r="779" spans="4:4" ht="13">
      <c r="D779" s="163"/>
    </row>
    <row r="780" spans="4:4" ht="13">
      <c r="D780" s="163"/>
    </row>
    <row r="781" spans="4:4" ht="13">
      <c r="D781" s="163"/>
    </row>
    <row r="782" spans="4:4" ht="13">
      <c r="D782" s="163"/>
    </row>
    <row r="783" spans="4:4" ht="13">
      <c r="D783" s="163"/>
    </row>
    <row r="784" spans="4:4" ht="13">
      <c r="D784" s="163"/>
    </row>
    <row r="785" spans="4:4" ht="13">
      <c r="D785" s="163"/>
    </row>
    <row r="786" spans="4:4" ht="13">
      <c r="D786" s="163"/>
    </row>
    <row r="787" spans="4:4" ht="13">
      <c r="D787" s="163"/>
    </row>
    <row r="788" spans="4:4" ht="13">
      <c r="D788" s="163"/>
    </row>
    <row r="789" spans="4:4" ht="13">
      <c r="D789" s="163"/>
    </row>
    <row r="790" spans="4:4" ht="13">
      <c r="D790" s="163"/>
    </row>
    <row r="791" spans="4:4" ht="13">
      <c r="D791" s="163"/>
    </row>
    <row r="792" spans="4:4" ht="13">
      <c r="D792" s="163"/>
    </row>
    <row r="793" spans="4:4" ht="13">
      <c r="D793" s="163"/>
    </row>
    <row r="794" spans="4:4" ht="13">
      <c r="D794" s="163"/>
    </row>
    <row r="795" spans="4:4" ht="13">
      <c r="D795" s="163"/>
    </row>
    <row r="796" spans="4:4" ht="13">
      <c r="D796" s="163"/>
    </row>
    <row r="797" spans="4:4" ht="13">
      <c r="D797" s="163"/>
    </row>
    <row r="798" spans="4:4" ht="13">
      <c r="D798" s="163"/>
    </row>
    <row r="799" spans="4:4" ht="13">
      <c r="D799" s="163"/>
    </row>
    <row r="800" spans="4:4" ht="13">
      <c r="D800" s="163"/>
    </row>
    <row r="801" spans="4:4" ht="13">
      <c r="D801" s="163"/>
    </row>
    <row r="802" spans="4:4" ht="13">
      <c r="D802" s="163"/>
    </row>
    <row r="803" spans="4:4" ht="13">
      <c r="D803" s="163"/>
    </row>
    <row r="804" spans="4:4" ht="13">
      <c r="D804" s="163"/>
    </row>
    <row r="805" spans="4:4" ht="13">
      <c r="D805" s="163"/>
    </row>
    <row r="806" spans="4:4" ht="13">
      <c r="D806" s="163"/>
    </row>
    <row r="807" spans="4:4" ht="13">
      <c r="D807" s="163"/>
    </row>
    <row r="808" spans="4:4" ht="13">
      <c r="D808" s="163"/>
    </row>
    <row r="809" spans="4:4" ht="13">
      <c r="D809" s="163"/>
    </row>
    <row r="810" spans="4:4" ht="13">
      <c r="D810" s="163"/>
    </row>
    <row r="811" spans="4:4" ht="13">
      <c r="D811" s="163"/>
    </row>
    <row r="812" spans="4:4" ht="13">
      <c r="D812" s="163"/>
    </row>
    <row r="813" spans="4:4" ht="13">
      <c r="D813" s="163"/>
    </row>
    <row r="814" spans="4:4" ht="13">
      <c r="D814" s="163"/>
    </row>
    <row r="815" spans="4:4" ht="13">
      <c r="D815" s="163"/>
    </row>
    <row r="816" spans="4:4" ht="13">
      <c r="D816" s="163"/>
    </row>
    <row r="817" spans="4:4" ht="13">
      <c r="D817" s="163"/>
    </row>
    <row r="818" spans="4:4" ht="13">
      <c r="D818" s="163"/>
    </row>
    <row r="819" spans="4:4" ht="13">
      <c r="D819" s="163"/>
    </row>
    <row r="820" spans="4:4" ht="13">
      <c r="D820" s="163"/>
    </row>
    <row r="821" spans="4:4" ht="13">
      <c r="D821" s="163"/>
    </row>
    <row r="822" spans="4:4" ht="13">
      <c r="D822" s="163"/>
    </row>
    <row r="823" spans="4:4" ht="13">
      <c r="D823" s="163"/>
    </row>
    <row r="824" spans="4:4" ht="13">
      <c r="D824" s="163"/>
    </row>
    <row r="825" spans="4:4" ht="13">
      <c r="D825" s="163"/>
    </row>
    <row r="826" spans="4:4" ht="13">
      <c r="D826" s="163"/>
    </row>
    <row r="827" spans="4:4" ht="13">
      <c r="D827" s="163"/>
    </row>
    <row r="828" spans="4:4" ht="13">
      <c r="D828" s="163"/>
    </row>
    <row r="829" spans="4:4" ht="13">
      <c r="D829" s="163"/>
    </row>
    <row r="830" spans="4:4" ht="13">
      <c r="D830" s="163"/>
    </row>
    <row r="831" spans="4:4" ht="13">
      <c r="D831" s="163"/>
    </row>
    <row r="832" spans="4:4" ht="13">
      <c r="D832" s="163"/>
    </row>
    <row r="833" spans="4:4" ht="13">
      <c r="D833" s="163"/>
    </row>
    <row r="834" spans="4:4" ht="13">
      <c r="D834" s="163"/>
    </row>
    <row r="835" spans="4:4" ht="13">
      <c r="D835" s="163"/>
    </row>
    <row r="836" spans="4:4" ht="13">
      <c r="D836" s="163"/>
    </row>
    <row r="837" spans="4:4" ht="13">
      <c r="D837" s="163"/>
    </row>
    <row r="838" spans="4:4" ht="13">
      <c r="D838" s="163"/>
    </row>
    <row r="839" spans="4:4" ht="13">
      <c r="D839" s="163"/>
    </row>
    <row r="840" spans="4:4" ht="13">
      <c r="D840" s="163"/>
    </row>
    <row r="841" spans="4:4" ht="13">
      <c r="D841" s="163"/>
    </row>
    <row r="842" spans="4:4" ht="13">
      <c r="D842" s="163"/>
    </row>
    <row r="843" spans="4:4" ht="13">
      <c r="D843" s="163"/>
    </row>
    <row r="844" spans="4:4" ht="13">
      <c r="D844" s="163"/>
    </row>
    <row r="845" spans="4:4" ht="13">
      <c r="D845" s="163"/>
    </row>
    <row r="846" spans="4:4" ht="13">
      <c r="D846" s="163"/>
    </row>
    <row r="847" spans="4:4" ht="13">
      <c r="D847" s="163"/>
    </row>
    <row r="848" spans="4:4" ht="13">
      <c r="D848" s="163"/>
    </row>
    <row r="849" spans="4:4" ht="13">
      <c r="D849" s="163"/>
    </row>
    <row r="850" spans="4:4" ht="13">
      <c r="D850" s="163"/>
    </row>
    <row r="851" spans="4:4" ht="13">
      <c r="D851" s="163"/>
    </row>
    <row r="852" spans="4:4" ht="13">
      <c r="D852" s="163"/>
    </row>
    <row r="853" spans="4:4" ht="13">
      <c r="D853" s="163"/>
    </row>
    <row r="854" spans="4:4" ht="13">
      <c r="D854" s="163"/>
    </row>
    <row r="855" spans="4:4" ht="13">
      <c r="D855" s="163"/>
    </row>
    <row r="856" spans="4:4" ht="13">
      <c r="D856" s="163"/>
    </row>
    <row r="857" spans="4:4" ht="13">
      <c r="D857" s="163"/>
    </row>
    <row r="858" spans="4:4" ht="13">
      <c r="D858" s="163"/>
    </row>
    <row r="859" spans="4:4" ht="13">
      <c r="D859" s="163"/>
    </row>
    <row r="860" spans="4:4" ht="13">
      <c r="D860" s="163"/>
    </row>
    <row r="861" spans="4:4" ht="13">
      <c r="D861" s="163"/>
    </row>
    <row r="862" spans="4:4" ht="13">
      <c r="D862" s="163"/>
    </row>
    <row r="863" spans="4:4" ht="13">
      <c r="D863" s="163"/>
    </row>
    <row r="864" spans="4:4" ht="13">
      <c r="D864" s="163"/>
    </row>
    <row r="865" spans="4:4" ht="13">
      <c r="D865" s="163"/>
    </row>
    <row r="866" spans="4:4" ht="13">
      <c r="D866" s="163"/>
    </row>
    <row r="867" spans="4:4" ht="13">
      <c r="D867" s="163"/>
    </row>
    <row r="868" spans="4:4" ht="13">
      <c r="D868" s="163"/>
    </row>
    <row r="869" spans="4:4" ht="13">
      <c r="D869" s="163"/>
    </row>
    <row r="870" spans="4:4" ht="13">
      <c r="D870" s="163"/>
    </row>
    <row r="871" spans="4:4" ht="13">
      <c r="D871" s="163"/>
    </row>
    <row r="872" spans="4:4" ht="13">
      <c r="D872" s="163"/>
    </row>
    <row r="873" spans="4:4" ht="13">
      <c r="D873" s="163"/>
    </row>
    <row r="874" spans="4:4" ht="13">
      <c r="D874" s="163"/>
    </row>
    <row r="875" spans="4:4" ht="13">
      <c r="D875" s="163"/>
    </row>
    <row r="876" spans="4:4" ht="13">
      <c r="D876" s="163"/>
    </row>
    <row r="877" spans="4:4" ht="13">
      <c r="D877" s="163"/>
    </row>
    <row r="878" spans="4:4" ht="13">
      <c r="D878" s="163"/>
    </row>
    <row r="879" spans="4:4" ht="13">
      <c r="D879" s="163"/>
    </row>
    <row r="880" spans="4:4" ht="13">
      <c r="D880" s="163"/>
    </row>
    <row r="881" spans="4:4" ht="13">
      <c r="D881" s="163"/>
    </row>
    <row r="882" spans="4:4" ht="13">
      <c r="D882" s="163"/>
    </row>
    <row r="883" spans="4:4" ht="13">
      <c r="D883" s="163"/>
    </row>
    <row r="884" spans="4:4" ht="13">
      <c r="D884" s="163"/>
    </row>
    <row r="885" spans="4:4" ht="13">
      <c r="D885" s="163"/>
    </row>
    <row r="886" spans="4:4" ht="13">
      <c r="D886" s="163"/>
    </row>
    <row r="887" spans="4:4" ht="13">
      <c r="D887" s="163"/>
    </row>
    <row r="888" spans="4:4" ht="13">
      <c r="D888" s="163"/>
    </row>
    <row r="889" spans="4:4" ht="13">
      <c r="D889" s="163"/>
    </row>
    <row r="890" spans="4:4" ht="13">
      <c r="D890" s="163"/>
    </row>
    <row r="891" spans="4:4" ht="13">
      <c r="D891" s="163"/>
    </row>
    <row r="892" spans="4:4" ht="13">
      <c r="D892" s="163"/>
    </row>
    <row r="893" spans="4:4" ht="13">
      <c r="D893" s="163"/>
    </row>
    <row r="894" spans="4:4" ht="13">
      <c r="D894" s="163"/>
    </row>
    <row r="895" spans="4:4" ht="13">
      <c r="D895" s="163"/>
    </row>
    <row r="896" spans="4:4" ht="13">
      <c r="D896" s="163"/>
    </row>
    <row r="897" spans="4:4" ht="13">
      <c r="D897" s="163"/>
    </row>
    <row r="898" spans="4:4" ht="13">
      <c r="D898" s="163"/>
    </row>
    <row r="899" spans="4:4" ht="13">
      <c r="D899" s="163"/>
    </row>
    <row r="900" spans="4:4" ht="13">
      <c r="D900" s="163"/>
    </row>
    <row r="901" spans="4:4" ht="13">
      <c r="D901" s="163"/>
    </row>
    <row r="902" spans="4:4" ht="13">
      <c r="D902" s="163"/>
    </row>
    <row r="903" spans="4:4" ht="13">
      <c r="D903" s="163"/>
    </row>
    <row r="904" spans="4:4" ht="13">
      <c r="D904" s="163"/>
    </row>
    <row r="905" spans="4:4" ht="13">
      <c r="D905" s="163"/>
    </row>
    <row r="906" spans="4:4" ht="13">
      <c r="D906" s="163"/>
    </row>
    <row r="907" spans="4:4" ht="13">
      <c r="D907" s="163"/>
    </row>
    <row r="908" spans="4:4" ht="13">
      <c r="D908" s="163"/>
    </row>
    <row r="909" spans="4:4" ht="13">
      <c r="D909" s="163"/>
    </row>
    <row r="910" spans="4:4" ht="13">
      <c r="D910" s="163"/>
    </row>
    <row r="911" spans="4:4" ht="13">
      <c r="D911" s="163"/>
    </row>
    <row r="912" spans="4:4" ht="13">
      <c r="D912" s="163"/>
    </row>
    <row r="913" spans="4:4" ht="13">
      <c r="D913" s="163"/>
    </row>
    <row r="914" spans="4:4" ht="13">
      <c r="D914" s="163"/>
    </row>
    <row r="915" spans="4:4" ht="13">
      <c r="D915" s="163"/>
    </row>
    <row r="916" spans="4:4" ht="13">
      <c r="D916" s="163"/>
    </row>
    <row r="917" spans="4:4" ht="13">
      <c r="D917" s="163"/>
    </row>
    <row r="918" spans="4:4" ht="13">
      <c r="D918" s="163"/>
    </row>
    <row r="919" spans="4:4" ht="13">
      <c r="D919" s="163"/>
    </row>
    <row r="920" spans="4:4" ht="13">
      <c r="D920" s="163"/>
    </row>
    <row r="921" spans="4:4" ht="13">
      <c r="D921" s="163"/>
    </row>
    <row r="922" spans="4:4" ht="13">
      <c r="D922" s="163"/>
    </row>
    <row r="923" spans="4:4" ht="13">
      <c r="D923" s="163"/>
    </row>
    <row r="924" spans="4:4" ht="13">
      <c r="D924" s="163"/>
    </row>
    <row r="925" spans="4:4" ht="13">
      <c r="D925" s="163"/>
    </row>
    <row r="926" spans="4:4" ht="13">
      <c r="D926" s="163"/>
    </row>
    <row r="927" spans="4:4" ht="13">
      <c r="D927" s="163"/>
    </row>
    <row r="928" spans="4:4" ht="13">
      <c r="D928" s="163"/>
    </row>
    <row r="929" spans="4:4" ht="13">
      <c r="D929" s="163"/>
    </row>
    <row r="930" spans="4:4" ht="13">
      <c r="D930" s="163"/>
    </row>
    <row r="931" spans="4:4" ht="13">
      <c r="D931" s="163"/>
    </row>
    <row r="932" spans="4:4" ht="13">
      <c r="D932" s="163"/>
    </row>
    <row r="933" spans="4:4" ht="13">
      <c r="D933" s="163"/>
    </row>
    <row r="934" spans="4:4" ht="13">
      <c r="D934" s="163"/>
    </row>
    <row r="935" spans="4:4" ht="13">
      <c r="D935" s="163"/>
    </row>
    <row r="936" spans="4:4" ht="13">
      <c r="D936" s="163"/>
    </row>
    <row r="937" spans="4:4" ht="13">
      <c r="D937" s="163"/>
    </row>
    <row r="938" spans="4:4" ht="13">
      <c r="D938" s="163"/>
    </row>
    <row r="939" spans="4:4" ht="13">
      <c r="D939" s="163"/>
    </row>
    <row r="940" spans="4:4" ht="13">
      <c r="D940" s="163"/>
    </row>
    <row r="941" spans="4:4" ht="13">
      <c r="D941" s="163"/>
    </row>
    <row r="942" spans="4:4" ht="13">
      <c r="D942" s="163"/>
    </row>
    <row r="943" spans="4:4" ht="13">
      <c r="D943" s="163"/>
    </row>
    <row r="944" spans="4:4" ht="13">
      <c r="D944" s="163"/>
    </row>
    <row r="945" spans="4:4" ht="13">
      <c r="D945" s="163"/>
    </row>
    <row r="946" spans="4:4" ht="13">
      <c r="D946" s="163"/>
    </row>
    <row r="947" spans="4:4" ht="13">
      <c r="D947" s="163"/>
    </row>
    <row r="948" spans="4:4" ht="13">
      <c r="D948" s="163"/>
    </row>
    <row r="949" spans="4:4" ht="13">
      <c r="D949" s="163"/>
    </row>
    <row r="950" spans="4:4" ht="13">
      <c r="D950" s="163"/>
    </row>
    <row r="951" spans="4:4" ht="13">
      <c r="D951" s="163"/>
    </row>
    <row r="952" spans="4:4" ht="13">
      <c r="D952" s="163"/>
    </row>
    <row r="953" spans="4:4" ht="13">
      <c r="D953" s="163"/>
    </row>
    <row r="954" spans="4:4" ht="13">
      <c r="D954" s="163"/>
    </row>
    <row r="955" spans="4:4" ht="13">
      <c r="D955" s="163"/>
    </row>
    <row r="956" spans="4:4" ht="13">
      <c r="D956" s="163"/>
    </row>
    <row r="957" spans="4:4" ht="13">
      <c r="D957" s="163"/>
    </row>
    <row r="958" spans="4:4" ht="13">
      <c r="D958" s="163"/>
    </row>
    <row r="959" spans="4:4" ht="13">
      <c r="D959" s="163"/>
    </row>
    <row r="960" spans="4:4" ht="13">
      <c r="D960" s="163"/>
    </row>
    <row r="961" spans="4:4" ht="13">
      <c r="D961" s="163"/>
    </row>
    <row r="962" spans="4:4" ht="13">
      <c r="D962" s="163"/>
    </row>
    <row r="963" spans="4:4" ht="13">
      <c r="D963" s="163"/>
    </row>
    <row r="964" spans="4:4" ht="13">
      <c r="D964" s="163"/>
    </row>
    <row r="965" spans="4:4" ht="13">
      <c r="D965" s="163"/>
    </row>
    <row r="966" spans="4:4" ht="13">
      <c r="D966" s="163"/>
    </row>
    <row r="967" spans="4:4" ht="13">
      <c r="D967" s="163"/>
    </row>
    <row r="968" spans="4:4" ht="13">
      <c r="D968" s="163"/>
    </row>
    <row r="969" spans="4:4" ht="13">
      <c r="D969" s="163"/>
    </row>
    <row r="970" spans="4:4" ht="13">
      <c r="D970" s="163"/>
    </row>
    <row r="971" spans="4:4" ht="13">
      <c r="D971" s="163"/>
    </row>
    <row r="972" spans="4:4" ht="13">
      <c r="D972" s="163"/>
    </row>
    <row r="973" spans="4:4" ht="13">
      <c r="D973" s="163"/>
    </row>
    <row r="974" spans="4:4" ht="13">
      <c r="D974" s="163"/>
    </row>
    <row r="975" spans="4:4" ht="13">
      <c r="D975" s="163"/>
    </row>
    <row r="976" spans="4:4" ht="13">
      <c r="D976" s="163"/>
    </row>
    <row r="977" spans="4:4" ht="13">
      <c r="D977" s="163"/>
    </row>
    <row r="978" spans="4:4" ht="13">
      <c r="D978" s="163"/>
    </row>
    <row r="979" spans="4:4" ht="13">
      <c r="D979" s="163"/>
    </row>
    <row r="980" spans="4:4" ht="13">
      <c r="D980" s="163"/>
    </row>
    <row r="981" spans="4:4" ht="13">
      <c r="D981" s="163"/>
    </row>
    <row r="982" spans="4:4" ht="13">
      <c r="D982" s="163"/>
    </row>
    <row r="983" spans="4:4" ht="13">
      <c r="D983" s="163"/>
    </row>
    <row r="984" spans="4:4" ht="13">
      <c r="D984" s="163"/>
    </row>
    <row r="985" spans="4:4" ht="13">
      <c r="D985" s="163"/>
    </row>
    <row r="986" spans="4:4" ht="13">
      <c r="D986" s="163"/>
    </row>
    <row r="987" spans="4:4" ht="13">
      <c r="D987" s="163"/>
    </row>
    <row r="988" spans="4:4" ht="13">
      <c r="D988" s="163"/>
    </row>
    <row r="989" spans="4:4" ht="13">
      <c r="D989" s="163"/>
    </row>
    <row r="990" spans="4:4" ht="13">
      <c r="D990" s="163"/>
    </row>
    <row r="991" spans="4:4" ht="13">
      <c r="D991" s="163"/>
    </row>
    <row r="992" spans="4:4" ht="13">
      <c r="D992" s="163"/>
    </row>
    <row r="993" spans="4:4" ht="13">
      <c r="D993" s="163"/>
    </row>
    <row r="994" spans="4:4" ht="13">
      <c r="D994" s="163"/>
    </row>
    <row r="995" spans="4:4" ht="13">
      <c r="D995" s="163"/>
    </row>
    <row r="996" spans="4:4" ht="13">
      <c r="D996" s="163"/>
    </row>
    <row r="997" spans="4:4" ht="13">
      <c r="D997" s="163"/>
    </row>
    <row r="998" spans="4:4" ht="13">
      <c r="D998" s="163"/>
    </row>
    <row r="999" spans="4:4" ht="13">
      <c r="D999" s="163"/>
    </row>
    <row r="1000" spans="4:4" ht="13">
      <c r="D1000" s="163"/>
    </row>
    <row r="1001" spans="4:4" ht="13">
      <c r="D1001" s="163"/>
    </row>
    <row r="1002" spans="4:4" ht="13">
      <c r="D1002" s="163"/>
    </row>
    <row r="1003" spans="4:4" ht="13">
      <c r="D1003" s="163"/>
    </row>
    <row r="1004" spans="4:4" ht="13">
      <c r="D1004" s="163"/>
    </row>
    <row r="1005" spans="4:4" ht="13">
      <c r="D1005" s="163"/>
    </row>
    <row r="1006" spans="4:4" ht="13">
      <c r="D1006" s="163"/>
    </row>
    <row r="1007" spans="4:4" ht="13">
      <c r="D1007" s="163"/>
    </row>
    <row r="1008" spans="4:4" ht="13">
      <c r="D1008" s="163"/>
    </row>
    <row r="1009" spans="4:4" ht="13">
      <c r="D1009" s="163"/>
    </row>
    <row r="1010" spans="4:4" ht="13">
      <c r="D1010" s="163"/>
    </row>
    <row r="1011" spans="4:4" ht="13">
      <c r="D1011" s="163"/>
    </row>
    <row r="1012" spans="4:4" ht="13">
      <c r="D1012" s="163"/>
    </row>
    <row r="1013" spans="4:4" ht="13">
      <c r="D1013" s="163"/>
    </row>
    <row r="1014" spans="4:4" ht="13">
      <c r="D1014" s="163"/>
    </row>
    <row r="1015" spans="4:4" ht="13">
      <c r="D1015" s="163"/>
    </row>
    <row r="1016" spans="4:4" ht="13">
      <c r="D1016" s="163"/>
    </row>
    <row r="1017" spans="4:4" ht="13">
      <c r="D1017" s="163"/>
    </row>
    <row r="1018" spans="4:4" ht="13">
      <c r="D1018" s="163"/>
    </row>
    <row r="1019" spans="4:4" ht="13">
      <c r="D1019" s="163"/>
    </row>
    <row r="1020" spans="4:4" ht="13">
      <c r="D1020" s="163"/>
    </row>
    <row r="1021" spans="4:4" ht="13">
      <c r="D1021" s="163"/>
    </row>
    <row r="1022" spans="4:4" ht="13">
      <c r="D1022" s="163"/>
    </row>
    <row r="1023" spans="4:4" ht="13">
      <c r="D1023" s="163"/>
    </row>
    <row r="1024" spans="4:4" ht="13">
      <c r="D1024" s="163"/>
    </row>
    <row r="1025" spans="4:4" ht="13">
      <c r="D1025" s="163"/>
    </row>
    <row r="1026" spans="4:4" ht="13">
      <c r="D1026" s="163"/>
    </row>
    <row r="1027" spans="4:4" ht="13">
      <c r="D1027" s="163"/>
    </row>
    <row r="1028" spans="4:4" ht="13">
      <c r="D1028" s="163"/>
    </row>
    <row r="1029" spans="4:4" ht="13">
      <c r="D1029" s="163"/>
    </row>
    <row r="1030" spans="4:4" ht="13">
      <c r="D1030" s="163"/>
    </row>
    <row r="1031" spans="4:4" ht="13">
      <c r="D1031" s="163"/>
    </row>
    <row r="1032" spans="4:4" ht="13">
      <c r="D1032" s="163"/>
    </row>
    <row r="1033" spans="4:4" ht="13">
      <c r="D1033" s="163"/>
    </row>
  </sheetData>
  <dataValidations count="1">
    <dataValidation type="custom" allowBlank="1" showDropDown="1" sqref="D4:D7 F4:G7 C27:C29" xr:uid="{00000000-0002-0000-0400-000000000000}">
      <formula1>AND(ISNUMBER(C4),(NOT(OR(NOT(ISERROR(DATEVALUE(C4))), AND(ISNUMBER(C4), LEFT(CELL("format", C4))="D")))))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8.1640625" customWidth="1"/>
    <col min="2" max="2" width="47.33203125" customWidth="1"/>
    <col min="3" max="3" width="14.5" customWidth="1"/>
    <col min="4" max="4" width="19" customWidth="1"/>
    <col min="5" max="5" width="56" customWidth="1"/>
    <col min="6" max="6" width="22.1640625" customWidth="1"/>
    <col min="7" max="7" width="9.33203125" customWidth="1"/>
  </cols>
  <sheetData>
    <row r="1" spans="1:7" ht="15.75" customHeight="1">
      <c r="A1" s="123" t="s">
        <v>330</v>
      </c>
      <c r="B1" s="124" t="s">
        <v>373</v>
      </c>
      <c r="C1" s="124" t="s">
        <v>374</v>
      </c>
      <c r="D1" s="124" t="s">
        <v>375</v>
      </c>
      <c r="E1" s="125" t="s">
        <v>153</v>
      </c>
      <c r="F1" s="162"/>
      <c r="G1" s="162"/>
    </row>
    <row r="2" spans="1:7" ht="15.75" customHeight="1">
      <c r="A2" s="126" t="s">
        <v>376</v>
      </c>
      <c r="B2" s="132" t="s">
        <v>377</v>
      </c>
      <c r="C2" s="166" t="s">
        <v>378</v>
      </c>
      <c r="D2" s="132">
        <v>15</v>
      </c>
      <c r="E2" s="136" t="s">
        <v>379</v>
      </c>
    </row>
    <row r="3" spans="1:7" ht="15.75" customHeight="1">
      <c r="A3" s="129" t="s">
        <v>376</v>
      </c>
      <c r="B3" s="167" t="s">
        <v>380</v>
      </c>
      <c r="C3" s="168">
        <v>1000</v>
      </c>
      <c r="D3" s="167">
        <v>32</v>
      </c>
      <c r="E3" s="169" t="s">
        <v>381</v>
      </c>
      <c r="G3" s="162"/>
    </row>
    <row r="4" spans="1:7" ht="15.75" customHeight="1">
      <c r="A4" s="126" t="s">
        <v>376</v>
      </c>
      <c r="B4" s="132" t="s">
        <v>382</v>
      </c>
      <c r="C4" s="170">
        <v>1000</v>
      </c>
      <c r="D4" s="132">
        <v>20</v>
      </c>
      <c r="E4" s="136" t="s">
        <v>383</v>
      </c>
      <c r="F4" s="162"/>
      <c r="G4" s="162"/>
    </row>
    <row r="5" spans="1:7" ht="15.75" customHeight="1">
      <c r="A5" s="129" t="s">
        <v>376</v>
      </c>
      <c r="B5" s="167" t="s">
        <v>382</v>
      </c>
      <c r="C5" s="168">
        <v>1000</v>
      </c>
      <c r="D5" s="167">
        <v>27</v>
      </c>
      <c r="E5" s="169" t="s">
        <v>384</v>
      </c>
      <c r="F5" s="162"/>
      <c r="G5" s="162"/>
    </row>
    <row r="6" spans="1:7" ht="15.75" customHeight="1">
      <c r="A6" s="126" t="s">
        <v>385</v>
      </c>
      <c r="B6" s="132" t="s">
        <v>386</v>
      </c>
      <c r="C6" s="166" t="s">
        <v>387</v>
      </c>
      <c r="D6" s="132">
        <v>30</v>
      </c>
      <c r="E6" s="136" t="s">
        <v>388</v>
      </c>
      <c r="F6" s="162"/>
      <c r="G6" s="162"/>
    </row>
    <row r="7" spans="1:7" ht="15.75" customHeight="1">
      <c r="A7" s="129" t="s">
        <v>385</v>
      </c>
      <c r="B7" s="167" t="s">
        <v>386</v>
      </c>
      <c r="C7" s="171" t="s">
        <v>387</v>
      </c>
      <c r="D7" s="167">
        <v>50</v>
      </c>
      <c r="E7" s="169" t="s">
        <v>389</v>
      </c>
      <c r="F7" s="162"/>
      <c r="G7" s="162"/>
    </row>
    <row r="8" spans="1:7" ht="15.75" customHeight="1">
      <c r="A8" s="126" t="s">
        <v>385</v>
      </c>
      <c r="B8" s="132" t="s">
        <v>390</v>
      </c>
      <c r="C8" s="166" t="s">
        <v>391</v>
      </c>
      <c r="D8" s="132">
        <v>40</v>
      </c>
      <c r="E8" s="136" t="s">
        <v>392</v>
      </c>
      <c r="F8" s="162"/>
      <c r="G8" s="162"/>
    </row>
    <row r="9" spans="1:7" ht="15.75" customHeight="1">
      <c r="A9" s="129" t="s">
        <v>393</v>
      </c>
      <c r="B9" s="167" t="s">
        <v>394</v>
      </c>
      <c r="C9" s="171" t="s">
        <v>395</v>
      </c>
      <c r="D9" s="167">
        <v>120</v>
      </c>
      <c r="E9" s="169" t="s">
        <v>396</v>
      </c>
      <c r="F9" s="162"/>
      <c r="G9" s="162"/>
    </row>
    <row r="10" spans="1:7" ht="15.75" customHeight="1">
      <c r="A10" s="126" t="s">
        <v>397</v>
      </c>
      <c r="B10" s="132" t="s">
        <v>398</v>
      </c>
      <c r="C10" s="166"/>
      <c r="D10" s="132">
        <v>15</v>
      </c>
      <c r="E10" s="136"/>
    </row>
    <row r="11" spans="1:7" ht="15.75" customHeight="1">
      <c r="A11" s="129" t="s">
        <v>399</v>
      </c>
      <c r="B11" s="167" t="s">
        <v>400</v>
      </c>
      <c r="C11" s="171"/>
      <c r="D11" s="167">
        <v>25</v>
      </c>
      <c r="E11" s="169"/>
    </row>
    <row r="12" spans="1:7" ht="15.75" customHeight="1">
      <c r="A12" s="172" t="s">
        <v>401</v>
      </c>
      <c r="B12" s="173" t="s">
        <v>402</v>
      </c>
      <c r="C12" s="174"/>
      <c r="D12" s="173">
        <v>40</v>
      </c>
      <c r="E12" s="17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F82"/>
  <sheetViews>
    <sheetView showGridLines="0" workbookViewId="0"/>
  </sheetViews>
  <sheetFormatPr baseColWidth="10" defaultColWidth="12.6640625" defaultRowHeight="15.75" customHeight="1"/>
  <cols>
    <col min="1" max="1" width="3.6640625" customWidth="1"/>
    <col min="2" max="2" width="49.6640625" customWidth="1"/>
    <col min="3" max="3" width="37.83203125" customWidth="1"/>
    <col min="4" max="4" width="16.1640625" customWidth="1"/>
    <col min="5" max="6" width="45.1640625" customWidth="1"/>
  </cols>
  <sheetData>
    <row r="1" spans="2:6" ht="15.75" customHeight="1">
      <c r="D1" s="162"/>
      <c r="E1" s="162"/>
    </row>
    <row r="2" spans="2:6" ht="15.75" customHeight="1">
      <c r="B2" s="123" t="s">
        <v>330</v>
      </c>
      <c r="C2" s="124" t="s">
        <v>403</v>
      </c>
      <c r="D2" s="124" t="s">
        <v>404</v>
      </c>
      <c r="E2" s="125" t="s">
        <v>405</v>
      </c>
      <c r="F2" s="162"/>
    </row>
    <row r="3" spans="2:6" ht="15.75" customHeight="1">
      <c r="B3" s="126" t="s">
        <v>406</v>
      </c>
      <c r="C3" s="127" t="s">
        <v>407</v>
      </c>
      <c r="D3" s="176">
        <v>3.5000000000000003E-2</v>
      </c>
      <c r="E3" s="136" t="s">
        <v>408</v>
      </c>
    </row>
    <row r="4" spans="2:6" ht="15.75" customHeight="1">
      <c r="B4" s="129" t="s">
        <v>409</v>
      </c>
      <c r="C4" s="177" t="s">
        <v>407</v>
      </c>
      <c r="D4" s="178">
        <v>5.5555555555555558E-3</v>
      </c>
      <c r="E4" s="169" t="s">
        <v>410</v>
      </c>
    </row>
    <row r="5" spans="2:6" ht="15.75" customHeight="1">
      <c r="B5" s="126" t="s">
        <v>411</v>
      </c>
      <c r="C5" s="179">
        <v>42</v>
      </c>
      <c r="D5" s="176">
        <f>(C5*D3)/0.95</f>
        <v>1.5473684210526319</v>
      </c>
      <c r="E5" s="136" t="s">
        <v>412</v>
      </c>
    </row>
    <row r="6" spans="2:6" ht="15.75" customHeight="1">
      <c r="B6" s="129" t="s">
        <v>413</v>
      </c>
      <c r="C6" s="177">
        <v>3.5</v>
      </c>
      <c r="D6" s="178">
        <f>C6*D3</f>
        <v>0.12250000000000001</v>
      </c>
      <c r="E6" s="169" t="s">
        <v>414</v>
      </c>
    </row>
    <row r="7" spans="2:6" ht="15.75" customHeight="1">
      <c r="B7" s="126" t="s">
        <v>415</v>
      </c>
      <c r="C7" s="179">
        <v>0.9</v>
      </c>
      <c r="D7" s="176">
        <v>0.9</v>
      </c>
      <c r="E7" s="136" t="s">
        <v>416</v>
      </c>
    </row>
    <row r="8" spans="2:6" ht="15.75" customHeight="1">
      <c r="B8" s="129" t="s">
        <v>417</v>
      </c>
      <c r="C8" s="177">
        <v>9</v>
      </c>
      <c r="D8" s="178">
        <f>D4*C8</f>
        <v>0.05</v>
      </c>
      <c r="E8" s="169" t="s">
        <v>418</v>
      </c>
    </row>
    <row r="9" spans="2:6" ht="15.75" customHeight="1">
      <c r="B9" s="126" t="s">
        <v>419</v>
      </c>
      <c r="C9" s="179"/>
      <c r="D9" s="176">
        <f>SUM(D5:D8)</f>
        <v>2.6198684210526317</v>
      </c>
    </row>
    <row r="10" spans="2:6" ht="15.75" customHeight="1">
      <c r="B10" s="129" t="s">
        <v>420</v>
      </c>
      <c r="C10" s="177" t="s">
        <v>421</v>
      </c>
      <c r="D10" s="178">
        <f>D19</f>
        <v>19.042090643274854</v>
      </c>
      <c r="E10" s="169" t="s">
        <v>422</v>
      </c>
    </row>
    <row r="11" spans="2:6" ht="15.75" customHeight="1">
      <c r="B11" s="126" t="s">
        <v>423</v>
      </c>
      <c r="C11" s="179" t="s">
        <v>424</v>
      </c>
      <c r="D11" s="176">
        <f>D23*(1+C14)</f>
        <v>9.4811622807017546</v>
      </c>
      <c r="E11" s="136"/>
    </row>
    <row r="12" spans="2:6" ht="15.75" customHeight="1">
      <c r="B12" s="129" t="s">
        <v>425</v>
      </c>
      <c r="C12" s="177" t="s">
        <v>424</v>
      </c>
      <c r="D12" s="178">
        <f>D27*(1+C14)</f>
        <v>7.1205789473684211</v>
      </c>
    </row>
    <row r="13" spans="2:6" ht="15.75" customHeight="1">
      <c r="B13" s="126" t="s">
        <v>426</v>
      </c>
      <c r="C13" s="179" t="s">
        <v>424</v>
      </c>
      <c r="D13" s="176">
        <f>D27*1.3</f>
        <v>7.1205789473684211</v>
      </c>
    </row>
    <row r="14" spans="2:6" ht="15.75" customHeight="1">
      <c r="B14" s="129" t="s">
        <v>427</v>
      </c>
      <c r="C14" s="177">
        <v>0.3</v>
      </c>
      <c r="D14" s="178"/>
    </row>
    <row r="15" spans="2:6" ht="15.75" customHeight="1">
      <c r="B15" s="126" t="s">
        <v>428</v>
      </c>
      <c r="C15" s="179"/>
      <c r="D15" s="176">
        <f>(3200000+2500000)/(12*25)</f>
        <v>19000</v>
      </c>
      <c r="E15" s="136" t="s">
        <v>429</v>
      </c>
    </row>
    <row r="16" spans="2:6" ht="15.75" customHeight="1">
      <c r="B16" s="129" t="s">
        <v>430</v>
      </c>
      <c r="C16" s="177"/>
      <c r="D16" s="178">
        <v>1250000</v>
      </c>
      <c r="E16" s="169"/>
    </row>
    <row r="17" spans="2:5" ht="15.75" customHeight="1">
      <c r="B17" s="126" t="s">
        <v>431</v>
      </c>
      <c r="C17" s="179"/>
      <c r="D17" s="176">
        <f>D15*12</f>
        <v>228000</v>
      </c>
      <c r="E17" s="136"/>
    </row>
    <row r="18" spans="2:5" ht="15.75" customHeight="1">
      <c r="B18" s="129" t="s">
        <v>432</v>
      </c>
      <c r="C18" s="177">
        <f>7500*12</f>
        <v>90000</v>
      </c>
      <c r="D18" s="178">
        <f>(D16+D17)/C18</f>
        <v>16.422222222222221</v>
      </c>
      <c r="E18" s="169"/>
    </row>
    <row r="19" spans="2:5" ht="15.75" customHeight="1">
      <c r="B19" s="126" t="s">
        <v>433</v>
      </c>
      <c r="C19" s="179"/>
      <c r="D19" s="176">
        <f>D18+D9</f>
        <v>19.042090643274854</v>
      </c>
      <c r="E19" s="136"/>
    </row>
    <row r="20" spans="2:5" ht="15.75" customHeight="1">
      <c r="B20" s="129" t="s">
        <v>434</v>
      </c>
      <c r="C20" s="177"/>
      <c r="D20" s="178">
        <f>D16*1.5</f>
        <v>1875000</v>
      </c>
      <c r="E20" s="169"/>
    </row>
    <row r="21" spans="2:5" ht="15.75" customHeight="1">
      <c r="B21" s="126" t="s">
        <v>435</v>
      </c>
      <c r="C21" s="179"/>
      <c r="D21" s="176">
        <f>D15*12</f>
        <v>228000</v>
      </c>
      <c r="E21" s="136"/>
    </row>
    <row r="22" spans="2:5" ht="15.75" customHeight="1">
      <c r="B22" s="129" t="s">
        <v>436</v>
      </c>
      <c r="C22" s="177">
        <f>37500*12</f>
        <v>450000</v>
      </c>
      <c r="D22" s="178">
        <f>(D20+D21)/C22</f>
        <v>4.6733333333333329</v>
      </c>
      <c r="E22" s="169"/>
    </row>
    <row r="23" spans="2:5" ht="15.75" customHeight="1">
      <c r="B23" s="126" t="s">
        <v>437</v>
      </c>
      <c r="C23" s="179"/>
      <c r="D23" s="176">
        <f>D9+D22</f>
        <v>7.2932017543859651</v>
      </c>
      <c r="E23" s="136"/>
    </row>
    <row r="24" spans="2:5" ht="15.75" customHeight="1">
      <c r="B24" s="129" t="s">
        <v>438</v>
      </c>
      <c r="C24" s="177"/>
      <c r="D24" s="178">
        <f>D20*1.25</f>
        <v>2343750</v>
      </c>
      <c r="E24" s="169"/>
    </row>
    <row r="25" spans="2:5" ht="15.75" customHeight="1">
      <c r="B25" s="126" t="s">
        <v>439</v>
      </c>
      <c r="C25" s="179"/>
      <c r="D25" s="176">
        <f>D15*12</f>
        <v>228000</v>
      </c>
      <c r="E25" s="136"/>
    </row>
    <row r="26" spans="2:5" ht="15.75" customHeight="1">
      <c r="B26" s="129" t="s">
        <v>440</v>
      </c>
      <c r="C26" s="177">
        <f>75000*12</f>
        <v>900000</v>
      </c>
      <c r="D26" s="178">
        <f>(D24+D25)/C26</f>
        <v>2.8574999999999999</v>
      </c>
      <c r="E26" s="169"/>
    </row>
    <row r="27" spans="2:5" ht="15.75" customHeight="1">
      <c r="B27" s="172" t="s">
        <v>441</v>
      </c>
      <c r="C27" s="180"/>
      <c r="D27" s="181">
        <f>D26+D9</f>
        <v>5.4773684210526312</v>
      </c>
      <c r="E27" s="175"/>
    </row>
    <row r="29" spans="2:5" ht="15.75" customHeight="1">
      <c r="B29" s="123" t="s">
        <v>151</v>
      </c>
      <c r="C29" s="124" t="s">
        <v>442</v>
      </c>
      <c r="D29" s="182" t="s">
        <v>443</v>
      </c>
      <c r="E29" s="125" t="s">
        <v>405</v>
      </c>
    </row>
    <row r="30" spans="2:5" ht="15.75" customHeight="1">
      <c r="B30" s="126" t="s">
        <v>444</v>
      </c>
      <c r="D30" s="127">
        <f>3240000+1500000</f>
        <v>4740000</v>
      </c>
      <c r="E30" s="136" t="s">
        <v>445</v>
      </c>
    </row>
    <row r="31" spans="2:5" ht="15.75" customHeight="1">
      <c r="B31" s="129" t="s">
        <v>446</v>
      </c>
      <c r="D31" s="130">
        <f>D30/(25*12)</f>
        <v>15800</v>
      </c>
      <c r="E31" s="169" t="s">
        <v>447</v>
      </c>
    </row>
    <row r="32" spans="2:5" ht="15.75" customHeight="1">
      <c r="B32" s="126" t="s">
        <v>448</v>
      </c>
      <c r="D32" s="127">
        <f>D31*12</f>
        <v>189600</v>
      </c>
      <c r="E32" s="136" t="s">
        <v>449</v>
      </c>
    </row>
    <row r="33" spans="2:5" ht="15.75" customHeight="1">
      <c r="B33" s="129" t="s">
        <v>450</v>
      </c>
      <c r="D33" s="130">
        <f>817292</f>
        <v>817292</v>
      </c>
      <c r="E33" s="169" t="s">
        <v>449</v>
      </c>
    </row>
    <row r="34" spans="2:5" ht="15.75" customHeight="1">
      <c r="B34" s="126" t="s">
        <v>451</v>
      </c>
      <c r="C34" s="179">
        <v>900000</v>
      </c>
      <c r="D34" s="127">
        <f>(D32+D33)/C34</f>
        <v>1.1187688888888889</v>
      </c>
      <c r="E34" s="136" t="s">
        <v>452</v>
      </c>
    </row>
    <row r="35" spans="2:5" ht="15.75" customHeight="1">
      <c r="B35" s="129" t="s">
        <v>453</v>
      </c>
      <c r="D35" s="178">
        <f>(D9+D34)*1.3</f>
        <v>4.8602285029239773</v>
      </c>
      <c r="E35" s="169" t="s">
        <v>454</v>
      </c>
    </row>
    <row r="36" spans="2:5" ht="15.75" customHeight="1">
      <c r="B36" s="172" t="s">
        <v>455</v>
      </c>
      <c r="D36" s="181">
        <f>D35-D7</f>
        <v>3.9602285029239774</v>
      </c>
      <c r="E36" s="175" t="s">
        <v>454</v>
      </c>
    </row>
    <row r="39" spans="2:5" ht="15.75" customHeight="1">
      <c r="B39" s="123" t="s">
        <v>456</v>
      </c>
      <c r="C39" s="124" t="s">
        <v>69</v>
      </c>
      <c r="D39" s="125" t="s">
        <v>457</v>
      </c>
    </row>
    <row r="40" spans="2:5" ht="15.75" customHeight="1">
      <c r="B40" s="126" t="s">
        <v>458</v>
      </c>
      <c r="C40" s="179">
        <v>250</v>
      </c>
      <c r="D40" s="136" t="s">
        <v>459</v>
      </c>
    </row>
    <row r="41" spans="2:5" ht="15.75" customHeight="1">
      <c r="B41" s="129" t="s">
        <v>460</v>
      </c>
      <c r="C41" s="177">
        <f>C40*30</f>
        <v>7500</v>
      </c>
      <c r="D41" s="169" t="s">
        <v>461</v>
      </c>
    </row>
    <row r="42" spans="2:5" ht="15.75" customHeight="1">
      <c r="B42" s="126" t="s">
        <v>462</v>
      </c>
      <c r="C42" s="179">
        <v>1250</v>
      </c>
      <c r="D42" s="136" t="s">
        <v>459</v>
      </c>
    </row>
    <row r="43" spans="2:5" ht="15.75" customHeight="1">
      <c r="B43" s="129" t="s">
        <v>463</v>
      </c>
      <c r="C43" s="177">
        <f>C42*30</f>
        <v>37500</v>
      </c>
      <c r="D43" s="169" t="s">
        <v>461</v>
      </c>
    </row>
    <row r="44" spans="2:5" ht="15.75" customHeight="1">
      <c r="B44" s="126" t="s">
        <v>464</v>
      </c>
      <c r="C44" s="179">
        <v>2500</v>
      </c>
      <c r="D44" s="136" t="s">
        <v>465</v>
      </c>
    </row>
    <row r="45" spans="2:5" ht="15.75" customHeight="1">
      <c r="B45" s="129" t="s">
        <v>466</v>
      </c>
      <c r="C45" s="177">
        <f>C44*30</f>
        <v>75000</v>
      </c>
      <c r="D45" s="169" t="s">
        <v>461</v>
      </c>
    </row>
    <row r="46" spans="2:5" ht="15.75" customHeight="1">
      <c r="B46" s="126" t="s">
        <v>467</v>
      </c>
      <c r="C46" s="179"/>
    </row>
    <row r="47" spans="2:5" ht="15.75" customHeight="1">
      <c r="B47" s="129" t="s">
        <v>458</v>
      </c>
      <c r="C47" s="177">
        <v>1250</v>
      </c>
      <c r="D47" s="169" t="s">
        <v>459</v>
      </c>
    </row>
    <row r="48" spans="2:5" ht="15.75" customHeight="1">
      <c r="B48" s="126" t="s">
        <v>468</v>
      </c>
      <c r="C48" s="179">
        <f>C47*30</f>
        <v>37500</v>
      </c>
      <c r="D48" s="136" t="s">
        <v>461</v>
      </c>
    </row>
    <row r="49" spans="2:6" ht="15.75" customHeight="1">
      <c r="B49" s="129" t="s">
        <v>464</v>
      </c>
      <c r="C49" s="177">
        <v>2500</v>
      </c>
      <c r="D49" s="169" t="s">
        <v>465</v>
      </c>
    </row>
    <row r="50" spans="2:6" ht="15.75" customHeight="1">
      <c r="B50" s="172" t="s">
        <v>469</v>
      </c>
      <c r="C50" s="180">
        <f>C49*30</f>
        <v>75000</v>
      </c>
      <c r="D50" s="175" t="s">
        <v>461</v>
      </c>
    </row>
    <row r="53" spans="2:6" ht="15.75" customHeight="1">
      <c r="B53" s="123" t="s">
        <v>470</v>
      </c>
      <c r="C53" s="125" t="s">
        <v>471</v>
      </c>
      <c r="E53" s="123" t="s">
        <v>472</v>
      </c>
      <c r="F53" s="125" t="s">
        <v>471</v>
      </c>
    </row>
    <row r="54" spans="2:6" ht="13">
      <c r="B54" s="126" t="s">
        <v>473</v>
      </c>
      <c r="C54" s="128">
        <f>$C$41*('H2 Cost Assumptions'!D11-$D$9)</f>
        <v>167850.98684210525</v>
      </c>
      <c r="E54" s="126" t="s">
        <v>474</v>
      </c>
      <c r="F54" s="128">
        <f>C41*D9</f>
        <v>19649.013157894737</v>
      </c>
    </row>
    <row r="55" spans="2:6" ht="13">
      <c r="B55" s="129" t="s">
        <v>475</v>
      </c>
      <c r="C55" s="131">
        <f>$C$43*('H2 Cost Assumptions'!D11-$D$9)</f>
        <v>839254.93421052629</v>
      </c>
      <c r="E55" s="129" t="s">
        <v>476</v>
      </c>
      <c r="F55" s="131">
        <f>C43*D9</f>
        <v>98245.065789473694</v>
      </c>
    </row>
    <row r="56" spans="2:6" ht="13">
      <c r="B56" s="126" t="s">
        <v>477</v>
      </c>
      <c r="C56" s="128">
        <f>$C$45*('H2 Cost Assumptions'!D11-$D$9)</f>
        <v>1678509.8684210526</v>
      </c>
      <c r="E56" s="172" t="s">
        <v>478</v>
      </c>
      <c r="F56" s="183">
        <f>C45*D9</f>
        <v>196490.13157894739</v>
      </c>
    </row>
    <row r="57" spans="2:6" ht="13">
      <c r="B57" s="129" t="s">
        <v>479</v>
      </c>
      <c r="C57" s="131">
        <f>$C$41*('H2 Cost Assumptions'!D12-$D$9)</f>
        <v>280350.98684210528</v>
      </c>
    </row>
    <row r="58" spans="2:6" ht="13">
      <c r="B58" s="126" t="s">
        <v>480</v>
      </c>
      <c r="C58" s="128">
        <f>$C$43*('H2 Cost Assumptions'!D12-$D$9)</f>
        <v>1401754.9342105263</v>
      </c>
    </row>
    <row r="59" spans="2:6" ht="13">
      <c r="B59" s="129" t="s">
        <v>481</v>
      </c>
      <c r="C59" s="131">
        <f>$C$45*('H2 Cost Assumptions'!D12-$D$9)</f>
        <v>2803509.8684210526</v>
      </c>
      <c r="E59" s="123" t="s">
        <v>482</v>
      </c>
      <c r="F59" s="125" t="s">
        <v>471</v>
      </c>
    </row>
    <row r="60" spans="2:6" ht="13">
      <c r="B60" s="126" t="s">
        <v>483</v>
      </c>
      <c r="C60" s="128">
        <f>$C$41*('H2 Cost Assumptions'!D10-$D$9)</f>
        <v>92850.986842105267</v>
      </c>
      <c r="E60" s="126" t="s">
        <v>484</v>
      </c>
      <c r="F60" s="128">
        <f>C48*D9</f>
        <v>98245.065789473694</v>
      </c>
    </row>
    <row r="61" spans="2:6" ht="13">
      <c r="B61" s="129" t="s">
        <v>485</v>
      </c>
      <c r="C61" s="131">
        <f>$C$43*('H2 Cost Assumptions'!D10-$D$9)</f>
        <v>464254.93421052635</v>
      </c>
      <c r="E61" s="133" t="s">
        <v>478</v>
      </c>
      <c r="F61" s="135">
        <f>C50*D9</f>
        <v>196490.13157894739</v>
      </c>
    </row>
    <row r="62" spans="2:6" ht="13">
      <c r="B62" s="172" t="s">
        <v>486</v>
      </c>
      <c r="C62" s="183">
        <f>$C$45*('H2 Cost Assumptions'!D10-$D$9)</f>
        <v>928509.8684210527</v>
      </c>
    </row>
    <row r="65" spans="2:3" ht="13">
      <c r="B65" s="123" t="s">
        <v>487</v>
      </c>
      <c r="C65" s="125" t="s">
        <v>471</v>
      </c>
    </row>
    <row r="66" spans="2:3" ht="13">
      <c r="B66" s="126" t="s">
        <v>488</v>
      </c>
      <c r="C66" s="128">
        <f>$C$48*('H2 Cost Assumptions'!D11-$D$9)</f>
        <v>839254.93421052629</v>
      </c>
    </row>
    <row r="67" spans="2:3" ht="13">
      <c r="B67" s="129" t="s">
        <v>477</v>
      </c>
      <c r="C67" s="131">
        <f>$C$50*('H2 Cost Assumptions'!D11-$D$9)</f>
        <v>1678509.8684210526</v>
      </c>
    </row>
    <row r="68" spans="2:3" ht="13">
      <c r="B68" s="126" t="s">
        <v>489</v>
      </c>
      <c r="C68" s="128">
        <f>$C$48*('H2 Cost Assumptions'!D12-$D$9)</f>
        <v>1401754.9342105263</v>
      </c>
    </row>
    <row r="69" spans="2:3" ht="13">
      <c r="B69" s="129" t="s">
        <v>481</v>
      </c>
      <c r="C69" s="131">
        <f>$C$50*('H2 Cost Assumptions'!D12-$D$9)</f>
        <v>2803509.8684210526</v>
      </c>
    </row>
    <row r="70" spans="2:3" ht="13">
      <c r="B70" s="126" t="s">
        <v>490</v>
      </c>
      <c r="C70" s="128">
        <f>$C$48*('H2 Cost Assumptions'!D10-$D$9)</f>
        <v>464254.93421052635</v>
      </c>
    </row>
    <row r="71" spans="2:3" ht="13">
      <c r="B71" s="133" t="s">
        <v>486</v>
      </c>
      <c r="C71" s="135">
        <f>$C$50*('H2 Cost Assumptions'!D10-$D$9)</f>
        <v>928509.8684210527</v>
      </c>
    </row>
    <row r="74" spans="2:3" ht="13">
      <c r="B74" s="184" t="s">
        <v>151</v>
      </c>
      <c r="C74" s="155" t="s">
        <v>491</v>
      </c>
    </row>
    <row r="75" spans="2:3" ht="13">
      <c r="B75" s="156" t="s">
        <v>492</v>
      </c>
      <c r="C75" s="157">
        <v>2.65</v>
      </c>
    </row>
    <row r="76" spans="2:3" ht="13">
      <c r="B76" s="158" t="s">
        <v>493</v>
      </c>
      <c r="C76" s="159">
        <v>0.21</v>
      </c>
    </row>
    <row r="77" spans="2:3" ht="13">
      <c r="B77" s="156" t="s">
        <v>494</v>
      </c>
      <c r="C77" s="157">
        <v>0.9</v>
      </c>
    </row>
    <row r="78" spans="2:3" ht="13">
      <c r="B78" s="158" t="s">
        <v>495</v>
      </c>
      <c r="C78" s="159">
        <v>0.05</v>
      </c>
    </row>
    <row r="79" spans="2:3" ht="13">
      <c r="B79" s="156" t="s">
        <v>496</v>
      </c>
      <c r="C79" s="157">
        <v>3.81</v>
      </c>
    </row>
    <row r="80" spans="2:3" ht="13">
      <c r="B80" s="158" t="s">
        <v>497</v>
      </c>
      <c r="C80" s="159">
        <v>2.86</v>
      </c>
    </row>
    <row r="81" spans="2:3" ht="13">
      <c r="B81" s="156" t="s">
        <v>498</v>
      </c>
      <c r="C81" s="157">
        <v>6.67</v>
      </c>
    </row>
    <row r="82" spans="2:3" ht="13">
      <c r="B82" s="185" t="s">
        <v>499</v>
      </c>
      <c r="C82" s="186">
        <v>8.67</v>
      </c>
    </row>
  </sheetData>
  <dataValidations count="1">
    <dataValidation type="custom" allowBlank="1" showDropDown="1" sqref="C3:D27 C40:C50 F54:F56 F60:F61 C54:C62 C66:C71 C75:C82" xr:uid="{00000000-0002-0000-0600-000000000000}">
      <formula1>AND(ISNUMBER(C3),(NOT(OR(NOT(ISERROR(DATEVALUE(C3))), AND(ISNUMBER(C3), LEFT(CELL("format", C3))="D")))))</formula1>
    </dataValidation>
  </dataValidation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30"/>
  <sheetViews>
    <sheetView showGridLines="0" workbookViewId="0"/>
  </sheetViews>
  <sheetFormatPr baseColWidth="10" defaultColWidth="12.6640625" defaultRowHeight="15.75" customHeight="1"/>
  <cols>
    <col min="1" max="2" width="34.6640625" customWidth="1"/>
    <col min="3" max="3" width="13.6640625" customWidth="1"/>
    <col min="4" max="4" width="30.1640625" customWidth="1"/>
    <col min="5" max="5" width="15.83203125" customWidth="1"/>
    <col min="6" max="6" width="49.6640625" customWidth="1"/>
  </cols>
  <sheetData>
    <row r="1" spans="1:6" ht="15.75" customHeight="1">
      <c r="A1" s="162" t="s">
        <v>500</v>
      </c>
      <c r="B1" s="162"/>
      <c r="C1" s="162"/>
      <c r="D1" s="162"/>
      <c r="F1" s="162"/>
    </row>
    <row r="2" spans="1:6" ht="15.75" customHeight="1">
      <c r="A2" s="162"/>
      <c r="B2" s="162"/>
      <c r="C2" s="162"/>
      <c r="D2" s="162"/>
      <c r="E2" s="162"/>
      <c r="F2" s="162"/>
    </row>
    <row r="3" spans="1:6" ht="15.75" customHeight="1">
      <c r="A3" s="123" t="s">
        <v>330</v>
      </c>
      <c r="B3" s="124" t="s">
        <v>331</v>
      </c>
      <c r="C3" s="124" t="s">
        <v>332</v>
      </c>
      <c r="D3" s="124" t="s">
        <v>501</v>
      </c>
      <c r="E3" s="124" t="s">
        <v>334</v>
      </c>
      <c r="F3" s="125" t="s">
        <v>502</v>
      </c>
    </row>
    <row r="4" spans="1:6" ht="15.75" customHeight="1">
      <c r="A4" s="126" t="s">
        <v>335</v>
      </c>
      <c r="B4" s="132" t="s">
        <v>336</v>
      </c>
      <c r="C4" s="132">
        <v>1</v>
      </c>
      <c r="D4" s="127">
        <v>150000</v>
      </c>
      <c r="E4" s="127">
        <f t="shared" ref="E4:E12" si="0">C4*D4</f>
        <v>150000</v>
      </c>
      <c r="F4" s="136" t="s">
        <v>503</v>
      </c>
    </row>
    <row r="5" spans="1:6" ht="15.75" customHeight="1">
      <c r="A5" s="129" t="s">
        <v>338</v>
      </c>
      <c r="B5" s="167" t="s">
        <v>339</v>
      </c>
      <c r="C5" s="167">
        <v>1</v>
      </c>
      <c r="D5" s="130">
        <v>130000</v>
      </c>
      <c r="E5" s="130">
        <f t="shared" si="0"/>
        <v>130000</v>
      </c>
      <c r="F5" s="169" t="s">
        <v>340</v>
      </c>
    </row>
    <row r="6" spans="1:6" ht="15.75" customHeight="1">
      <c r="A6" s="126" t="s">
        <v>338</v>
      </c>
      <c r="B6" s="132" t="s">
        <v>504</v>
      </c>
      <c r="C6" s="132">
        <v>2</v>
      </c>
      <c r="D6" s="127">
        <v>90000</v>
      </c>
      <c r="E6" s="127">
        <f t="shared" si="0"/>
        <v>180000</v>
      </c>
      <c r="F6" s="136" t="s">
        <v>505</v>
      </c>
    </row>
    <row r="7" spans="1:6" ht="15.75" customHeight="1">
      <c r="A7" s="129" t="s">
        <v>24</v>
      </c>
      <c r="B7" s="167" t="s">
        <v>506</v>
      </c>
      <c r="C7" s="167">
        <v>1</v>
      </c>
      <c r="D7" s="130">
        <v>70000</v>
      </c>
      <c r="E7" s="130">
        <f t="shared" si="0"/>
        <v>70000</v>
      </c>
      <c r="F7" s="169" t="s">
        <v>507</v>
      </c>
    </row>
    <row r="8" spans="1:6" ht="15.75" customHeight="1">
      <c r="A8" s="126" t="s">
        <v>24</v>
      </c>
      <c r="B8" s="132" t="s">
        <v>508</v>
      </c>
      <c r="C8" s="132">
        <v>1</v>
      </c>
      <c r="D8" s="127">
        <v>65000</v>
      </c>
      <c r="E8" s="127">
        <f t="shared" si="0"/>
        <v>65000</v>
      </c>
      <c r="F8" s="136" t="s">
        <v>509</v>
      </c>
    </row>
    <row r="9" spans="1:6" ht="15.75" customHeight="1">
      <c r="A9" s="129" t="s">
        <v>347</v>
      </c>
      <c r="B9" s="167" t="s">
        <v>348</v>
      </c>
      <c r="C9" s="167">
        <v>1</v>
      </c>
      <c r="D9" s="130">
        <v>90000</v>
      </c>
      <c r="E9" s="130">
        <f t="shared" si="0"/>
        <v>90000</v>
      </c>
      <c r="F9" s="169" t="s">
        <v>510</v>
      </c>
    </row>
    <row r="10" spans="1:6" ht="15.75" customHeight="1">
      <c r="A10" s="126" t="s">
        <v>350</v>
      </c>
      <c r="B10" s="132" t="s">
        <v>351</v>
      </c>
      <c r="C10" s="132">
        <v>1</v>
      </c>
      <c r="D10" s="127">
        <v>60000</v>
      </c>
      <c r="E10" s="127">
        <f t="shared" si="0"/>
        <v>60000</v>
      </c>
      <c r="F10" s="136" t="s">
        <v>511</v>
      </c>
    </row>
    <row r="11" spans="1:6" ht="15.75" customHeight="1">
      <c r="A11" s="129" t="s">
        <v>353</v>
      </c>
      <c r="B11" s="167" t="s">
        <v>512</v>
      </c>
      <c r="C11" s="167">
        <v>1</v>
      </c>
      <c r="D11" s="130">
        <v>85000</v>
      </c>
      <c r="E11" s="130">
        <f t="shared" si="0"/>
        <v>85000</v>
      </c>
      <c r="F11" s="169" t="s">
        <v>513</v>
      </c>
    </row>
    <row r="12" spans="1:6" ht="15.75" customHeight="1">
      <c r="A12" s="126" t="s">
        <v>356</v>
      </c>
      <c r="B12" s="132" t="s">
        <v>357</v>
      </c>
      <c r="C12" s="132">
        <v>1</v>
      </c>
      <c r="D12" s="127">
        <v>80000</v>
      </c>
      <c r="E12" s="127">
        <f t="shared" si="0"/>
        <v>80000</v>
      </c>
      <c r="F12" s="136" t="s">
        <v>514</v>
      </c>
    </row>
    <row r="13" spans="1:6" ht="15.75" customHeight="1">
      <c r="A13" s="129" t="s">
        <v>515</v>
      </c>
      <c r="C13" s="167" t="s">
        <v>359</v>
      </c>
      <c r="D13" s="187"/>
      <c r="E13" s="130">
        <f>SUM(E4:E12)</f>
        <v>910000</v>
      </c>
      <c r="F13" s="169"/>
    </row>
    <row r="14" spans="1:6" ht="15.75" customHeight="1">
      <c r="A14" s="126" t="s">
        <v>516</v>
      </c>
      <c r="C14" s="132" t="s">
        <v>359</v>
      </c>
      <c r="D14" s="188">
        <v>0.37362637362637363</v>
      </c>
      <c r="E14" s="127">
        <f>E13*D14</f>
        <v>340000</v>
      </c>
    </row>
    <row r="15" spans="1:6" ht="15.75" customHeight="1">
      <c r="A15" s="133" t="s">
        <v>517</v>
      </c>
      <c r="C15" s="189" t="s">
        <v>359</v>
      </c>
      <c r="D15" s="190"/>
      <c r="E15" s="134">
        <f>SUM(E13:E14)</f>
        <v>1250000</v>
      </c>
    </row>
    <row r="17" spans="1:6" ht="15.75" customHeight="1">
      <c r="A17" s="162" t="s">
        <v>518</v>
      </c>
      <c r="B17" s="162"/>
      <c r="C17" s="162"/>
      <c r="D17" s="162"/>
      <c r="E17" s="162"/>
      <c r="F17" s="162"/>
    </row>
    <row r="18" spans="1:6" ht="15.75" customHeight="1">
      <c r="A18" s="162"/>
      <c r="B18" s="162"/>
      <c r="C18" s="162"/>
      <c r="D18" s="162"/>
      <c r="E18" s="162"/>
      <c r="F18" s="162"/>
    </row>
    <row r="19" spans="1:6" ht="15.75" customHeight="1">
      <c r="A19" s="123" t="s">
        <v>330</v>
      </c>
      <c r="B19" s="124" t="s">
        <v>331</v>
      </c>
      <c r="C19" s="124" t="s">
        <v>332</v>
      </c>
      <c r="D19" s="124" t="s">
        <v>519</v>
      </c>
      <c r="E19" s="124" t="s">
        <v>334</v>
      </c>
      <c r="F19" s="125" t="s">
        <v>153</v>
      </c>
    </row>
    <row r="20" spans="1:6" ht="15.75" customHeight="1">
      <c r="A20" s="126" t="s">
        <v>335</v>
      </c>
      <c r="B20" s="132" t="s">
        <v>336</v>
      </c>
      <c r="C20" s="132">
        <v>1</v>
      </c>
      <c r="D20" s="127">
        <v>172500</v>
      </c>
      <c r="E20" s="127">
        <f t="shared" ref="E20:E31" si="1">C20*D20</f>
        <v>172500</v>
      </c>
      <c r="F20" s="136" t="s">
        <v>520</v>
      </c>
    </row>
    <row r="21" spans="1:6" ht="15.75" customHeight="1">
      <c r="A21" s="129" t="s">
        <v>338</v>
      </c>
      <c r="B21" s="167" t="s">
        <v>339</v>
      </c>
      <c r="C21" s="167">
        <v>1</v>
      </c>
      <c r="D21" s="130">
        <v>149500</v>
      </c>
      <c r="E21" s="130">
        <f t="shared" si="1"/>
        <v>149500</v>
      </c>
      <c r="F21" s="169" t="s">
        <v>521</v>
      </c>
    </row>
    <row r="22" spans="1:6" ht="15.75" customHeight="1">
      <c r="A22" s="126" t="s">
        <v>338</v>
      </c>
      <c r="B22" s="132" t="s">
        <v>504</v>
      </c>
      <c r="C22" s="132">
        <v>2</v>
      </c>
      <c r="D22" s="127">
        <v>103500</v>
      </c>
      <c r="E22" s="127">
        <f t="shared" si="1"/>
        <v>207000</v>
      </c>
      <c r="F22" s="136" t="s">
        <v>522</v>
      </c>
    </row>
    <row r="23" spans="1:6" ht="15.75" customHeight="1">
      <c r="A23" s="129" t="s">
        <v>24</v>
      </c>
      <c r="B23" s="167" t="s">
        <v>506</v>
      </c>
      <c r="C23" s="167">
        <v>1</v>
      </c>
      <c r="D23" s="130">
        <v>80500</v>
      </c>
      <c r="E23" s="130">
        <f t="shared" si="1"/>
        <v>80500</v>
      </c>
      <c r="F23" s="169" t="s">
        <v>523</v>
      </c>
    </row>
    <row r="24" spans="1:6" ht="15.75" customHeight="1">
      <c r="A24" s="126" t="s">
        <v>24</v>
      </c>
      <c r="B24" s="132" t="s">
        <v>508</v>
      </c>
      <c r="C24" s="132">
        <v>1</v>
      </c>
      <c r="D24" s="127">
        <v>74750</v>
      </c>
      <c r="E24" s="127">
        <f t="shared" si="1"/>
        <v>74750</v>
      </c>
      <c r="F24" s="136" t="s">
        <v>524</v>
      </c>
    </row>
    <row r="25" spans="1:6" ht="15.75" customHeight="1">
      <c r="A25" s="129" t="s">
        <v>347</v>
      </c>
      <c r="B25" s="167" t="s">
        <v>348</v>
      </c>
      <c r="C25" s="167">
        <v>1</v>
      </c>
      <c r="D25" s="130">
        <v>103500</v>
      </c>
      <c r="E25" s="130">
        <f t="shared" si="1"/>
        <v>103500</v>
      </c>
      <c r="F25" s="169" t="s">
        <v>525</v>
      </c>
    </row>
    <row r="26" spans="1:6" ht="15.75" customHeight="1">
      <c r="A26" s="126" t="s">
        <v>350</v>
      </c>
      <c r="B26" s="132" t="s">
        <v>351</v>
      </c>
      <c r="C26" s="132">
        <v>1</v>
      </c>
      <c r="D26" s="127">
        <v>69000</v>
      </c>
      <c r="E26" s="127">
        <f t="shared" si="1"/>
        <v>69000</v>
      </c>
      <c r="F26" s="136" t="s">
        <v>526</v>
      </c>
    </row>
    <row r="27" spans="1:6" ht="15.75" customHeight="1">
      <c r="A27" s="129" t="s">
        <v>353</v>
      </c>
      <c r="B27" s="167" t="s">
        <v>512</v>
      </c>
      <c r="C27" s="167">
        <v>1</v>
      </c>
      <c r="D27" s="130">
        <v>97750</v>
      </c>
      <c r="E27" s="130">
        <f t="shared" si="1"/>
        <v>97750</v>
      </c>
      <c r="F27" s="169" t="s">
        <v>527</v>
      </c>
    </row>
    <row r="28" spans="1:6" ht="15.75" customHeight="1">
      <c r="A28" s="126" t="s">
        <v>356</v>
      </c>
      <c r="B28" s="132" t="s">
        <v>357</v>
      </c>
      <c r="C28" s="132">
        <v>1</v>
      </c>
      <c r="D28" s="127">
        <v>92000</v>
      </c>
      <c r="E28" s="127">
        <f t="shared" si="1"/>
        <v>92000</v>
      </c>
      <c r="F28" s="136" t="s">
        <v>528</v>
      </c>
    </row>
    <row r="29" spans="1:6" ht="15.75" customHeight="1">
      <c r="A29" s="129" t="s">
        <v>338</v>
      </c>
      <c r="B29" s="167" t="s">
        <v>529</v>
      </c>
      <c r="C29" s="167">
        <v>1</v>
      </c>
      <c r="D29" s="130">
        <v>90000</v>
      </c>
      <c r="E29" s="130">
        <f t="shared" si="1"/>
        <v>90000</v>
      </c>
      <c r="F29" s="169" t="s">
        <v>530</v>
      </c>
    </row>
    <row r="30" spans="1:6" ht="15.75" customHeight="1">
      <c r="A30" s="126" t="s">
        <v>24</v>
      </c>
      <c r="B30" s="132" t="s">
        <v>531</v>
      </c>
      <c r="C30" s="132">
        <v>1</v>
      </c>
      <c r="D30" s="127">
        <v>70000</v>
      </c>
      <c r="E30" s="127">
        <f t="shared" si="1"/>
        <v>70000</v>
      </c>
      <c r="F30" s="136" t="s">
        <v>532</v>
      </c>
    </row>
    <row r="31" spans="1:6" ht="15.75" customHeight="1">
      <c r="A31" s="129" t="s">
        <v>533</v>
      </c>
      <c r="B31" s="167" t="s">
        <v>534</v>
      </c>
      <c r="C31" s="167">
        <v>1</v>
      </c>
      <c r="D31" s="130">
        <v>85000</v>
      </c>
      <c r="E31" s="130">
        <f t="shared" si="1"/>
        <v>85000</v>
      </c>
      <c r="F31" s="169" t="s">
        <v>535</v>
      </c>
    </row>
    <row r="32" spans="1:6" ht="15.75" customHeight="1">
      <c r="A32" s="126" t="s">
        <v>515</v>
      </c>
      <c r="E32" s="127">
        <v>1291500</v>
      </c>
    </row>
    <row r="33" spans="1:6" ht="15.75" customHeight="1">
      <c r="A33" s="129" t="s">
        <v>536</v>
      </c>
      <c r="E33" s="130">
        <v>482444</v>
      </c>
    </row>
    <row r="34" spans="1:6" ht="15.75" customHeight="1">
      <c r="A34" s="172" t="s">
        <v>517</v>
      </c>
      <c r="E34" s="191">
        <v>1773944</v>
      </c>
    </row>
    <row r="36" spans="1:6" ht="15.75" customHeight="1">
      <c r="A36" s="162" t="s">
        <v>537</v>
      </c>
      <c r="B36" s="162"/>
      <c r="C36" s="162"/>
      <c r="D36" s="162"/>
      <c r="E36" s="162"/>
      <c r="F36" s="162"/>
    </row>
    <row r="37" spans="1:6" ht="15.75" customHeight="1">
      <c r="A37" s="162"/>
      <c r="B37" s="162"/>
      <c r="C37" s="162"/>
      <c r="D37" s="162"/>
      <c r="E37" s="162"/>
      <c r="F37" s="162"/>
    </row>
    <row r="38" spans="1:6" ht="15.75" customHeight="1">
      <c r="A38" s="123" t="s">
        <v>330</v>
      </c>
      <c r="B38" s="124" t="s">
        <v>331</v>
      </c>
      <c r="C38" s="124" t="s">
        <v>332</v>
      </c>
      <c r="D38" s="124" t="s">
        <v>538</v>
      </c>
      <c r="E38" s="124" t="s">
        <v>334</v>
      </c>
      <c r="F38" s="125" t="s">
        <v>153</v>
      </c>
    </row>
    <row r="39" spans="1:6" ht="15.75" customHeight="1">
      <c r="A39" s="126" t="s">
        <v>335</v>
      </c>
      <c r="B39" s="132" t="s">
        <v>336</v>
      </c>
      <c r="C39" s="132">
        <v>1</v>
      </c>
      <c r="D39" s="192">
        <v>198375</v>
      </c>
      <c r="E39" s="127">
        <v>198375</v>
      </c>
      <c r="F39" s="136" t="s">
        <v>539</v>
      </c>
    </row>
    <row r="40" spans="1:6" ht="15.75" customHeight="1">
      <c r="A40" s="129" t="s">
        <v>338</v>
      </c>
      <c r="B40" s="167" t="s">
        <v>339</v>
      </c>
      <c r="C40" s="167">
        <v>1</v>
      </c>
      <c r="D40" s="187">
        <v>172925</v>
      </c>
      <c r="E40" s="130">
        <v>172925</v>
      </c>
    </row>
    <row r="41" spans="1:6" ht="15.75" customHeight="1">
      <c r="A41" s="126" t="s">
        <v>338</v>
      </c>
      <c r="B41" s="132" t="s">
        <v>504</v>
      </c>
      <c r="C41" s="132">
        <v>2</v>
      </c>
      <c r="D41" s="192">
        <v>119025</v>
      </c>
      <c r="E41" s="127">
        <v>238050</v>
      </c>
      <c r="F41" s="136" t="s">
        <v>540</v>
      </c>
    </row>
    <row r="42" spans="1:6" ht="15.75" customHeight="1">
      <c r="A42" s="129" t="s">
        <v>24</v>
      </c>
      <c r="B42" s="167" t="s">
        <v>506</v>
      </c>
      <c r="C42" s="167">
        <v>1</v>
      </c>
      <c r="D42" s="187">
        <v>92575</v>
      </c>
      <c r="E42" s="130">
        <v>92575</v>
      </c>
    </row>
    <row r="43" spans="1:6" ht="15.75" customHeight="1">
      <c r="A43" s="126" t="s">
        <v>24</v>
      </c>
      <c r="B43" s="132" t="s">
        <v>508</v>
      </c>
      <c r="C43" s="132">
        <v>1</v>
      </c>
      <c r="D43" s="192">
        <v>85963</v>
      </c>
      <c r="E43" s="127">
        <v>85963</v>
      </c>
    </row>
    <row r="44" spans="1:6" ht="15.75" customHeight="1">
      <c r="A44" s="129" t="s">
        <v>347</v>
      </c>
      <c r="B44" s="167" t="s">
        <v>348</v>
      </c>
      <c r="C44" s="167">
        <v>1</v>
      </c>
      <c r="D44" s="187">
        <v>119025</v>
      </c>
      <c r="E44" s="130">
        <v>119025</v>
      </c>
    </row>
    <row r="45" spans="1:6" ht="15.75" customHeight="1">
      <c r="A45" s="126" t="s">
        <v>350</v>
      </c>
      <c r="B45" s="132" t="s">
        <v>351</v>
      </c>
      <c r="C45" s="132">
        <v>1</v>
      </c>
      <c r="D45" s="192">
        <v>79350</v>
      </c>
      <c r="E45" s="127">
        <v>79350</v>
      </c>
    </row>
    <row r="46" spans="1:6" ht="15.75" customHeight="1">
      <c r="A46" s="129" t="s">
        <v>353</v>
      </c>
      <c r="B46" s="167" t="s">
        <v>512</v>
      </c>
      <c r="C46" s="167">
        <v>1</v>
      </c>
      <c r="D46" s="187">
        <v>112413</v>
      </c>
      <c r="E46" s="130">
        <v>112413</v>
      </c>
    </row>
    <row r="47" spans="1:6" ht="15.75" customHeight="1">
      <c r="A47" s="126" t="s">
        <v>356</v>
      </c>
      <c r="B47" s="132" t="s">
        <v>357</v>
      </c>
      <c r="C47" s="132">
        <v>1</v>
      </c>
      <c r="D47" s="192">
        <v>105800</v>
      </c>
      <c r="E47" s="127">
        <v>105800</v>
      </c>
    </row>
    <row r="48" spans="1:6" ht="15.75" customHeight="1">
      <c r="A48" s="129" t="s">
        <v>338</v>
      </c>
      <c r="B48" s="167" t="s">
        <v>541</v>
      </c>
      <c r="C48" s="167">
        <v>1</v>
      </c>
      <c r="D48" s="187">
        <v>103500</v>
      </c>
      <c r="E48" s="130">
        <v>103500</v>
      </c>
      <c r="F48" s="169" t="s">
        <v>542</v>
      </c>
    </row>
    <row r="49" spans="1:6" ht="15.75" customHeight="1">
      <c r="A49" s="126" t="s">
        <v>24</v>
      </c>
      <c r="B49" s="132" t="s">
        <v>543</v>
      </c>
      <c r="C49" s="132">
        <v>1</v>
      </c>
      <c r="D49" s="192">
        <v>80500</v>
      </c>
      <c r="E49" s="127">
        <v>80500</v>
      </c>
      <c r="F49" s="136" t="s">
        <v>544</v>
      </c>
    </row>
    <row r="50" spans="1:6" ht="15.75" customHeight="1">
      <c r="A50" s="129" t="s">
        <v>533</v>
      </c>
      <c r="B50" s="167" t="s">
        <v>545</v>
      </c>
      <c r="C50" s="167">
        <v>1</v>
      </c>
      <c r="D50" s="187">
        <v>97750</v>
      </c>
      <c r="E50" s="130">
        <v>97750</v>
      </c>
      <c r="F50" s="169" t="s">
        <v>546</v>
      </c>
    </row>
    <row r="51" spans="1:6" ht="15.75" customHeight="1">
      <c r="A51" s="126" t="s">
        <v>547</v>
      </c>
      <c r="B51" s="132" t="s">
        <v>548</v>
      </c>
      <c r="C51" s="132">
        <v>1</v>
      </c>
      <c r="D51" s="192">
        <v>80000</v>
      </c>
      <c r="E51" s="127">
        <v>80000</v>
      </c>
      <c r="F51" s="136" t="s">
        <v>549</v>
      </c>
    </row>
    <row r="52" spans="1:6" ht="15.75" customHeight="1">
      <c r="A52" s="129" t="s">
        <v>338</v>
      </c>
      <c r="B52" s="167" t="s">
        <v>550</v>
      </c>
      <c r="C52" s="167">
        <v>1</v>
      </c>
      <c r="D52" s="187">
        <v>95000</v>
      </c>
      <c r="E52" s="130">
        <v>95000</v>
      </c>
      <c r="F52" s="169" t="s">
        <v>549</v>
      </c>
    </row>
    <row r="53" spans="1:6" ht="15.75" customHeight="1">
      <c r="A53" s="126" t="s">
        <v>515</v>
      </c>
      <c r="E53" s="127">
        <f>SUM(E39:E52)</f>
        <v>1661226</v>
      </c>
    </row>
    <row r="54" spans="1:6" ht="13">
      <c r="A54" s="129" t="s">
        <v>536</v>
      </c>
      <c r="D54" s="193">
        <v>0.37362637362637363</v>
      </c>
      <c r="E54" s="130">
        <f>E53*D54</f>
        <v>620677.84615384613</v>
      </c>
    </row>
    <row r="55" spans="1:6" ht="13">
      <c r="A55" s="172" t="s">
        <v>517</v>
      </c>
      <c r="E55" s="191">
        <f>SUM(E53:E54)</f>
        <v>2281903.846153846</v>
      </c>
    </row>
    <row r="57" spans="1:6" ht="13">
      <c r="A57" s="162" t="s">
        <v>551</v>
      </c>
      <c r="B57" s="162"/>
      <c r="C57" s="162"/>
      <c r="D57" s="162"/>
      <c r="E57" s="162"/>
      <c r="F57" s="162"/>
    </row>
    <row r="58" spans="1:6" ht="13">
      <c r="A58" s="162"/>
      <c r="B58" s="162"/>
      <c r="C58" s="162"/>
      <c r="D58" s="162"/>
      <c r="E58" s="162"/>
      <c r="F58" s="162"/>
    </row>
    <row r="59" spans="1:6" ht="13">
      <c r="A59" s="123" t="s">
        <v>330</v>
      </c>
      <c r="B59" s="124" t="s">
        <v>331</v>
      </c>
      <c r="C59" s="124" t="s">
        <v>332</v>
      </c>
      <c r="D59" s="124" t="s">
        <v>552</v>
      </c>
      <c r="E59" s="124" t="s">
        <v>334</v>
      </c>
      <c r="F59" s="125" t="s">
        <v>153</v>
      </c>
    </row>
    <row r="60" spans="1:6" ht="13">
      <c r="A60" s="126" t="s">
        <v>335</v>
      </c>
      <c r="B60" s="132" t="s">
        <v>336</v>
      </c>
      <c r="C60" s="132">
        <v>1</v>
      </c>
      <c r="D60" s="127">
        <v>228131</v>
      </c>
      <c r="E60" s="127">
        <f t="shared" ref="E60:E75" si="2">C60*D60</f>
        <v>228131</v>
      </c>
      <c r="F60" s="136" t="s">
        <v>553</v>
      </c>
    </row>
    <row r="61" spans="1:6" ht="13">
      <c r="A61" s="129" t="s">
        <v>338</v>
      </c>
      <c r="B61" s="167" t="s">
        <v>339</v>
      </c>
      <c r="C61" s="167">
        <v>1</v>
      </c>
      <c r="D61" s="130">
        <v>198864</v>
      </c>
      <c r="E61" s="130">
        <f t="shared" si="2"/>
        <v>198864</v>
      </c>
    </row>
    <row r="62" spans="1:6" ht="13">
      <c r="A62" s="126" t="s">
        <v>338</v>
      </c>
      <c r="B62" s="132" t="s">
        <v>504</v>
      </c>
      <c r="C62" s="132">
        <v>2</v>
      </c>
      <c r="D62" s="127">
        <v>136879</v>
      </c>
      <c r="E62" s="127">
        <f t="shared" si="2"/>
        <v>273758</v>
      </c>
      <c r="F62" s="136" t="s">
        <v>554</v>
      </c>
    </row>
    <row r="63" spans="1:6" ht="13">
      <c r="A63" s="129" t="s">
        <v>24</v>
      </c>
      <c r="B63" s="167" t="s">
        <v>506</v>
      </c>
      <c r="C63" s="167">
        <v>1</v>
      </c>
      <c r="D63" s="130">
        <v>106461</v>
      </c>
      <c r="E63" s="130">
        <f t="shared" si="2"/>
        <v>106461</v>
      </c>
    </row>
    <row r="64" spans="1:6" ht="13">
      <c r="A64" s="126" t="s">
        <v>24</v>
      </c>
      <c r="B64" s="132" t="s">
        <v>508</v>
      </c>
      <c r="C64" s="132">
        <v>1</v>
      </c>
      <c r="D64" s="127">
        <v>98857</v>
      </c>
      <c r="E64" s="127">
        <f t="shared" si="2"/>
        <v>98857</v>
      </c>
    </row>
    <row r="65" spans="1:5" ht="13">
      <c r="A65" s="129" t="s">
        <v>347</v>
      </c>
      <c r="B65" s="167" t="s">
        <v>348</v>
      </c>
      <c r="C65" s="167">
        <v>1</v>
      </c>
      <c r="D65" s="130">
        <v>136879</v>
      </c>
      <c r="E65" s="130">
        <f t="shared" si="2"/>
        <v>136879</v>
      </c>
    </row>
    <row r="66" spans="1:5" ht="13">
      <c r="A66" s="126" t="s">
        <v>350</v>
      </c>
      <c r="B66" s="132" t="s">
        <v>351</v>
      </c>
      <c r="C66" s="132">
        <v>1</v>
      </c>
      <c r="D66" s="127">
        <v>91253</v>
      </c>
      <c r="E66" s="127">
        <f t="shared" si="2"/>
        <v>91253</v>
      </c>
    </row>
    <row r="67" spans="1:5" ht="13">
      <c r="A67" s="129" t="s">
        <v>353</v>
      </c>
      <c r="B67" s="167" t="s">
        <v>512</v>
      </c>
      <c r="C67" s="167">
        <v>1</v>
      </c>
      <c r="D67" s="130">
        <v>129275</v>
      </c>
      <c r="E67" s="130">
        <f t="shared" si="2"/>
        <v>129275</v>
      </c>
    </row>
    <row r="68" spans="1:5" ht="13">
      <c r="A68" s="126" t="s">
        <v>356</v>
      </c>
      <c r="B68" s="132" t="s">
        <v>357</v>
      </c>
      <c r="C68" s="132">
        <v>1</v>
      </c>
      <c r="D68" s="127">
        <v>121670</v>
      </c>
      <c r="E68" s="127">
        <f t="shared" si="2"/>
        <v>121670</v>
      </c>
    </row>
    <row r="69" spans="1:5" ht="13">
      <c r="A69" s="129" t="s">
        <v>338</v>
      </c>
      <c r="B69" s="167" t="s">
        <v>555</v>
      </c>
      <c r="C69" s="167">
        <v>1</v>
      </c>
      <c r="D69" s="130">
        <v>119025</v>
      </c>
      <c r="E69" s="130">
        <f t="shared" si="2"/>
        <v>119025</v>
      </c>
    </row>
    <row r="70" spans="1:5" ht="13">
      <c r="A70" s="126" t="s">
        <v>24</v>
      </c>
      <c r="B70" s="132" t="s">
        <v>556</v>
      </c>
      <c r="C70" s="132">
        <v>1</v>
      </c>
      <c r="D70" s="127">
        <v>92575</v>
      </c>
      <c r="E70" s="127">
        <f t="shared" si="2"/>
        <v>92575</v>
      </c>
    </row>
    <row r="71" spans="1:5" ht="13">
      <c r="A71" s="129" t="s">
        <v>533</v>
      </c>
      <c r="B71" s="167" t="s">
        <v>557</v>
      </c>
      <c r="C71" s="167">
        <v>1</v>
      </c>
      <c r="D71" s="130">
        <v>112413</v>
      </c>
      <c r="E71" s="130">
        <f t="shared" si="2"/>
        <v>112413</v>
      </c>
    </row>
    <row r="72" spans="1:5" ht="13">
      <c r="A72" s="126" t="s">
        <v>547</v>
      </c>
      <c r="B72" s="132" t="s">
        <v>558</v>
      </c>
      <c r="C72" s="132">
        <v>1</v>
      </c>
      <c r="D72" s="127">
        <v>92000</v>
      </c>
      <c r="E72" s="127">
        <f t="shared" si="2"/>
        <v>92000</v>
      </c>
    </row>
    <row r="73" spans="1:5" ht="13">
      <c r="A73" s="129" t="s">
        <v>338</v>
      </c>
      <c r="B73" s="167" t="s">
        <v>559</v>
      </c>
      <c r="C73" s="167">
        <v>1</v>
      </c>
      <c r="D73" s="130">
        <v>109250</v>
      </c>
      <c r="E73" s="130">
        <f t="shared" si="2"/>
        <v>109250</v>
      </c>
    </row>
    <row r="74" spans="1:5" ht="13">
      <c r="A74" s="126" t="s">
        <v>560</v>
      </c>
      <c r="B74" s="132" t="s">
        <v>561</v>
      </c>
      <c r="C74" s="132">
        <v>1</v>
      </c>
      <c r="D74" s="127">
        <v>75000</v>
      </c>
      <c r="E74" s="127">
        <f t="shared" si="2"/>
        <v>75000</v>
      </c>
    </row>
    <row r="75" spans="1:5" ht="13">
      <c r="A75" s="129" t="s">
        <v>562</v>
      </c>
      <c r="B75" s="167" t="s">
        <v>563</v>
      </c>
      <c r="C75" s="167">
        <v>1</v>
      </c>
      <c r="D75" s="130">
        <v>100000</v>
      </c>
      <c r="E75" s="130">
        <f t="shared" si="2"/>
        <v>100000</v>
      </c>
    </row>
    <row r="76" spans="1:5" ht="13">
      <c r="A76" s="126" t="s">
        <v>515</v>
      </c>
      <c r="E76" s="127">
        <f>SUM(E60:E75)</f>
        <v>2085411</v>
      </c>
    </row>
    <row r="77" spans="1:5" ht="13">
      <c r="A77" s="129" t="s">
        <v>536</v>
      </c>
      <c r="D77" s="193">
        <v>0.37362637362637363</v>
      </c>
      <c r="E77" s="130">
        <f>E76*D77</f>
        <v>779164.54945054941</v>
      </c>
    </row>
    <row r="78" spans="1:5" ht="13">
      <c r="A78" s="172" t="s">
        <v>517</v>
      </c>
      <c r="E78" s="191">
        <f>SUM(E76:E77)</f>
        <v>2864575.5494505493</v>
      </c>
    </row>
    <row r="80" spans="1:5" ht="13">
      <c r="A80" s="162" t="s">
        <v>564</v>
      </c>
    </row>
    <row r="82" spans="1:7" ht="13">
      <c r="A82" s="123" t="s">
        <v>330</v>
      </c>
      <c r="B82" s="124" t="s">
        <v>331</v>
      </c>
      <c r="C82" s="124" t="s">
        <v>565</v>
      </c>
      <c r="D82" s="124" t="s">
        <v>333</v>
      </c>
      <c r="E82" s="124" t="s">
        <v>566</v>
      </c>
      <c r="F82" s="125" t="s">
        <v>153</v>
      </c>
      <c r="G82" s="162"/>
    </row>
    <row r="83" spans="1:7" ht="13">
      <c r="A83" s="126" t="s">
        <v>567</v>
      </c>
      <c r="B83" s="132" t="s">
        <v>341</v>
      </c>
      <c r="C83" s="132">
        <v>1</v>
      </c>
      <c r="D83" s="127">
        <v>110000</v>
      </c>
      <c r="E83" s="127">
        <f t="shared" ref="E83:E88" si="3">C83*D83</f>
        <v>110000</v>
      </c>
      <c r="F83" s="136" t="s">
        <v>568</v>
      </c>
      <c r="G83" s="162"/>
    </row>
    <row r="84" spans="1:7" ht="13">
      <c r="A84" s="129" t="s">
        <v>338</v>
      </c>
      <c r="B84" s="167" t="s">
        <v>341</v>
      </c>
      <c r="C84" s="167">
        <v>2</v>
      </c>
      <c r="D84" s="130">
        <v>90000</v>
      </c>
      <c r="E84" s="130">
        <f t="shared" si="3"/>
        <v>180000</v>
      </c>
      <c r="F84" s="169" t="s">
        <v>505</v>
      </c>
      <c r="G84" s="162"/>
    </row>
    <row r="85" spans="1:7" ht="13">
      <c r="A85" s="126" t="s">
        <v>24</v>
      </c>
      <c r="B85" s="132" t="s">
        <v>343</v>
      </c>
      <c r="C85" s="132">
        <v>1</v>
      </c>
      <c r="D85" s="127">
        <v>70000</v>
      </c>
      <c r="E85" s="127">
        <f t="shared" si="3"/>
        <v>70000</v>
      </c>
      <c r="F85" s="136" t="s">
        <v>569</v>
      </c>
    </row>
    <row r="86" spans="1:7" ht="13">
      <c r="A86" s="129" t="s">
        <v>24</v>
      </c>
      <c r="B86" s="167" t="s">
        <v>345</v>
      </c>
      <c r="C86" s="167">
        <v>1</v>
      </c>
      <c r="D86" s="130">
        <v>65000</v>
      </c>
      <c r="E86" s="130">
        <f t="shared" si="3"/>
        <v>65000</v>
      </c>
      <c r="F86" s="169" t="s">
        <v>509</v>
      </c>
      <c r="G86" s="162"/>
    </row>
    <row r="87" spans="1:7" ht="13">
      <c r="A87" s="126" t="s">
        <v>353</v>
      </c>
      <c r="B87" s="132" t="s">
        <v>512</v>
      </c>
      <c r="C87" s="132">
        <v>1</v>
      </c>
      <c r="D87" s="127">
        <v>85000</v>
      </c>
      <c r="E87" s="127">
        <f t="shared" si="3"/>
        <v>85000</v>
      </c>
      <c r="F87" s="136" t="s">
        <v>570</v>
      </c>
      <c r="G87" s="162"/>
    </row>
    <row r="88" spans="1:7" ht="13">
      <c r="A88" s="129" t="s">
        <v>353</v>
      </c>
      <c r="B88" s="167" t="s">
        <v>512</v>
      </c>
      <c r="C88" s="167">
        <v>1</v>
      </c>
      <c r="D88" s="130">
        <v>85000</v>
      </c>
      <c r="E88" s="130">
        <f t="shared" si="3"/>
        <v>85000</v>
      </c>
      <c r="F88" s="169" t="s">
        <v>513</v>
      </c>
      <c r="G88" s="162"/>
    </row>
    <row r="89" spans="1:7" ht="13">
      <c r="A89" s="126" t="s">
        <v>515</v>
      </c>
      <c r="B89" s="132" t="s">
        <v>359</v>
      </c>
      <c r="C89" s="132" t="s">
        <v>359</v>
      </c>
      <c r="D89" s="127">
        <v>320000</v>
      </c>
      <c r="E89" s="127">
        <f>SUM(E83:E88)</f>
        <v>595000</v>
      </c>
      <c r="F89" s="136" t="s">
        <v>359</v>
      </c>
      <c r="G89" s="162"/>
    </row>
    <row r="90" spans="1:7" ht="13">
      <c r="A90" s="129" t="s">
        <v>536</v>
      </c>
      <c r="B90" s="167" t="s">
        <v>359</v>
      </c>
      <c r="C90" s="167" t="s">
        <v>359</v>
      </c>
      <c r="D90" s="193">
        <v>0.37359999999999999</v>
      </c>
      <c r="E90" s="130">
        <f>E89*D90</f>
        <v>222292</v>
      </c>
      <c r="F90" s="169" t="s">
        <v>359</v>
      </c>
      <c r="G90" s="162"/>
    </row>
    <row r="91" spans="1:7" ht="13">
      <c r="A91" s="172" t="s">
        <v>517</v>
      </c>
      <c r="B91" s="173" t="s">
        <v>359</v>
      </c>
      <c r="C91" s="173" t="s">
        <v>359</v>
      </c>
      <c r="D91" s="173" t="s">
        <v>359</v>
      </c>
      <c r="E91" s="191">
        <f>SUM(E89:E90)</f>
        <v>817292</v>
      </c>
      <c r="F91" s="175" t="s">
        <v>359</v>
      </c>
      <c r="G91" s="162"/>
    </row>
    <row r="93" spans="1:7" ht="13">
      <c r="A93" s="162" t="s">
        <v>571</v>
      </c>
      <c r="B93" s="162"/>
      <c r="C93" s="162"/>
      <c r="D93" s="162"/>
      <c r="E93" s="162"/>
      <c r="F93" s="162"/>
    </row>
    <row r="94" spans="1:7" ht="13">
      <c r="A94" s="162"/>
      <c r="B94" s="162"/>
      <c r="C94" s="162"/>
      <c r="D94" s="162"/>
      <c r="E94" s="162"/>
      <c r="F94" s="162"/>
    </row>
    <row r="95" spans="1:7" ht="13">
      <c r="A95" s="123" t="s">
        <v>330</v>
      </c>
      <c r="B95" s="124" t="s">
        <v>331</v>
      </c>
      <c r="C95" s="124" t="s">
        <v>565</v>
      </c>
      <c r="D95" s="124" t="s">
        <v>333</v>
      </c>
      <c r="E95" s="124" t="s">
        <v>566</v>
      </c>
      <c r="F95" s="125" t="s">
        <v>153</v>
      </c>
    </row>
    <row r="96" spans="1:7" ht="13">
      <c r="A96" s="126" t="s">
        <v>572</v>
      </c>
      <c r="B96" s="132" t="s">
        <v>573</v>
      </c>
      <c r="C96" s="132">
        <v>1</v>
      </c>
      <c r="D96" s="132">
        <v>126500</v>
      </c>
      <c r="E96" s="132">
        <f t="shared" ref="E96:E101" si="4">C96*D96</f>
        <v>126500</v>
      </c>
      <c r="F96" s="136" t="s">
        <v>574</v>
      </c>
    </row>
    <row r="97" spans="1:6" ht="13">
      <c r="A97" s="129" t="s">
        <v>338</v>
      </c>
      <c r="B97" s="167" t="s">
        <v>341</v>
      </c>
      <c r="C97" s="167">
        <v>3</v>
      </c>
      <c r="D97" s="167">
        <v>103500</v>
      </c>
      <c r="E97" s="167">
        <f t="shared" si="4"/>
        <v>310500</v>
      </c>
      <c r="F97" s="169" t="s">
        <v>575</v>
      </c>
    </row>
    <row r="98" spans="1:6" ht="13">
      <c r="A98" s="126" t="s">
        <v>24</v>
      </c>
      <c r="B98" s="132" t="s">
        <v>343</v>
      </c>
      <c r="C98" s="132">
        <v>1</v>
      </c>
      <c r="D98" s="132">
        <v>80500</v>
      </c>
      <c r="E98" s="132">
        <f t="shared" si="4"/>
        <v>80500</v>
      </c>
      <c r="F98" s="136" t="s">
        <v>576</v>
      </c>
    </row>
    <row r="99" spans="1:6" ht="13">
      <c r="A99" s="129" t="s">
        <v>24</v>
      </c>
      <c r="B99" s="167" t="s">
        <v>345</v>
      </c>
      <c r="C99" s="167">
        <v>1</v>
      </c>
      <c r="D99" s="167">
        <v>74750</v>
      </c>
      <c r="E99" s="167">
        <f t="shared" si="4"/>
        <v>74750</v>
      </c>
      <c r="F99" s="169" t="s">
        <v>577</v>
      </c>
    </row>
    <row r="100" spans="1:6" ht="13">
      <c r="A100" s="126" t="s">
        <v>353</v>
      </c>
      <c r="B100" s="132" t="s">
        <v>512</v>
      </c>
      <c r="C100" s="132">
        <v>1</v>
      </c>
      <c r="D100" s="132">
        <v>97750</v>
      </c>
      <c r="E100" s="132">
        <f t="shared" si="4"/>
        <v>97750</v>
      </c>
      <c r="F100" s="136" t="s">
        <v>578</v>
      </c>
    </row>
    <row r="101" spans="1:6" ht="13">
      <c r="A101" s="129" t="s">
        <v>353</v>
      </c>
      <c r="B101" s="167" t="s">
        <v>512</v>
      </c>
      <c r="C101" s="167">
        <v>1</v>
      </c>
      <c r="D101" s="167">
        <v>97750</v>
      </c>
      <c r="E101" s="167">
        <f t="shared" si="4"/>
        <v>97750</v>
      </c>
      <c r="F101" s="169" t="s">
        <v>579</v>
      </c>
    </row>
    <row r="102" spans="1:6" ht="13">
      <c r="A102" s="126" t="s">
        <v>515</v>
      </c>
      <c r="B102" s="132" t="s">
        <v>359</v>
      </c>
      <c r="C102" s="132" t="s">
        <v>359</v>
      </c>
      <c r="D102" s="194"/>
      <c r="E102" s="194">
        <f>SUM(E96:E101)</f>
        <v>787750</v>
      </c>
      <c r="F102" s="136" t="s">
        <v>359</v>
      </c>
    </row>
    <row r="103" spans="1:6" ht="13">
      <c r="A103" s="129" t="s">
        <v>536</v>
      </c>
      <c r="B103" s="167" t="s">
        <v>359</v>
      </c>
      <c r="C103" s="167" t="s">
        <v>359</v>
      </c>
      <c r="D103" s="193">
        <v>0.37359999999999999</v>
      </c>
      <c r="E103" s="137">
        <f>D103*E102</f>
        <v>294303.39999999997</v>
      </c>
      <c r="F103" s="169" t="s">
        <v>359</v>
      </c>
    </row>
    <row r="104" spans="1:6" ht="13">
      <c r="A104" s="172" t="s">
        <v>517</v>
      </c>
      <c r="B104" s="173" t="s">
        <v>359</v>
      </c>
      <c r="C104" s="173" t="s">
        <v>359</v>
      </c>
      <c r="D104" s="195"/>
      <c r="E104" s="195">
        <f>SUM(E102:E103)</f>
        <v>1082053.3999999999</v>
      </c>
      <c r="F104" s="175"/>
    </row>
    <row r="106" spans="1:6" ht="13">
      <c r="A106" s="162" t="s">
        <v>580</v>
      </c>
    </row>
    <row r="108" spans="1:6" ht="13">
      <c r="A108" s="123" t="s">
        <v>330</v>
      </c>
      <c r="B108" s="124" t="s">
        <v>331</v>
      </c>
      <c r="C108" s="124" t="s">
        <v>565</v>
      </c>
      <c r="D108" s="124" t="s">
        <v>333</v>
      </c>
      <c r="E108" s="124" t="s">
        <v>566</v>
      </c>
      <c r="F108" s="125" t="s">
        <v>153</v>
      </c>
    </row>
    <row r="109" spans="1:6" ht="13">
      <c r="A109" s="126" t="s">
        <v>572</v>
      </c>
      <c r="B109" s="132" t="s">
        <v>573</v>
      </c>
      <c r="C109" s="132">
        <v>1</v>
      </c>
      <c r="D109" s="127">
        <v>145475</v>
      </c>
      <c r="E109" s="127">
        <f t="shared" ref="E109:E114" si="5">C109*D109</f>
        <v>145475</v>
      </c>
      <c r="F109" s="136" t="s">
        <v>574</v>
      </c>
    </row>
    <row r="110" spans="1:6" ht="13">
      <c r="A110" s="129" t="s">
        <v>338</v>
      </c>
      <c r="B110" s="167" t="s">
        <v>341</v>
      </c>
      <c r="C110" s="167">
        <v>3</v>
      </c>
      <c r="D110" s="130">
        <v>119024.99999999999</v>
      </c>
      <c r="E110" s="130">
        <f t="shared" si="5"/>
        <v>357074.99999999994</v>
      </c>
      <c r="F110" s="169" t="s">
        <v>575</v>
      </c>
    </row>
    <row r="111" spans="1:6" ht="13">
      <c r="A111" s="126" t="s">
        <v>24</v>
      </c>
      <c r="B111" s="132" t="s">
        <v>343</v>
      </c>
      <c r="C111" s="132">
        <v>1</v>
      </c>
      <c r="D111" s="127">
        <v>92575</v>
      </c>
      <c r="E111" s="127">
        <f t="shared" si="5"/>
        <v>92575</v>
      </c>
      <c r="F111" s="136" t="s">
        <v>576</v>
      </c>
    </row>
    <row r="112" spans="1:6" ht="13">
      <c r="A112" s="129" t="s">
        <v>24</v>
      </c>
      <c r="B112" s="167" t="s">
        <v>345</v>
      </c>
      <c r="C112" s="167">
        <v>1</v>
      </c>
      <c r="D112" s="130">
        <v>85962.5</v>
      </c>
      <c r="E112" s="130">
        <f t="shared" si="5"/>
        <v>85962.5</v>
      </c>
      <c r="F112" s="169" t="s">
        <v>577</v>
      </c>
    </row>
    <row r="113" spans="1:6" ht="13">
      <c r="A113" s="126" t="s">
        <v>353</v>
      </c>
      <c r="B113" s="132" t="s">
        <v>512</v>
      </c>
      <c r="C113" s="132">
        <v>1</v>
      </c>
      <c r="D113" s="127">
        <v>112412.49999999999</v>
      </c>
      <c r="E113" s="127">
        <f t="shared" si="5"/>
        <v>112412.49999999999</v>
      </c>
      <c r="F113" s="136" t="s">
        <v>578</v>
      </c>
    </row>
    <row r="114" spans="1:6" ht="13">
      <c r="A114" s="129" t="s">
        <v>353</v>
      </c>
      <c r="B114" s="167" t="s">
        <v>512</v>
      </c>
      <c r="C114" s="167">
        <v>1</v>
      </c>
      <c r="D114" s="130">
        <v>112412.49999999999</v>
      </c>
      <c r="E114" s="130">
        <f t="shared" si="5"/>
        <v>112412.49999999999</v>
      </c>
      <c r="F114" s="169" t="s">
        <v>579</v>
      </c>
    </row>
    <row r="115" spans="1:6" ht="13">
      <c r="A115" s="126" t="s">
        <v>515</v>
      </c>
      <c r="B115" s="132" t="s">
        <v>359</v>
      </c>
      <c r="C115" s="132" t="s">
        <v>359</v>
      </c>
      <c r="D115" s="194"/>
      <c r="E115" s="194">
        <f>SUM(E109:E114)</f>
        <v>905912.5</v>
      </c>
      <c r="F115" s="136" t="s">
        <v>359</v>
      </c>
    </row>
    <row r="116" spans="1:6" ht="13">
      <c r="A116" s="129" t="s">
        <v>536</v>
      </c>
      <c r="B116" s="167" t="s">
        <v>359</v>
      </c>
      <c r="C116" s="167" t="s">
        <v>359</v>
      </c>
      <c r="D116" s="193">
        <v>0.37359999999999999</v>
      </c>
      <c r="E116" s="137">
        <f>D116*E115</f>
        <v>338448.91</v>
      </c>
      <c r="F116" s="169" t="s">
        <v>359</v>
      </c>
    </row>
    <row r="117" spans="1:6" ht="13">
      <c r="A117" s="172" t="s">
        <v>517</v>
      </c>
      <c r="B117" s="173" t="s">
        <v>359</v>
      </c>
      <c r="C117" s="173" t="s">
        <v>359</v>
      </c>
      <c r="D117" s="195"/>
      <c r="E117" s="195">
        <f>SUM(E115:E116)</f>
        <v>1244361.4099999999</v>
      </c>
      <c r="F117" s="175"/>
    </row>
    <row r="119" spans="1:6" ht="13">
      <c r="A119" s="162" t="s">
        <v>581</v>
      </c>
    </row>
    <row r="121" spans="1:6" ht="13">
      <c r="A121" s="123" t="s">
        <v>330</v>
      </c>
      <c r="B121" s="124" t="s">
        <v>331</v>
      </c>
      <c r="C121" s="124" t="s">
        <v>565</v>
      </c>
      <c r="D121" s="124" t="s">
        <v>333</v>
      </c>
      <c r="E121" s="124" t="s">
        <v>566</v>
      </c>
      <c r="F121" s="125" t="s">
        <v>153</v>
      </c>
    </row>
    <row r="122" spans="1:6" ht="13">
      <c r="A122" s="126" t="s">
        <v>572</v>
      </c>
      <c r="B122" s="132" t="s">
        <v>573</v>
      </c>
      <c r="C122" s="132">
        <v>1</v>
      </c>
      <c r="D122" s="127">
        <v>167296.25</v>
      </c>
      <c r="E122" s="127">
        <f t="shared" ref="E122:E127" si="6">C122*D122</f>
        <v>167296.25</v>
      </c>
      <c r="F122" s="136" t="s">
        <v>574</v>
      </c>
    </row>
    <row r="123" spans="1:6" ht="13">
      <c r="A123" s="129" t="s">
        <v>338</v>
      </c>
      <c r="B123" s="167" t="s">
        <v>341</v>
      </c>
      <c r="C123" s="167">
        <v>3</v>
      </c>
      <c r="D123" s="130">
        <v>136878.74999999997</v>
      </c>
      <c r="E123" s="130">
        <f t="shared" si="6"/>
        <v>410636.24999999988</v>
      </c>
      <c r="F123" s="169" t="s">
        <v>575</v>
      </c>
    </row>
    <row r="124" spans="1:6" ht="13">
      <c r="A124" s="126" t="s">
        <v>24</v>
      </c>
      <c r="B124" s="132" t="s">
        <v>343</v>
      </c>
      <c r="C124" s="132">
        <v>1</v>
      </c>
      <c r="D124" s="127">
        <v>106461.24999999999</v>
      </c>
      <c r="E124" s="127">
        <f t="shared" si="6"/>
        <v>106461.24999999999</v>
      </c>
      <c r="F124" s="136" t="s">
        <v>576</v>
      </c>
    </row>
    <row r="125" spans="1:6" ht="13">
      <c r="A125" s="129" t="s">
        <v>24</v>
      </c>
      <c r="B125" s="167" t="s">
        <v>345</v>
      </c>
      <c r="C125" s="167">
        <v>1</v>
      </c>
      <c r="D125" s="130">
        <v>98856.874999999985</v>
      </c>
      <c r="E125" s="130">
        <f t="shared" si="6"/>
        <v>98856.874999999985</v>
      </c>
      <c r="F125" s="169" t="s">
        <v>577</v>
      </c>
    </row>
    <row r="126" spans="1:6" ht="13">
      <c r="A126" s="126" t="s">
        <v>353</v>
      </c>
      <c r="B126" s="132" t="s">
        <v>512</v>
      </c>
      <c r="C126" s="132">
        <v>1</v>
      </c>
      <c r="D126" s="127">
        <v>129274.37499999997</v>
      </c>
      <c r="E126" s="127">
        <f t="shared" si="6"/>
        <v>129274.37499999997</v>
      </c>
      <c r="F126" s="136" t="s">
        <v>578</v>
      </c>
    </row>
    <row r="127" spans="1:6" ht="13">
      <c r="A127" s="129" t="s">
        <v>353</v>
      </c>
      <c r="B127" s="167" t="s">
        <v>512</v>
      </c>
      <c r="C127" s="167">
        <v>1</v>
      </c>
      <c r="D127" s="130">
        <v>129274.37499999997</v>
      </c>
      <c r="E127" s="130">
        <f t="shared" si="6"/>
        <v>129274.37499999997</v>
      </c>
      <c r="F127" s="169" t="s">
        <v>579</v>
      </c>
    </row>
    <row r="128" spans="1:6" ht="13">
      <c r="A128" s="126" t="s">
        <v>515</v>
      </c>
      <c r="B128" s="132" t="s">
        <v>359</v>
      </c>
      <c r="C128" s="132" t="s">
        <v>359</v>
      </c>
      <c r="D128" s="194"/>
      <c r="E128" s="194">
        <f>SUM(E122:E127)</f>
        <v>1041799.3749999999</v>
      </c>
      <c r="F128" s="136" t="s">
        <v>359</v>
      </c>
    </row>
    <row r="129" spans="1:6" ht="13">
      <c r="A129" s="129" t="s">
        <v>536</v>
      </c>
      <c r="B129" s="167" t="s">
        <v>359</v>
      </c>
      <c r="C129" s="167" t="s">
        <v>359</v>
      </c>
      <c r="D129" s="193">
        <v>0.37359999999999999</v>
      </c>
      <c r="E129" s="137">
        <f>D129*E128</f>
        <v>389216.24649999995</v>
      </c>
      <c r="F129" s="169" t="s">
        <v>359</v>
      </c>
    </row>
    <row r="130" spans="1:6" ht="13">
      <c r="A130" s="172" t="s">
        <v>517</v>
      </c>
      <c r="B130" s="173" t="s">
        <v>359</v>
      </c>
      <c r="C130" s="173" t="s">
        <v>359</v>
      </c>
      <c r="D130" s="195"/>
      <c r="E130" s="195">
        <f>SUM(E128:E129)</f>
        <v>1431015.6214999999</v>
      </c>
      <c r="F130" s="175"/>
    </row>
  </sheetData>
  <dataValidations count="1">
    <dataValidation type="custom" allowBlank="1" showDropDown="1" sqref="E4:E15 E20:E34 E39:E55 E60:E78 E83:E91" xr:uid="{00000000-0002-0000-0700-000000000000}">
      <formula1>AND(ISNUMBER(E4),(NOT(OR(NOT(ISERROR(DATEVALUE(E4))), AND(ISNUMBER(E4), LEFT(CELL("format", E4))="D")))))</formula1>
    </dataValidation>
  </dataValidation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2:L8"/>
  <sheetViews>
    <sheetView showGridLines="0" workbookViewId="0"/>
  </sheetViews>
  <sheetFormatPr baseColWidth="10" defaultColWidth="12.6640625" defaultRowHeight="15.75" customHeight="1"/>
  <cols>
    <col min="1" max="1" width="4.83203125" customWidth="1"/>
    <col min="4" max="4" width="13.83203125" customWidth="1"/>
    <col min="6" max="6" width="14.6640625" customWidth="1"/>
    <col min="7" max="7" width="18.33203125" customWidth="1"/>
    <col min="9" max="9" width="19" customWidth="1"/>
    <col min="10" max="10" width="17.5" customWidth="1"/>
    <col min="12" max="12" width="13" customWidth="1"/>
  </cols>
  <sheetData>
    <row r="2" spans="2:12" ht="15.75" customHeight="1">
      <c r="B2" s="123" t="s">
        <v>582</v>
      </c>
      <c r="C2" s="124" t="s">
        <v>583</v>
      </c>
      <c r="D2" s="124" t="s">
        <v>584</v>
      </c>
      <c r="E2" s="124" t="s">
        <v>585</v>
      </c>
      <c r="F2" s="124" t="s">
        <v>586</v>
      </c>
      <c r="G2" s="124" t="s">
        <v>587</v>
      </c>
      <c r="H2" s="124" t="s">
        <v>588</v>
      </c>
      <c r="I2" s="124" t="s">
        <v>589</v>
      </c>
      <c r="J2" s="124" t="s">
        <v>590</v>
      </c>
      <c r="K2" s="124" t="s">
        <v>591</v>
      </c>
      <c r="L2" s="125" t="s">
        <v>592</v>
      </c>
    </row>
    <row r="3" spans="2:12" ht="15.75" customHeight="1">
      <c r="B3" s="126">
        <v>1</v>
      </c>
      <c r="C3" s="132">
        <v>0.9</v>
      </c>
      <c r="D3" s="132">
        <f t="shared" ref="D3:D8" si="0">B3*1000*C3</f>
        <v>900</v>
      </c>
      <c r="E3" s="132">
        <f t="shared" ref="E3:E8" si="1">(D3*24)/42.23</f>
        <v>511.48472649775044</v>
      </c>
      <c r="F3" s="132">
        <f t="shared" ref="F3:F8" si="2">E3*3.81</f>
        <v>1948.7568079564292</v>
      </c>
      <c r="G3" s="132">
        <f t="shared" ref="G3:G8" si="3">19000*12</f>
        <v>228000</v>
      </c>
      <c r="H3" s="132">
        <v>1250000</v>
      </c>
      <c r="I3" s="132">
        <f t="shared" ref="I3:I8" si="4">(G3+H3)/(E3*365)</f>
        <v>7.9167858954845247</v>
      </c>
      <c r="J3" s="132">
        <f t="shared" ref="J3:J8" si="5">I3+(F3/E3)</f>
        <v>11.726785895484525</v>
      </c>
      <c r="K3" s="132">
        <v>25</v>
      </c>
      <c r="L3" s="136">
        <f t="shared" ref="L3:L8" si="6">(K3-J3)/K3</f>
        <v>0.53092856418061896</v>
      </c>
    </row>
    <row r="4" spans="2:12" ht="15.75" customHeight="1">
      <c r="B4" s="129">
        <v>2</v>
      </c>
      <c r="C4" s="167">
        <v>0.9</v>
      </c>
      <c r="D4" s="167">
        <f t="shared" si="0"/>
        <v>1800</v>
      </c>
      <c r="E4" s="167">
        <f t="shared" si="1"/>
        <v>1022.9694529955009</v>
      </c>
      <c r="F4" s="167">
        <f t="shared" si="2"/>
        <v>3897.5136159128583</v>
      </c>
      <c r="G4" s="167">
        <f t="shared" si="3"/>
        <v>228000</v>
      </c>
      <c r="H4" s="167">
        <v>1250000</v>
      </c>
      <c r="I4" s="167">
        <f t="shared" si="4"/>
        <v>3.9583929477422624</v>
      </c>
      <c r="J4" s="167">
        <f t="shared" si="5"/>
        <v>7.768392947742262</v>
      </c>
      <c r="K4" s="167">
        <v>25</v>
      </c>
      <c r="L4" s="169">
        <f t="shared" si="6"/>
        <v>0.68926428209030943</v>
      </c>
    </row>
    <row r="5" spans="2:12" ht="15.75" customHeight="1">
      <c r="B5" s="126">
        <v>3</v>
      </c>
      <c r="C5" s="132">
        <v>0.9</v>
      </c>
      <c r="D5" s="132">
        <f t="shared" si="0"/>
        <v>2700</v>
      </c>
      <c r="E5" s="132">
        <f t="shared" si="1"/>
        <v>1534.4541794932513</v>
      </c>
      <c r="F5" s="132">
        <f t="shared" si="2"/>
        <v>5846.2704238692877</v>
      </c>
      <c r="G5" s="132">
        <f t="shared" si="3"/>
        <v>228000</v>
      </c>
      <c r="H5" s="132">
        <v>1250000</v>
      </c>
      <c r="I5" s="132">
        <f t="shared" si="4"/>
        <v>2.6389286318281751</v>
      </c>
      <c r="J5" s="132">
        <f t="shared" si="5"/>
        <v>6.4489286318281751</v>
      </c>
      <c r="K5" s="132">
        <v>25</v>
      </c>
      <c r="L5" s="136">
        <f t="shared" si="6"/>
        <v>0.74204285472687304</v>
      </c>
    </row>
    <row r="6" spans="2:12" ht="15.75" customHeight="1">
      <c r="B6" s="129">
        <v>4</v>
      </c>
      <c r="C6" s="167">
        <v>0.9</v>
      </c>
      <c r="D6" s="167">
        <f t="shared" si="0"/>
        <v>3600</v>
      </c>
      <c r="E6" s="167">
        <f t="shared" si="1"/>
        <v>2045.9389059910018</v>
      </c>
      <c r="F6" s="167">
        <f t="shared" si="2"/>
        <v>7795.0272318257166</v>
      </c>
      <c r="G6" s="167">
        <f t="shared" si="3"/>
        <v>228000</v>
      </c>
      <c r="H6" s="167">
        <v>1250000</v>
      </c>
      <c r="I6" s="167">
        <f t="shared" si="4"/>
        <v>1.9791964738711312</v>
      </c>
      <c r="J6" s="167">
        <f t="shared" si="5"/>
        <v>5.7891964738711312</v>
      </c>
      <c r="K6" s="167">
        <v>25</v>
      </c>
      <c r="L6" s="169">
        <f t="shared" si="6"/>
        <v>0.76843214104515478</v>
      </c>
    </row>
    <row r="7" spans="2:12" ht="15.75" customHeight="1">
      <c r="B7" s="126">
        <v>5</v>
      </c>
      <c r="C7" s="132">
        <v>0.9</v>
      </c>
      <c r="D7" s="132">
        <f t="shared" si="0"/>
        <v>4500</v>
      </c>
      <c r="E7" s="132">
        <f t="shared" si="1"/>
        <v>2557.4236324887524</v>
      </c>
      <c r="F7" s="132">
        <f t="shared" si="2"/>
        <v>9743.7840397821474</v>
      </c>
      <c r="G7" s="132">
        <f t="shared" si="3"/>
        <v>228000</v>
      </c>
      <c r="H7" s="132">
        <v>1250000</v>
      </c>
      <c r="I7" s="132">
        <f t="shared" si="4"/>
        <v>1.5833571790969048</v>
      </c>
      <c r="J7" s="132">
        <f t="shared" si="5"/>
        <v>5.3933571790969044</v>
      </c>
      <c r="K7" s="132">
        <v>25</v>
      </c>
      <c r="L7" s="136">
        <f t="shared" si="6"/>
        <v>0.7842657128361239</v>
      </c>
    </row>
    <row r="8" spans="2:12" ht="15.75" customHeight="1">
      <c r="B8" s="133">
        <v>6</v>
      </c>
      <c r="C8" s="189">
        <v>0.9</v>
      </c>
      <c r="D8" s="189">
        <f t="shared" si="0"/>
        <v>5400</v>
      </c>
      <c r="E8" s="189">
        <f t="shared" si="1"/>
        <v>3068.9083589865027</v>
      </c>
      <c r="F8" s="189">
        <f t="shared" si="2"/>
        <v>11692.540847738575</v>
      </c>
      <c r="G8" s="189">
        <f t="shared" si="3"/>
        <v>228000</v>
      </c>
      <c r="H8" s="189">
        <v>1250000</v>
      </c>
      <c r="I8" s="189">
        <f t="shared" si="4"/>
        <v>1.3194643159140875</v>
      </c>
      <c r="J8" s="189">
        <f t="shared" si="5"/>
        <v>5.1294643159140874</v>
      </c>
      <c r="K8" s="189">
        <v>25</v>
      </c>
      <c r="L8" s="196">
        <f t="shared" si="6"/>
        <v>0.79482142736343642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92"/>
  <sheetViews>
    <sheetView showGridLines="0" workbookViewId="0"/>
  </sheetViews>
  <sheetFormatPr baseColWidth="10" defaultColWidth="12.6640625" defaultRowHeight="15.75" customHeight="1"/>
  <cols>
    <col min="1" max="1" width="33.6640625" customWidth="1"/>
    <col min="2" max="2" width="67.5" customWidth="1"/>
    <col min="3" max="3" width="29.6640625" customWidth="1"/>
  </cols>
  <sheetData>
    <row r="1" spans="1:3" ht="15.75" customHeight="1">
      <c r="A1" s="162" t="s">
        <v>593</v>
      </c>
      <c r="B1" s="162"/>
      <c r="C1" s="162"/>
    </row>
    <row r="2" spans="1:3" ht="15.75" customHeight="1">
      <c r="A2" s="162"/>
      <c r="B2" s="162"/>
      <c r="C2" s="162"/>
    </row>
    <row r="3" spans="1:3" ht="15.75" customHeight="1">
      <c r="A3" s="123" t="s">
        <v>330</v>
      </c>
      <c r="B3" s="124" t="s">
        <v>594</v>
      </c>
      <c r="C3" s="125" t="s">
        <v>595</v>
      </c>
    </row>
    <row r="4" spans="1:3" ht="15.75" customHeight="1">
      <c r="A4" s="126" t="s">
        <v>596</v>
      </c>
      <c r="B4" s="132" t="s">
        <v>597</v>
      </c>
      <c r="C4" s="128">
        <v>50000</v>
      </c>
    </row>
    <row r="5" spans="1:3" ht="15.75" customHeight="1">
      <c r="A5" s="129" t="s">
        <v>598</v>
      </c>
      <c r="B5" s="167" t="s">
        <v>599</v>
      </c>
      <c r="C5" s="131">
        <v>700000</v>
      </c>
    </row>
    <row r="6" spans="1:3" ht="15.75" customHeight="1">
      <c r="A6" s="126" t="s">
        <v>598</v>
      </c>
      <c r="B6" s="132" t="s">
        <v>600</v>
      </c>
      <c r="C6" s="128">
        <v>250000</v>
      </c>
    </row>
    <row r="7" spans="1:3" ht="15.75" customHeight="1">
      <c r="A7" s="129" t="s">
        <v>598</v>
      </c>
      <c r="B7" s="167" t="s">
        <v>601</v>
      </c>
      <c r="C7" s="131">
        <v>200000</v>
      </c>
    </row>
    <row r="8" spans="1:3" ht="15.75" customHeight="1">
      <c r="A8" s="126" t="s">
        <v>598</v>
      </c>
      <c r="B8" s="132" t="s">
        <v>602</v>
      </c>
      <c r="C8" s="128">
        <v>150000</v>
      </c>
    </row>
    <row r="9" spans="1:3" ht="15.75" customHeight="1">
      <c r="A9" s="129" t="s">
        <v>598</v>
      </c>
      <c r="B9" s="167" t="s">
        <v>603</v>
      </c>
      <c r="C9" s="131">
        <v>50000</v>
      </c>
    </row>
    <row r="10" spans="1:3" ht="15.75" customHeight="1">
      <c r="A10" s="126" t="s">
        <v>598</v>
      </c>
      <c r="B10" s="132" t="s">
        <v>604</v>
      </c>
      <c r="C10" s="128">
        <v>30000</v>
      </c>
    </row>
    <row r="11" spans="1:3" ht="15.75" customHeight="1">
      <c r="A11" s="129" t="s">
        <v>598</v>
      </c>
      <c r="B11" s="167" t="s">
        <v>605</v>
      </c>
      <c r="C11" s="131">
        <v>50000</v>
      </c>
    </row>
    <row r="12" spans="1:3" ht="15.75" customHeight="1">
      <c r="A12" s="126" t="s">
        <v>598</v>
      </c>
      <c r="B12" s="132" t="s">
        <v>606</v>
      </c>
      <c r="C12" s="128">
        <v>50000</v>
      </c>
    </row>
    <row r="13" spans="1:3" ht="15.75" customHeight="1">
      <c r="A13" s="129" t="s">
        <v>607</v>
      </c>
      <c r="B13" s="167" t="s">
        <v>608</v>
      </c>
      <c r="C13" s="131">
        <v>140000</v>
      </c>
    </row>
    <row r="14" spans="1:3" ht="15.75" customHeight="1">
      <c r="A14" s="126" t="s">
        <v>607</v>
      </c>
      <c r="B14" s="132" t="s">
        <v>609</v>
      </c>
      <c r="C14" s="128">
        <v>90000</v>
      </c>
    </row>
    <row r="15" spans="1:3" ht="15.75" customHeight="1">
      <c r="A15" s="129" t="s">
        <v>607</v>
      </c>
      <c r="B15" s="167" t="s">
        <v>610</v>
      </c>
      <c r="C15" s="131">
        <v>30000</v>
      </c>
    </row>
    <row r="16" spans="1:3" ht="15.75" customHeight="1">
      <c r="A16" s="126" t="s">
        <v>611</v>
      </c>
      <c r="B16" s="132" t="s">
        <v>612</v>
      </c>
      <c r="C16" s="128">
        <v>40000</v>
      </c>
    </row>
    <row r="17" spans="1:3" ht="15.75" customHeight="1">
      <c r="A17" s="129" t="s">
        <v>611</v>
      </c>
      <c r="B17" s="167" t="s">
        <v>613</v>
      </c>
      <c r="C17" s="131">
        <v>80000</v>
      </c>
    </row>
    <row r="18" spans="1:3" ht="15.75" customHeight="1">
      <c r="A18" s="126" t="s">
        <v>614</v>
      </c>
      <c r="B18" s="132" t="s">
        <v>615</v>
      </c>
      <c r="C18" s="128">
        <v>10000</v>
      </c>
    </row>
    <row r="19" spans="1:3" ht="15.75" customHeight="1">
      <c r="A19" s="129" t="s">
        <v>616</v>
      </c>
      <c r="B19" s="167" t="s">
        <v>617</v>
      </c>
      <c r="C19" s="131">
        <v>150000</v>
      </c>
    </row>
    <row r="20" spans="1:3" ht="15.75" customHeight="1">
      <c r="A20" s="126" t="s">
        <v>616</v>
      </c>
      <c r="B20" s="132" t="s">
        <v>618</v>
      </c>
      <c r="C20" s="128">
        <v>100000</v>
      </c>
    </row>
    <row r="21" spans="1:3" ht="15.75" customHeight="1">
      <c r="A21" s="129" t="s">
        <v>616</v>
      </c>
      <c r="B21" s="167" t="s">
        <v>619</v>
      </c>
      <c r="C21" s="131">
        <v>50000</v>
      </c>
    </row>
    <row r="22" spans="1:3" ht="15.75" customHeight="1">
      <c r="A22" s="126" t="s">
        <v>620</v>
      </c>
      <c r="B22" s="132" t="s">
        <v>621</v>
      </c>
      <c r="C22" s="128">
        <v>50000</v>
      </c>
    </row>
    <row r="23" spans="1:3" ht="15.75" customHeight="1">
      <c r="A23" s="129" t="s">
        <v>620</v>
      </c>
      <c r="B23" s="167" t="s">
        <v>622</v>
      </c>
      <c r="C23" s="131">
        <v>20000</v>
      </c>
    </row>
    <row r="24" spans="1:3" ht="15.75" customHeight="1">
      <c r="A24" s="126" t="s">
        <v>623</v>
      </c>
      <c r="B24" s="132" t="s">
        <v>624</v>
      </c>
      <c r="C24" s="128">
        <v>300000</v>
      </c>
    </row>
    <row r="25" spans="1:3" ht="15.75" customHeight="1">
      <c r="A25" s="129" t="s">
        <v>625</v>
      </c>
      <c r="B25" s="167" t="s">
        <v>626</v>
      </c>
      <c r="C25" s="131">
        <v>50000</v>
      </c>
    </row>
    <row r="26" spans="1:3" ht="15.75" customHeight="1">
      <c r="A26" s="126" t="s">
        <v>625</v>
      </c>
      <c r="B26" s="132" t="s">
        <v>627</v>
      </c>
      <c r="C26" s="128">
        <v>30000</v>
      </c>
    </row>
    <row r="27" spans="1:3" ht="15.75" customHeight="1">
      <c r="A27" s="129" t="s">
        <v>625</v>
      </c>
      <c r="B27" s="167" t="s">
        <v>628</v>
      </c>
      <c r="C27" s="131">
        <v>70000</v>
      </c>
    </row>
    <row r="28" spans="1:3" ht="15.75" customHeight="1">
      <c r="A28" s="126" t="s">
        <v>629</v>
      </c>
      <c r="B28" s="132" t="s">
        <v>630</v>
      </c>
      <c r="C28" s="128">
        <v>460000</v>
      </c>
    </row>
    <row r="29" spans="1:3" ht="15.75" customHeight="1">
      <c r="A29" s="133" t="s">
        <v>631</v>
      </c>
      <c r="B29" s="189" t="s">
        <v>359</v>
      </c>
      <c r="C29" s="135">
        <f>SUM(C4:C28)</f>
        <v>3200000</v>
      </c>
    </row>
    <row r="30" spans="1:3" ht="15.75" customHeight="1">
      <c r="A30" s="162"/>
      <c r="B30" s="162"/>
      <c r="C30" s="162"/>
    </row>
    <row r="31" spans="1:3" ht="15.75" customHeight="1">
      <c r="A31" s="162" t="s">
        <v>632</v>
      </c>
      <c r="B31" s="162"/>
      <c r="C31" s="162"/>
    </row>
    <row r="32" spans="1:3" ht="15.75" customHeight="1">
      <c r="A32" s="162"/>
      <c r="B32" s="162"/>
      <c r="C32" s="162"/>
    </row>
    <row r="33" spans="1:3" ht="15.75" customHeight="1">
      <c r="A33" s="123" t="s">
        <v>330</v>
      </c>
      <c r="B33" s="124" t="s">
        <v>594</v>
      </c>
      <c r="C33" s="125" t="s">
        <v>633</v>
      </c>
    </row>
    <row r="34" spans="1:3" ht="15.75" customHeight="1">
      <c r="A34" s="126" t="s">
        <v>598</v>
      </c>
      <c r="B34" s="132" t="s">
        <v>634</v>
      </c>
      <c r="C34" s="128">
        <v>1500000</v>
      </c>
    </row>
    <row r="35" spans="1:3" ht="15.75" customHeight="1">
      <c r="A35" s="129" t="s">
        <v>598</v>
      </c>
      <c r="B35" s="167" t="s">
        <v>600</v>
      </c>
      <c r="C35" s="131">
        <v>400000</v>
      </c>
    </row>
    <row r="36" spans="1:3" ht="15.75" customHeight="1">
      <c r="A36" s="126" t="s">
        <v>598</v>
      </c>
      <c r="B36" s="132" t="s">
        <v>601</v>
      </c>
      <c r="C36" s="128">
        <v>300000</v>
      </c>
    </row>
    <row r="37" spans="1:3" ht="15.75" customHeight="1">
      <c r="A37" s="129" t="s">
        <v>598</v>
      </c>
      <c r="B37" s="167" t="s">
        <v>602</v>
      </c>
      <c r="C37" s="131">
        <v>150000</v>
      </c>
    </row>
    <row r="38" spans="1:3" ht="15.75" customHeight="1">
      <c r="A38" s="126" t="s">
        <v>598</v>
      </c>
      <c r="B38" s="132" t="s">
        <v>603</v>
      </c>
      <c r="C38" s="128">
        <v>75000</v>
      </c>
    </row>
    <row r="39" spans="1:3" ht="15.75" customHeight="1">
      <c r="A39" s="129" t="s">
        <v>598</v>
      </c>
      <c r="B39" s="167" t="s">
        <v>604</v>
      </c>
      <c r="C39" s="131">
        <v>50000</v>
      </c>
    </row>
    <row r="40" spans="1:3" ht="15.75" customHeight="1">
      <c r="A40" s="126" t="s">
        <v>598</v>
      </c>
      <c r="B40" s="132" t="s">
        <v>605</v>
      </c>
      <c r="C40" s="128">
        <v>75000</v>
      </c>
    </row>
    <row r="41" spans="1:3" ht="15.75" customHeight="1">
      <c r="A41" s="129" t="s">
        <v>598</v>
      </c>
      <c r="B41" s="167" t="s">
        <v>606</v>
      </c>
      <c r="C41" s="131">
        <v>50000</v>
      </c>
    </row>
    <row r="42" spans="1:3" ht="15.75" customHeight="1">
      <c r="A42" s="126" t="s">
        <v>598</v>
      </c>
      <c r="B42" s="132" t="s">
        <v>635</v>
      </c>
      <c r="C42" s="128">
        <v>-300000</v>
      </c>
    </row>
    <row r="43" spans="1:3" ht="15.75" customHeight="1">
      <c r="A43" s="129" t="s">
        <v>636</v>
      </c>
      <c r="B43" s="167" t="s">
        <v>637</v>
      </c>
      <c r="C43" s="131">
        <v>130000</v>
      </c>
    </row>
    <row r="44" spans="1:3" ht="15.75" customHeight="1">
      <c r="A44" s="126" t="s">
        <v>623</v>
      </c>
      <c r="B44" s="132" t="s">
        <v>624</v>
      </c>
      <c r="C44" s="128">
        <v>200000</v>
      </c>
    </row>
    <row r="45" spans="1:3" ht="15.75" customHeight="1">
      <c r="A45" s="129" t="s">
        <v>616</v>
      </c>
      <c r="B45" s="167" t="s">
        <v>617</v>
      </c>
      <c r="C45" s="131">
        <v>150000</v>
      </c>
    </row>
    <row r="46" spans="1:3" ht="15.75" customHeight="1">
      <c r="A46" s="126" t="s">
        <v>616</v>
      </c>
      <c r="B46" s="132" t="s">
        <v>618</v>
      </c>
      <c r="C46" s="128">
        <v>100000</v>
      </c>
    </row>
    <row r="47" spans="1:3" ht="15.75" customHeight="1">
      <c r="A47" s="129" t="s">
        <v>620</v>
      </c>
      <c r="B47" s="167" t="s">
        <v>621</v>
      </c>
      <c r="C47" s="131">
        <v>50000</v>
      </c>
    </row>
    <row r="48" spans="1:3" ht="15.75" customHeight="1">
      <c r="A48" s="126" t="s">
        <v>620</v>
      </c>
      <c r="B48" s="132" t="s">
        <v>622</v>
      </c>
      <c r="C48" s="128">
        <v>10000</v>
      </c>
    </row>
    <row r="49" spans="1:3" ht="15.75" customHeight="1">
      <c r="A49" s="129" t="s">
        <v>625</v>
      </c>
      <c r="B49" s="167" t="s">
        <v>626</v>
      </c>
      <c r="C49" s="131">
        <v>50000</v>
      </c>
    </row>
    <row r="50" spans="1:3" ht="15.75" customHeight="1">
      <c r="A50" s="126" t="s">
        <v>625</v>
      </c>
      <c r="B50" s="132" t="s">
        <v>627</v>
      </c>
      <c r="C50" s="128">
        <v>30000</v>
      </c>
    </row>
    <row r="51" spans="1:3" ht="15.75" customHeight="1">
      <c r="A51" s="129" t="s">
        <v>625</v>
      </c>
      <c r="B51" s="167" t="s">
        <v>628</v>
      </c>
      <c r="C51" s="131">
        <v>70000</v>
      </c>
    </row>
    <row r="52" spans="1:3" ht="15.75" customHeight="1">
      <c r="A52" s="126" t="s">
        <v>629</v>
      </c>
      <c r="B52" s="132" t="s">
        <v>638</v>
      </c>
      <c r="C52" s="128">
        <v>150000</v>
      </c>
    </row>
    <row r="53" spans="1:3" ht="15.75" customHeight="1">
      <c r="A53" s="133" t="s">
        <v>631</v>
      </c>
      <c r="C53" s="135">
        <f>SUM(C34:C52)</f>
        <v>3240000</v>
      </c>
    </row>
    <row r="55" spans="1:3" ht="13">
      <c r="A55" s="162" t="s">
        <v>639</v>
      </c>
    </row>
    <row r="57" spans="1:3" ht="13">
      <c r="A57" s="123" t="s">
        <v>640</v>
      </c>
      <c r="B57" s="124" t="s">
        <v>367</v>
      </c>
      <c r="C57" s="125" t="s">
        <v>641</v>
      </c>
    </row>
    <row r="58" spans="1:3" ht="13">
      <c r="A58" s="126" t="s">
        <v>642</v>
      </c>
      <c r="B58" s="132" t="s">
        <v>643</v>
      </c>
      <c r="C58" s="136" t="s">
        <v>644</v>
      </c>
    </row>
    <row r="59" spans="1:3" ht="13">
      <c r="A59" s="129" t="s">
        <v>645</v>
      </c>
      <c r="B59" s="167" t="s">
        <v>646</v>
      </c>
      <c r="C59" s="169" t="s">
        <v>647</v>
      </c>
    </row>
    <row r="60" spans="1:3" ht="13">
      <c r="A60" s="126" t="s">
        <v>648</v>
      </c>
      <c r="B60" s="132" t="s">
        <v>649</v>
      </c>
      <c r="C60" s="136" t="s">
        <v>650</v>
      </c>
    </row>
    <row r="61" spans="1:3" ht="13">
      <c r="A61" s="129" t="s">
        <v>651</v>
      </c>
      <c r="B61" s="167" t="s">
        <v>652</v>
      </c>
      <c r="C61" s="169" t="s">
        <v>653</v>
      </c>
    </row>
    <row r="62" spans="1:3" ht="13">
      <c r="A62" s="126" t="s">
        <v>654</v>
      </c>
      <c r="B62" s="132" t="s">
        <v>655</v>
      </c>
      <c r="C62" s="136" t="s">
        <v>656</v>
      </c>
    </row>
    <row r="64" spans="1:3" ht="13">
      <c r="A64" s="126" t="s">
        <v>657</v>
      </c>
      <c r="B64" s="132" t="s">
        <v>367</v>
      </c>
      <c r="C64" s="136" t="s">
        <v>658</v>
      </c>
    </row>
    <row r="65" spans="1:3" ht="13">
      <c r="A65" s="129" t="s">
        <v>659</v>
      </c>
      <c r="B65" s="167" t="s">
        <v>660</v>
      </c>
      <c r="C65" s="169" t="s">
        <v>661</v>
      </c>
    </row>
    <row r="66" spans="1:3" ht="13">
      <c r="A66" s="126" t="s">
        <v>662</v>
      </c>
      <c r="B66" s="132" t="s">
        <v>663</v>
      </c>
      <c r="C66" s="136" t="s">
        <v>664</v>
      </c>
    </row>
    <row r="67" spans="1:3" ht="13">
      <c r="A67" s="129" t="s">
        <v>665</v>
      </c>
      <c r="B67" s="167" t="s">
        <v>666</v>
      </c>
      <c r="C67" s="169" t="s">
        <v>667</v>
      </c>
    </row>
    <row r="68" spans="1:3" ht="13">
      <c r="A68" s="126" t="s">
        <v>668</v>
      </c>
      <c r="B68" s="132" t="s">
        <v>669</v>
      </c>
      <c r="C68" s="136" t="s">
        <v>670</v>
      </c>
    </row>
    <row r="69" spans="1:3" ht="13">
      <c r="A69" s="129" t="s">
        <v>671</v>
      </c>
      <c r="B69" s="167" t="s">
        <v>672</v>
      </c>
      <c r="C69" s="169" t="s">
        <v>673</v>
      </c>
    </row>
    <row r="71" spans="1:3" ht="13">
      <c r="A71" s="129" t="s">
        <v>674</v>
      </c>
      <c r="B71" s="167" t="s">
        <v>675</v>
      </c>
      <c r="C71" s="169" t="s">
        <v>676</v>
      </c>
    </row>
    <row r="72" spans="1:3" ht="13">
      <c r="A72" s="126" t="s">
        <v>677</v>
      </c>
      <c r="B72" s="132" t="s">
        <v>678</v>
      </c>
      <c r="C72" s="136" t="s">
        <v>679</v>
      </c>
    </row>
    <row r="73" spans="1:3" ht="13">
      <c r="A73" s="129" t="s">
        <v>680</v>
      </c>
      <c r="B73" s="167" t="s">
        <v>681</v>
      </c>
      <c r="C73" s="169" t="s">
        <v>682</v>
      </c>
    </row>
    <row r="74" spans="1:3" ht="13">
      <c r="A74" s="126" t="s">
        <v>683</v>
      </c>
      <c r="B74" s="132" t="s">
        <v>684</v>
      </c>
      <c r="C74" s="136" t="s">
        <v>685</v>
      </c>
    </row>
    <row r="75" spans="1:3" ht="13">
      <c r="A75" s="129" t="s">
        <v>686</v>
      </c>
      <c r="B75" s="167" t="s">
        <v>687</v>
      </c>
      <c r="C75" s="169" t="s">
        <v>688</v>
      </c>
    </row>
    <row r="76" spans="1:3" ht="13">
      <c r="A76" s="126" t="s">
        <v>689</v>
      </c>
      <c r="B76" s="132" t="s">
        <v>690</v>
      </c>
      <c r="C76" s="136" t="s">
        <v>691</v>
      </c>
    </row>
    <row r="77" spans="1:3" ht="13">
      <c r="A77" s="129" t="s">
        <v>692</v>
      </c>
      <c r="B77" s="167" t="s">
        <v>693</v>
      </c>
      <c r="C77" s="169" t="s">
        <v>694</v>
      </c>
    </row>
    <row r="79" spans="1:3" ht="13">
      <c r="A79" s="129" t="s">
        <v>695</v>
      </c>
      <c r="B79" s="167" t="s">
        <v>696</v>
      </c>
      <c r="C79" s="169" t="s">
        <v>697</v>
      </c>
    </row>
    <row r="80" spans="1:3" ht="13">
      <c r="A80" s="126" t="s">
        <v>698</v>
      </c>
      <c r="B80" s="132" t="s">
        <v>699</v>
      </c>
      <c r="C80" s="136" t="s">
        <v>700</v>
      </c>
    </row>
    <row r="81" spans="1:3" ht="13">
      <c r="A81" s="129" t="s">
        <v>701</v>
      </c>
      <c r="B81" s="167" t="s">
        <v>702</v>
      </c>
      <c r="C81" s="169" t="s">
        <v>703</v>
      </c>
    </row>
    <row r="82" spans="1:3" ht="13">
      <c r="A82" s="126" t="s">
        <v>704</v>
      </c>
      <c r="B82" s="132" t="s">
        <v>705</v>
      </c>
      <c r="C82" s="136" t="s">
        <v>706</v>
      </c>
    </row>
    <row r="83" spans="1:3" ht="13">
      <c r="A83" s="129" t="s">
        <v>707</v>
      </c>
      <c r="B83" s="167" t="s">
        <v>708</v>
      </c>
      <c r="C83" s="169" t="s">
        <v>709</v>
      </c>
    </row>
    <row r="84" spans="1:3" ht="13">
      <c r="A84" s="126" t="s">
        <v>710</v>
      </c>
      <c r="B84" s="132" t="s">
        <v>711</v>
      </c>
      <c r="C84" s="136" t="s">
        <v>712</v>
      </c>
    </row>
    <row r="85" spans="1:3" ht="13">
      <c r="A85" s="129" t="s">
        <v>713</v>
      </c>
      <c r="B85" s="167" t="s">
        <v>714</v>
      </c>
      <c r="C85" s="169" t="s">
        <v>715</v>
      </c>
    </row>
    <row r="86" spans="1:3" ht="13">
      <c r="A86" s="172" t="s">
        <v>716</v>
      </c>
      <c r="B86" s="173" t="s">
        <v>717</v>
      </c>
      <c r="C86" s="175" t="s">
        <v>718</v>
      </c>
    </row>
    <row r="89" spans="1:3" ht="13">
      <c r="A89" s="123" t="s">
        <v>719</v>
      </c>
      <c r="B89" s="124" t="s">
        <v>367</v>
      </c>
      <c r="C89" s="125" t="s">
        <v>720</v>
      </c>
    </row>
    <row r="90" spans="1:3" ht="13">
      <c r="A90" s="126" t="s">
        <v>721</v>
      </c>
      <c r="B90" s="132" t="s">
        <v>722</v>
      </c>
      <c r="C90" s="128">
        <v>1000000</v>
      </c>
    </row>
    <row r="91" spans="1:3" ht="13">
      <c r="A91" s="129" t="s">
        <v>723</v>
      </c>
      <c r="B91" s="167" t="s">
        <v>722</v>
      </c>
      <c r="C91" s="131">
        <v>1500000</v>
      </c>
    </row>
    <row r="92" spans="1:3" ht="13">
      <c r="A92" s="172" t="s">
        <v>724</v>
      </c>
      <c r="B92" s="173" t="s">
        <v>722</v>
      </c>
      <c r="C92" s="183">
        <v>1500000</v>
      </c>
    </row>
  </sheetData>
  <dataValidations count="1">
    <dataValidation type="custom" allowBlank="1" showDropDown="1" sqref="C4:C29 C34:C53 C90:C92" xr:uid="{00000000-0002-0000-0900-000000000000}">
      <formula1>AND(ISNUMBER(C4),(NOT(OR(NOT(ISERROR(DATEVALUE(C4))), AND(ISNUMBER(C4), LEFT(CELL("format", C4))="D")))))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2:F16"/>
  <sheetViews>
    <sheetView showGridLines="0" workbookViewId="0"/>
  </sheetViews>
  <sheetFormatPr baseColWidth="10" defaultColWidth="12.6640625" defaultRowHeight="15.75" customHeight="1"/>
  <cols>
    <col min="1" max="1" width="4.6640625" customWidth="1"/>
    <col min="2" max="2" width="4.5" customWidth="1"/>
    <col min="3" max="3" width="17" customWidth="1"/>
    <col min="4" max="4" width="39.6640625" customWidth="1"/>
    <col min="5" max="5" width="18.5" customWidth="1"/>
    <col min="6" max="6" width="70.6640625" customWidth="1"/>
  </cols>
  <sheetData>
    <row r="2" spans="2:6" ht="15.75" customHeight="1">
      <c r="B2" s="197" t="s">
        <v>13</v>
      </c>
      <c r="C2" s="197" t="s">
        <v>725</v>
      </c>
      <c r="D2" s="197" t="s">
        <v>726</v>
      </c>
      <c r="E2" s="198"/>
      <c r="F2" s="198"/>
    </row>
    <row r="3" spans="2:6" ht="15.75" customHeight="1">
      <c r="B3" s="199">
        <v>0</v>
      </c>
      <c r="C3" s="200">
        <f>'Project Overview'!D215</f>
        <v>38000</v>
      </c>
      <c r="D3" s="198" t="s">
        <v>727</v>
      </c>
      <c r="E3" s="198"/>
      <c r="F3" s="198"/>
    </row>
    <row r="4" spans="2:6" ht="15.75" customHeight="1">
      <c r="B4" s="197">
        <v>1</v>
      </c>
      <c r="C4" s="201">
        <f>'Project Overview'!D224</f>
        <v>613000</v>
      </c>
      <c r="D4" s="202" t="s">
        <v>728</v>
      </c>
      <c r="E4" s="198"/>
      <c r="F4" s="198"/>
    </row>
    <row r="5" spans="2:6" ht="15.75" customHeight="1">
      <c r="B5" s="197">
        <v>2</v>
      </c>
      <c r="C5" s="201">
        <f>'Project Overview'!D236</f>
        <v>1050500</v>
      </c>
      <c r="D5" s="202" t="s">
        <v>729</v>
      </c>
      <c r="E5" s="198"/>
      <c r="F5" s="198"/>
    </row>
    <row r="6" spans="2:6" ht="15.75" customHeight="1">
      <c r="B6" s="197">
        <v>3</v>
      </c>
      <c r="C6" s="201">
        <f>'Project Overview'!D249</f>
        <v>3691125</v>
      </c>
      <c r="D6" s="202" t="s">
        <v>730</v>
      </c>
      <c r="E6" s="198"/>
      <c r="F6" s="198"/>
    </row>
    <row r="7" spans="2:6" ht="15.75" customHeight="1">
      <c r="B7" s="197">
        <v>4</v>
      </c>
      <c r="C7" s="201">
        <f>'Project Overview'!D264</f>
        <v>39534875</v>
      </c>
      <c r="D7" s="202" t="s">
        <v>731</v>
      </c>
      <c r="E7" s="198"/>
      <c r="F7" s="198"/>
    </row>
    <row r="8" spans="2:6" ht="15.75" customHeight="1">
      <c r="B8" s="199">
        <v>5</v>
      </c>
      <c r="C8" s="200">
        <f>'Project Overview'!D274</f>
        <v>52644250</v>
      </c>
      <c r="D8" s="198" t="s">
        <v>732</v>
      </c>
      <c r="E8" s="198"/>
      <c r="F8" s="198"/>
    </row>
    <row r="9" spans="2:6" ht="15.75" customHeight="1">
      <c r="B9" s="198"/>
      <c r="C9" s="198"/>
      <c r="D9" s="198"/>
      <c r="E9" s="198"/>
      <c r="F9" s="198"/>
    </row>
    <row r="10" spans="2:6" ht="15.75" customHeight="1">
      <c r="B10" s="197" t="s">
        <v>13</v>
      </c>
      <c r="C10" s="197" t="s">
        <v>733</v>
      </c>
      <c r="D10" s="197" t="s">
        <v>734</v>
      </c>
      <c r="E10" s="197" t="s">
        <v>735</v>
      </c>
      <c r="F10" s="197" t="s">
        <v>153</v>
      </c>
    </row>
    <row r="11" spans="2:6" ht="15.75" customHeight="1">
      <c r="B11" s="197">
        <v>0</v>
      </c>
      <c r="C11" s="200">
        <f t="shared" ref="C11:C15" si="0">C3</f>
        <v>38000</v>
      </c>
      <c r="D11" s="201">
        <f t="shared" ref="D11:D16" si="1">C11*10</f>
        <v>380000</v>
      </c>
      <c r="E11" s="203">
        <f t="shared" ref="E11:E16" si="2">C11*20</f>
        <v>760000</v>
      </c>
      <c r="F11" s="202" t="s">
        <v>736</v>
      </c>
    </row>
    <row r="12" spans="2:6" ht="15.75" customHeight="1">
      <c r="B12" s="197">
        <v>1</v>
      </c>
      <c r="C12" s="201">
        <f t="shared" si="0"/>
        <v>613000</v>
      </c>
      <c r="D12" s="201">
        <f t="shared" si="1"/>
        <v>6130000</v>
      </c>
      <c r="E12" s="201">
        <f t="shared" si="2"/>
        <v>12260000</v>
      </c>
      <c r="F12" s="202" t="s">
        <v>737</v>
      </c>
    </row>
    <row r="13" spans="2:6" ht="15.75" customHeight="1">
      <c r="B13" s="197">
        <v>2</v>
      </c>
      <c r="C13" s="201">
        <f t="shared" si="0"/>
        <v>1050500</v>
      </c>
      <c r="D13" s="201">
        <f t="shared" si="1"/>
        <v>10505000</v>
      </c>
      <c r="E13" s="201">
        <f t="shared" si="2"/>
        <v>21010000</v>
      </c>
      <c r="F13" s="202" t="s">
        <v>738</v>
      </c>
    </row>
    <row r="14" spans="2:6" ht="15.75" customHeight="1">
      <c r="B14" s="197">
        <v>3</v>
      </c>
      <c r="C14" s="201">
        <f t="shared" si="0"/>
        <v>3691125</v>
      </c>
      <c r="D14" s="201">
        <f t="shared" si="1"/>
        <v>36911250</v>
      </c>
      <c r="E14" s="201">
        <f t="shared" si="2"/>
        <v>73822500</v>
      </c>
      <c r="F14" s="202" t="s">
        <v>739</v>
      </c>
    </row>
    <row r="15" spans="2:6" ht="15.75" customHeight="1">
      <c r="B15" s="197">
        <v>4</v>
      </c>
      <c r="C15" s="201">
        <f t="shared" si="0"/>
        <v>39534875</v>
      </c>
      <c r="D15" s="201">
        <f t="shared" si="1"/>
        <v>395348750</v>
      </c>
      <c r="E15" s="201">
        <f t="shared" si="2"/>
        <v>790697500</v>
      </c>
      <c r="F15" s="202" t="s">
        <v>740</v>
      </c>
    </row>
    <row r="16" spans="2:6" ht="15.75" customHeight="1">
      <c r="B16" s="199">
        <v>5</v>
      </c>
      <c r="C16" s="200">
        <f>'Project Overview'!D274</f>
        <v>52644250</v>
      </c>
      <c r="D16" s="200">
        <f t="shared" si="1"/>
        <v>526442500</v>
      </c>
      <c r="E16" s="200">
        <f t="shared" si="2"/>
        <v>1052885000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56"/>
  <sheetViews>
    <sheetView showGridLines="0" topLeftCell="A27" workbookViewId="0"/>
  </sheetViews>
  <sheetFormatPr baseColWidth="10" defaultColWidth="12.6640625" defaultRowHeight="15.75" customHeight="1"/>
  <cols>
    <col min="1" max="1" width="33.6640625" customWidth="1"/>
    <col min="2" max="2" width="35.83203125" customWidth="1"/>
    <col min="3" max="3" width="75.5" customWidth="1"/>
  </cols>
  <sheetData>
    <row r="1" spans="1:3" ht="13" hidden="1">
      <c r="A1" s="162" t="s">
        <v>151</v>
      </c>
      <c r="B1" s="162" t="s">
        <v>741</v>
      </c>
      <c r="C1" s="162" t="s">
        <v>742</v>
      </c>
    </row>
    <row r="2" spans="1:3" ht="13" hidden="1">
      <c r="A2" s="162" t="s">
        <v>743</v>
      </c>
      <c r="B2" s="204">
        <v>500000</v>
      </c>
      <c r="C2" s="162" t="s">
        <v>744</v>
      </c>
    </row>
    <row r="3" spans="1:3" ht="13" hidden="1">
      <c r="A3" s="162" t="s">
        <v>745</v>
      </c>
      <c r="B3" s="204">
        <v>100000</v>
      </c>
      <c r="C3" s="162" t="s">
        <v>746</v>
      </c>
    </row>
    <row r="4" spans="1:3" ht="13" hidden="1">
      <c r="A4" s="162" t="s">
        <v>747</v>
      </c>
      <c r="B4" s="204">
        <v>150000</v>
      </c>
      <c r="C4" s="162" t="s">
        <v>748</v>
      </c>
    </row>
    <row r="5" spans="1:3" ht="13" hidden="1">
      <c r="A5" s="162" t="s">
        <v>749</v>
      </c>
      <c r="B5" s="204">
        <v>15000</v>
      </c>
      <c r="C5" s="162" t="s">
        <v>750</v>
      </c>
    </row>
    <row r="6" spans="1:3" ht="13" hidden="1">
      <c r="A6" s="162" t="s">
        <v>751</v>
      </c>
      <c r="B6" s="204">
        <v>300000</v>
      </c>
      <c r="C6" s="162" t="s">
        <v>752</v>
      </c>
    </row>
    <row r="7" spans="1:3" ht="13" hidden="1">
      <c r="A7" s="162" t="s">
        <v>753</v>
      </c>
      <c r="B7" s="204">
        <v>50000</v>
      </c>
      <c r="C7" s="162" t="s">
        <v>754</v>
      </c>
    </row>
    <row r="8" spans="1:3" ht="13" hidden="1">
      <c r="A8" s="162" t="s">
        <v>755</v>
      </c>
      <c r="B8" s="204">
        <v>85000</v>
      </c>
      <c r="C8" s="162" t="s">
        <v>756</v>
      </c>
    </row>
    <row r="9" spans="1:3" ht="13" hidden="1">
      <c r="A9" s="162" t="s">
        <v>757</v>
      </c>
      <c r="B9" s="204">
        <v>150000</v>
      </c>
      <c r="C9" s="162" t="s">
        <v>758</v>
      </c>
    </row>
    <row r="10" spans="1:3" ht="13" hidden="1">
      <c r="A10" s="162" t="s">
        <v>759</v>
      </c>
      <c r="B10" s="204">
        <v>200000</v>
      </c>
      <c r="C10" s="162" t="s">
        <v>760</v>
      </c>
    </row>
    <row r="11" spans="1:3" ht="13" hidden="1">
      <c r="A11" s="162" t="s">
        <v>761</v>
      </c>
      <c r="B11" s="204">
        <v>250000</v>
      </c>
      <c r="C11" s="162" t="s">
        <v>762</v>
      </c>
    </row>
    <row r="12" spans="1:3" ht="13" hidden="1">
      <c r="A12" s="162" t="s">
        <v>763</v>
      </c>
      <c r="B12" s="204">
        <f>SUM(B2:B11)</f>
        <v>1800000</v>
      </c>
      <c r="C12" s="162" t="s">
        <v>764</v>
      </c>
    </row>
    <row r="13" spans="1:3" ht="13" hidden="1"/>
    <row r="14" spans="1:3" ht="13" hidden="1">
      <c r="A14" s="162" t="s">
        <v>765</v>
      </c>
      <c r="B14" s="162" t="s">
        <v>766</v>
      </c>
      <c r="C14" s="162" t="s">
        <v>767</v>
      </c>
    </row>
    <row r="15" spans="1:3" ht="13" hidden="1">
      <c r="A15" s="162" t="s">
        <v>768</v>
      </c>
      <c r="B15" s="204">
        <v>225000</v>
      </c>
      <c r="C15" s="162" t="s">
        <v>769</v>
      </c>
    </row>
    <row r="16" spans="1:3" ht="13" hidden="1">
      <c r="A16" s="162" t="s">
        <v>770</v>
      </c>
      <c r="B16" s="204">
        <v>2000</v>
      </c>
      <c r="C16" s="162" t="s">
        <v>771</v>
      </c>
    </row>
    <row r="17" spans="1:5" ht="13" hidden="1">
      <c r="A17" s="162" t="s">
        <v>772</v>
      </c>
      <c r="B17" s="204">
        <v>50000</v>
      </c>
      <c r="C17" s="162" t="s">
        <v>773</v>
      </c>
    </row>
    <row r="18" spans="1:5" ht="13" hidden="1">
      <c r="A18" s="162" t="s">
        <v>774</v>
      </c>
      <c r="B18" s="204">
        <v>50000</v>
      </c>
      <c r="C18" s="162" t="s">
        <v>775</v>
      </c>
    </row>
    <row r="19" spans="1:5" ht="13" hidden="1">
      <c r="A19" s="162" t="s">
        <v>776</v>
      </c>
      <c r="B19" s="204">
        <v>20000</v>
      </c>
      <c r="C19" s="162" t="s">
        <v>777</v>
      </c>
    </row>
    <row r="20" spans="1:5" ht="13" hidden="1">
      <c r="A20" s="162" t="s">
        <v>778</v>
      </c>
      <c r="B20" s="204">
        <f>SUM(B15:B19)</f>
        <v>347000</v>
      </c>
      <c r="C20" s="162" t="s">
        <v>779</v>
      </c>
    </row>
    <row r="21" spans="1:5" ht="13" hidden="1"/>
    <row r="22" spans="1:5" ht="13" hidden="1">
      <c r="A22" s="162" t="s">
        <v>780</v>
      </c>
      <c r="B22" s="162" t="s">
        <v>781</v>
      </c>
      <c r="C22" s="162" t="s">
        <v>782</v>
      </c>
      <c r="D22" s="162" t="s">
        <v>783</v>
      </c>
      <c r="E22" s="162" t="s">
        <v>784</v>
      </c>
    </row>
    <row r="23" spans="1:5" ht="13" hidden="1">
      <c r="A23" s="163">
        <v>0.13800000000000001</v>
      </c>
      <c r="B23" s="162">
        <v>6.0119999999999996</v>
      </c>
      <c r="C23" s="162">
        <v>0.78320000000000001</v>
      </c>
      <c r="D23" s="163">
        <v>0.83</v>
      </c>
      <c r="E23" s="162" t="s">
        <v>785</v>
      </c>
    </row>
    <row r="24" spans="1:5" ht="13" hidden="1">
      <c r="A24" s="163">
        <v>0.15</v>
      </c>
      <c r="B24" s="162">
        <v>6.0119999999999996</v>
      </c>
      <c r="C24" s="162">
        <v>0.78320000000000001</v>
      </c>
      <c r="D24" s="163">
        <v>0.9</v>
      </c>
      <c r="E24" s="162" t="s">
        <v>786</v>
      </c>
    </row>
    <row r="25" spans="1:5" ht="13" hidden="1">
      <c r="A25" s="163">
        <v>0.06</v>
      </c>
      <c r="B25" s="162">
        <v>6.0119999999999996</v>
      </c>
      <c r="C25" s="162">
        <v>0.78320000000000001</v>
      </c>
      <c r="D25" s="163">
        <v>0.36</v>
      </c>
      <c r="E25" s="162" t="s">
        <v>787</v>
      </c>
    </row>
    <row r="26" spans="1:5" ht="13" hidden="1"/>
    <row r="27" spans="1:5" ht="13">
      <c r="A27" s="123" t="s">
        <v>640</v>
      </c>
      <c r="B27" s="124" t="s">
        <v>367</v>
      </c>
      <c r="C27" s="125" t="s">
        <v>641</v>
      </c>
    </row>
    <row r="28" spans="1:5" ht="13">
      <c r="A28" s="126" t="s">
        <v>642</v>
      </c>
      <c r="B28" s="132" t="s">
        <v>643</v>
      </c>
      <c r="C28" s="136" t="s">
        <v>644</v>
      </c>
    </row>
    <row r="29" spans="1:5" ht="13">
      <c r="A29" s="129" t="s">
        <v>645</v>
      </c>
      <c r="B29" s="167" t="s">
        <v>646</v>
      </c>
      <c r="C29" s="169" t="s">
        <v>647</v>
      </c>
    </row>
    <row r="30" spans="1:5" ht="13">
      <c r="A30" s="126" t="s">
        <v>648</v>
      </c>
      <c r="B30" s="132" t="s">
        <v>649</v>
      </c>
      <c r="C30" s="136" t="s">
        <v>650</v>
      </c>
    </row>
    <row r="31" spans="1:5" ht="13">
      <c r="A31" s="129" t="s">
        <v>651</v>
      </c>
      <c r="B31" s="167" t="s">
        <v>652</v>
      </c>
      <c r="C31" s="169" t="s">
        <v>653</v>
      </c>
    </row>
    <row r="32" spans="1:5" ht="13">
      <c r="A32" s="172" t="s">
        <v>654</v>
      </c>
      <c r="B32" s="173" t="s">
        <v>655</v>
      </c>
      <c r="C32" s="175" t="s">
        <v>656</v>
      </c>
    </row>
    <row r="34" spans="1:3" ht="13">
      <c r="A34" s="123" t="s">
        <v>657</v>
      </c>
      <c r="B34" s="124" t="s">
        <v>367</v>
      </c>
      <c r="C34" s="125" t="s">
        <v>658</v>
      </c>
    </row>
    <row r="35" spans="1:3" ht="13">
      <c r="A35" s="126" t="s">
        <v>659</v>
      </c>
      <c r="B35" s="132" t="s">
        <v>660</v>
      </c>
      <c r="C35" s="136" t="s">
        <v>661</v>
      </c>
    </row>
    <row r="36" spans="1:3" ht="13">
      <c r="A36" s="129" t="s">
        <v>662</v>
      </c>
      <c r="B36" s="167" t="s">
        <v>663</v>
      </c>
      <c r="C36" s="169" t="s">
        <v>664</v>
      </c>
    </row>
    <row r="37" spans="1:3" ht="13">
      <c r="A37" s="126" t="s">
        <v>665</v>
      </c>
      <c r="B37" s="132" t="s">
        <v>666</v>
      </c>
      <c r="C37" s="136" t="s">
        <v>667</v>
      </c>
    </row>
    <row r="38" spans="1:3" ht="13">
      <c r="A38" s="129" t="s">
        <v>668</v>
      </c>
      <c r="B38" s="167" t="s">
        <v>669</v>
      </c>
      <c r="C38" s="169" t="s">
        <v>670</v>
      </c>
    </row>
    <row r="39" spans="1:3" ht="13">
      <c r="A39" s="172" t="s">
        <v>671</v>
      </c>
      <c r="B39" s="173" t="s">
        <v>672</v>
      </c>
      <c r="C39" s="175" t="s">
        <v>673</v>
      </c>
    </row>
    <row r="41" spans="1:3" ht="13">
      <c r="A41" s="123" t="s">
        <v>674</v>
      </c>
      <c r="B41" s="124" t="s">
        <v>675</v>
      </c>
      <c r="C41" s="125" t="s">
        <v>676</v>
      </c>
    </row>
    <row r="42" spans="1:3" ht="13">
      <c r="A42" s="126" t="s">
        <v>677</v>
      </c>
      <c r="B42" s="132" t="s">
        <v>678</v>
      </c>
      <c r="C42" s="136" t="s">
        <v>679</v>
      </c>
    </row>
    <row r="43" spans="1:3" ht="13">
      <c r="A43" s="129" t="s">
        <v>680</v>
      </c>
      <c r="B43" s="167" t="s">
        <v>681</v>
      </c>
      <c r="C43" s="169" t="s">
        <v>682</v>
      </c>
    </row>
    <row r="44" spans="1:3" ht="13">
      <c r="A44" s="126" t="s">
        <v>683</v>
      </c>
      <c r="B44" s="132" t="s">
        <v>684</v>
      </c>
      <c r="C44" s="136" t="s">
        <v>685</v>
      </c>
    </row>
    <row r="45" spans="1:3" ht="13">
      <c r="A45" s="129" t="s">
        <v>686</v>
      </c>
      <c r="B45" s="167" t="s">
        <v>687</v>
      </c>
      <c r="C45" s="169" t="s">
        <v>688</v>
      </c>
    </row>
    <row r="46" spans="1:3" ht="13">
      <c r="A46" s="126" t="s">
        <v>689</v>
      </c>
      <c r="B46" s="132" t="s">
        <v>690</v>
      </c>
      <c r="C46" s="136" t="s">
        <v>691</v>
      </c>
    </row>
    <row r="47" spans="1:3" ht="13">
      <c r="A47" s="133" t="s">
        <v>692</v>
      </c>
      <c r="B47" s="189" t="s">
        <v>693</v>
      </c>
      <c r="C47" s="196" t="s">
        <v>694</v>
      </c>
    </row>
    <row r="49" spans="1:3" ht="13">
      <c r="A49" s="123" t="s">
        <v>695</v>
      </c>
      <c r="B49" s="124" t="s">
        <v>696</v>
      </c>
      <c r="C49" s="125" t="s">
        <v>697</v>
      </c>
    </row>
    <row r="50" spans="1:3" ht="13">
      <c r="A50" s="126" t="s">
        <v>698</v>
      </c>
      <c r="B50" s="132" t="s">
        <v>699</v>
      </c>
      <c r="C50" s="136" t="s">
        <v>700</v>
      </c>
    </row>
    <row r="51" spans="1:3" ht="13">
      <c r="A51" s="129" t="s">
        <v>701</v>
      </c>
      <c r="B51" s="167" t="s">
        <v>702</v>
      </c>
      <c r="C51" s="169" t="s">
        <v>703</v>
      </c>
    </row>
    <row r="52" spans="1:3" ht="13">
      <c r="A52" s="126" t="s">
        <v>704</v>
      </c>
      <c r="B52" s="132" t="s">
        <v>705</v>
      </c>
      <c r="C52" s="136" t="s">
        <v>706</v>
      </c>
    </row>
    <row r="53" spans="1:3" ht="13">
      <c r="A53" s="129" t="s">
        <v>707</v>
      </c>
      <c r="B53" s="167" t="s">
        <v>708</v>
      </c>
      <c r="C53" s="169" t="s">
        <v>709</v>
      </c>
    </row>
    <row r="54" spans="1:3" ht="13">
      <c r="A54" s="126" t="s">
        <v>710</v>
      </c>
      <c r="B54" s="132" t="s">
        <v>711</v>
      </c>
      <c r="C54" s="136" t="s">
        <v>712</v>
      </c>
    </row>
    <row r="55" spans="1:3" ht="13">
      <c r="A55" s="129" t="s">
        <v>713</v>
      </c>
      <c r="B55" s="167" t="s">
        <v>714</v>
      </c>
      <c r="C55" s="169" t="s">
        <v>715</v>
      </c>
    </row>
    <row r="56" spans="1:3" ht="13">
      <c r="A56" s="172" t="s">
        <v>716</v>
      </c>
      <c r="B56" s="173" t="s">
        <v>717</v>
      </c>
      <c r="C56" s="175" t="s">
        <v>718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14"/>
  <sheetViews>
    <sheetView workbookViewId="0"/>
  </sheetViews>
  <sheetFormatPr baseColWidth="10" defaultColWidth="12.6640625" defaultRowHeight="15.75" customHeight="1"/>
  <cols>
    <col min="1" max="1" width="19.5" customWidth="1"/>
    <col min="2" max="2" width="17.6640625" customWidth="1"/>
    <col min="3" max="3" width="11.83203125" customWidth="1"/>
    <col min="4" max="4" width="28.33203125" customWidth="1"/>
  </cols>
  <sheetData>
    <row r="1" spans="1:4" ht="15.75" customHeight="1">
      <c r="A1" s="162" t="s">
        <v>150</v>
      </c>
      <c r="B1" s="162" t="s">
        <v>151</v>
      </c>
      <c r="C1" s="163" t="s">
        <v>152</v>
      </c>
      <c r="D1" s="162" t="s">
        <v>153</v>
      </c>
    </row>
    <row r="2" spans="1:4" ht="15.75" customHeight="1">
      <c r="A2" s="162" t="s">
        <v>154</v>
      </c>
      <c r="B2" s="162" t="s">
        <v>155</v>
      </c>
      <c r="C2" s="163">
        <v>3000000</v>
      </c>
      <c r="D2" s="162" t="s">
        <v>156</v>
      </c>
    </row>
    <row r="3" spans="1:4" ht="15.75" customHeight="1">
      <c r="A3" s="162" t="s">
        <v>154</v>
      </c>
      <c r="B3" s="162" t="s">
        <v>157</v>
      </c>
      <c r="C3" s="163">
        <v>500000</v>
      </c>
      <c r="D3" s="162" t="s">
        <v>158</v>
      </c>
    </row>
    <row r="4" spans="1:4" ht="15.75" customHeight="1">
      <c r="A4" s="162" t="s">
        <v>154</v>
      </c>
      <c r="B4" s="162" t="s">
        <v>159</v>
      </c>
      <c r="C4" s="163">
        <v>1000000</v>
      </c>
      <c r="D4" s="162" t="s">
        <v>160</v>
      </c>
    </row>
    <row r="5" spans="1:4" ht="15.75" customHeight="1">
      <c r="A5" s="162" t="s">
        <v>154</v>
      </c>
      <c r="B5" s="162" t="s">
        <v>75</v>
      </c>
      <c r="C5" s="163">
        <f>SUM(C2:C4)</f>
        <v>4500000</v>
      </c>
      <c r="D5" s="162" t="s">
        <v>161</v>
      </c>
    </row>
    <row r="6" spans="1:4" ht="15.75" customHeight="1">
      <c r="C6" s="163"/>
    </row>
    <row r="7" spans="1:4" ht="15.75" customHeight="1">
      <c r="A7" s="162" t="s">
        <v>162</v>
      </c>
      <c r="B7" s="162" t="s">
        <v>151</v>
      </c>
      <c r="C7" s="163" t="s">
        <v>152</v>
      </c>
      <c r="D7" s="162" t="s">
        <v>153</v>
      </c>
    </row>
    <row r="8" spans="1:4" ht="15.75" customHeight="1">
      <c r="A8" s="162" t="s">
        <v>163</v>
      </c>
      <c r="B8" s="162" t="s">
        <v>164</v>
      </c>
      <c r="C8" s="163">
        <f>C99</f>
        <v>0</v>
      </c>
      <c r="D8" s="162" t="s">
        <v>165</v>
      </c>
    </row>
    <row r="9" spans="1:4" ht="15.75" customHeight="1">
      <c r="A9" s="162" t="s">
        <v>163</v>
      </c>
      <c r="B9" s="162" t="s">
        <v>166</v>
      </c>
      <c r="C9" s="163">
        <v>7500000</v>
      </c>
      <c r="D9" s="162" t="s">
        <v>167</v>
      </c>
    </row>
    <row r="10" spans="1:4" ht="15.75" customHeight="1">
      <c r="A10" s="162" t="s">
        <v>168</v>
      </c>
      <c r="B10" s="162" t="s">
        <v>169</v>
      </c>
      <c r="C10" s="163">
        <f>C108</f>
        <v>0</v>
      </c>
    </row>
    <row r="11" spans="1:4" ht="15.75" customHeight="1">
      <c r="A11" s="162" t="s">
        <v>168</v>
      </c>
      <c r="B11" s="162" t="s">
        <v>170</v>
      </c>
      <c r="C11" s="163">
        <v>4000000</v>
      </c>
      <c r="D11" s="162" t="s">
        <v>171</v>
      </c>
    </row>
    <row r="12" spans="1:4" ht="15.75" customHeight="1">
      <c r="A12" s="162" t="s">
        <v>172</v>
      </c>
      <c r="B12" s="162" t="s">
        <v>173</v>
      </c>
      <c r="C12" s="163">
        <f>C120</f>
        <v>0</v>
      </c>
    </row>
    <row r="13" spans="1:4" ht="15.75" customHeight="1">
      <c r="A13" s="162" t="s">
        <v>174</v>
      </c>
      <c r="B13" s="162" t="s">
        <v>175</v>
      </c>
      <c r="C13" s="163">
        <f>C133</f>
        <v>0</v>
      </c>
    </row>
    <row r="14" spans="1:4" ht="15.75" customHeight="1">
      <c r="A14" s="162" t="s">
        <v>176</v>
      </c>
      <c r="B14" s="162" t="s">
        <v>177</v>
      </c>
      <c r="C14" s="162">
        <f>C145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Y66"/>
  <sheetViews>
    <sheetView workbookViewId="0"/>
  </sheetViews>
  <sheetFormatPr baseColWidth="10" defaultColWidth="12.6640625" defaultRowHeight="15.75" customHeight="1"/>
  <cols>
    <col min="1" max="1" width="4.83203125" customWidth="1"/>
    <col min="9" max="77" width="4.1640625" customWidth="1"/>
  </cols>
  <sheetData>
    <row r="1" spans="1:77" ht="16">
      <c r="A1" s="205"/>
      <c r="B1" s="206"/>
      <c r="C1" s="206"/>
      <c r="D1" s="206"/>
      <c r="E1" s="206"/>
      <c r="F1" s="206"/>
      <c r="G1" s="205"/>
      <c r="H1" s="205"/>
      <c r="I1" s="206"/>
      <c r="J1" s="206"/>
      <c r="K1" s="206"/>
      <c r="L1" s="206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</row>
    <row r="2" spans="1:77" ht="15.75" customHeight="1">
      <c r="A2" s="205"/>
      <c r="B2" s="317" t="s">
        <v>788</v>
      </c>
      <c r="C2" s="318"/>
      <c r="D2" s="318"/>
      <c r="E2" s="318"/>
      <c r="F2" s="318"/>
      <c r="G2" s="318"/>
      <c r="H2" s="318"/>
      <c r="I2" s="319"/>
      <c r="J2" s="318"/>
      <c r="K2" s="318"/>
      <c r="L2" s="318"/>
      <c r="M2" s="317" t="s">
        <v>789</v>
      </c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205"/>
      <c r="BU2" s="205"/>
      <c r="BV2" s="205"/>
      <c r="BW2" s="205"/>
      <c r="BX2" s="205"/>
      <c r="BY2" s="205"/>
    </row>
    <row r="3" spans="1:77" ht="16">
      <c r="A3" s="205"/>
      <c r="B3" s="205"/>
      <c r="C3" s="205"/>
      <c r="D3" s="205"/>
      <c r="E3" s="206"/>
      <c r="F3" s="206"/>
      <c r="G3" s="206"/>
      <c r="H3" s="206"/>
      <c r="I3" s="206"/>
      <c r="J3" s="206"/>
      <c r="K3" s="206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5"/>
      <c r="BU3" s="205"/>
      <c r="BV3" s="205"/>
      <c r="BW3" s="205"/>
      <c r="BX3" s="205"/>
      <c r="BY3" s="205"/>
    </row>
    <row r="4" spans="1:77" ht="16">
      <c r="A4" s="205"/>
      <c r="B4" s="207" t="s">
        <v>790</v>
      </c>
      <c r="C4" s="208"/>
      <c r="D4" s="208"/>
      <c r="E4" s="208"/>
      <c r="F4" s="208"/>
      <c r="G4" s="209" t="s">
        <v>791</v>
      </c>
      <c r="H4" s="208"/>
      <c r="I4" s="315">
        <v>2025</v>
      </c>
      <c r="J4" s="291"/>
      <c r="K4" s="291"/>
      <c r="L4" s="291"/>
      <c r="M4" s="291"/>
      <c r="N4" s="291"/>
      <c r="O4" s="291"/>
      <c r="P4" s="291"/>
      <c r="Q4" s="316"/>
      <c r="R4" s="315">
        <v>2026</v>
      </c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316"/>
      <c r="AD4" s="315">
        <v>2027</v>
      </c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316"/>
      <c r="AP4" s="315">
        <v>2028</v>
      </c>
      <c r="AQ4" s="291"/>
      <c r="AR4" s="291"/>
      <c r="AS4" s="291"/>
      <c r="AT4" s="291"/>
      <c r="AU4" s="291"/>
      <c r="AV4" s="291"/>
      <c r="AW4" s="291"/>
      <c r="AX4" s="291"/>
      <c r="AY4" s="291"/>
      <c r="AZ4" s="291"/>
      <c r="BA4" s="316"/>
      <c r="BB4" s="315">
        <v>2029</v>
      </c>
      <c r="BC4" s="291"/>
      <c r="BD4" s="291"/>
      <c r="BE4" s="291"/>
      <c r="BF4" s="291"/>
      <c r="BG4" s="291"/>
      <c r="BH4" s="291"/>
      <c r="BI4" s="291"/>
      <c r="BJ4" s="291"/>
      <c r="BK4" s="291"/>
      <c r="BL4" s="291"/>
      <c r="BM4" s="316"/>
      <c r="BN4" s="315">
        <v>2030</v>
      </c>
      <c r="BO4" s="291"/>
      <c r="BP4" s="291"/>
      <c r="BQ4" s="291"/>
      <c r="BR4" s="291"/>
      <c r="BS4" s="291"/>
      <c r="BT4" s="291"/>
      <c r="BU4" s="291"/>
      <c r="BV4" s="291"/>
      <c r="BW4" s="291"/>
      <c r="BX4" s="291"/>
      <c r="BY4" s="316"/>
    </row>
    <row r="5" spans="1:77" ht="16">
      <c r="A5" s="205"/>
      <c r="B5" s="210"/>
      <c r="C5" s="210"/>
      <c r="D5" s="210"/>
      <c r="E5" s="210"/>
      <c r="F5" s="210"/>
      <c r="G5" s="210"/>
      <c r="H5" s="210"/>
      <c r="I5" s="312" t="s">
        <v>792</v>
      </c>
      <c r="J5" s="310"/>
      <c r="K5" s="310"/>
      <c r="L5" s="309" t="s">
        <v>793</v>
      </c>
      <c r="M5" s="310"/>
      <c r="N5" s="310"/>
      <c r="O5" s="311" t="s">
        <v>794</v>
      </c>
      <c r="P5" s="310"/>
      <c r="Q5" s="313"/>
      <c r="R5" s="314" t="s">
        <v>795</v>
      </c>
      <c r="S5" s="310"/>
      <c r="T5" s="310"/>
      <c r="U5" s="311" t="s">
        <v>792</v>
      </c>
      <c r="V5" s="310"/>
      <c r="W5" s="310"/>
      <c r="X5" s="309" t="s">
        <v>793</v>
      </c>
      <c r="Y5" s="310"/>
      <c r="Z5" s="310"/>
      <c r="AA5" s="311" t="s">
        <v>794</v>
      </c>
      <c r="AB5" s="310"/>
      <c r="AC5" s="310"/>
      <c r="AD5" s="314" t="s">
        <v>795</v>
      </c>
      <c r="AE5" s="310"/>
      <c r="AF5" s="310"/>
      <c r="AG5" s="311" t="s">
        <v>792</v>
      </c>
      <c r="AH5" s="310"/>
      <c r="AI5" s="310"/>
      <c r="AJ5" s="309" t="s">
        <v>793</v>
      </c>
      <c r="AK5" s="310"/>
      <c r="AL5" s="310"/>
      <c r="AM5" s="311" t="s">
        <v>794</v>
      </c>
      <c r="AN5" s="310"/>
      <c r="AO5" s="310"/>
      <c r="AP5" s="314" t="s">
        <v>795</v>
      </c>
      <c r="AQ5" s="310"/>
      <c r="AR5" s="310"/>
      <c r="AS5" s="311" t="s">
        <v>792</v>
      </c>
      <c r="AT5" s="310"/>
      <c r="AU5" s="310"/>
      <c r="AV5" s="309" t="s">
        <v>793</v>
      </c>
      <c r="AW5" s="310"/>
      <c r="AX5" s="310"/>
      <c r="AY5" s="311" t="s">
        <v>794</v>
      </c>
      <c r="AZ5" s="310"/>
      <c r="BA5" s="310"/>
      <c r="BB5" s="314" t="s">
        <v>795</v>
      </c>
      <c r="BC5" s="310"/>
      <c r="BD5" s="310"/>
      <c r="BE5" s="311" t="s">
        <v>792</v>
      </c>
      <c r="BF5" s="310"/>
      <c r="BG5" s="310"/>
      <c r="BH5" s="309" t="s">
        <v>793</v>
      </c>
      <c r="BI5" s="310"/>
      <c r="BJ5" s="310"/>
      <c r="BK5" s="311" t="s">
        <v>794</v>
      </c>
      <c r="BL5" s="310"/>
      <c r="BM5" s="310"/>
      <c r="BN5" s="314" t="s">
        <v>795</v>
      </c>
      <c r="BO5" s="310"/>
      <c r="BP5" s="310"/>
      <c r="BQ5" s="311" t="s">
        <v>792</v>
      </c>
      <c r="BR5" s="310"/>
      <c r="BS5" s="310"/>
      <c r="BT5" s="309" t="s">
        <v>793</v>
      </c>
      <c r="BU5" s="310"/>
      <c r="BV5" s="310"/>
      <c r="BW5" s="311" t="s">
        <v>794</v>
      </c>
      <c r="BX5" s="310"/>
      <c r="BY5" s="310"/>
    </row>
    <row r="6" spans="1:77" ht="34">
      <c r="A6" s="205"/>
      <c r="B6" s="210"/>
      <c r="C6" s="210"/>
      <c r="D6" s="211" t="s">
        <v>796</v>
      </c>
      <c r="E6" s="210"/>
      <c r="F6" s="210"/>
      <c r="G6" s="212"/>
      <c r="H6" s="210"/>
      <c r="I6" s="213">
        <v>4</v>
      </c>
      <c r="J6" s="214">
        <v>5</v>
      </c>
      <c r="K6" s="214">
        <v>6</v>
      </c>
      <c r="L6" s="215">
        <v>7</v>
      </c>
      <c r="M6" s="215">
        <v>8</v>
      </c>
      <c r="N6" s="215">
        <v>9</v>
      </c>
      <c r="O6" s="216">
        <v>10</v>
      </c>
      <c r="P6" s="216">
        <v>11</v>
      </c>
      <c r="Q6" s="216">
        <v>12</v>
      </c>
      <c r="R6" s="217">
        <v>1</v>
      </c>
      <c r="S6" s="218">
        <v>2</v>
      </c>
      <c r="T6" s="218">
        <v>3</v>
      </c>
      <c r="U6" s="219">
        <v>4</v>
      </c>
      <c r="V6" s="219">
        <v>5</v>
      </c>
      <c r="W6" s="219">
        <v>6</v>
      </c>
      <c r="X6" s="218">
        <v>7</v>
      </c>
      <c r="Y6" s="218">
        <v>8</v>
      </c>
      <c r="Z6" s="218">
        <v>9</v>
      </c>
      <c r="AA6" s="216">
        <v>10</v>
      </c>
      <c r="AB6" s="216">
        <v>11</v>
      </c>
      <c r="AC6" s="216">
        <v>12</v>
      </c>
      <c r="AD6" s="217">
        <v>1</v>
      </c>
      <c r="AE6" s="218">
        <v>2</v>
      </c>
      <c r="AF6" s="218">
        <v>3</v>
      </c>
      <c r="AG6" s="213">
        <v>4</v>
      </c>
      <c r="AH6" s="214">
        <v>5</v>
      </c>
      <c r="AI6" s="214">
        <v>6</v>
      </c>
      <c r="AJ6" s="215">
        <v>7</v>
      </c>
      <c r="AK6" s="215">
        <v>8</v>
      </c>
      <c r="AL6" s="215">
        <v>9</v>
      </c>
      <c r="AM6" s="216">
        <v>10</v>
      </c>
      <c r="AN6" s="216">
        <v>11</v>
      </c>
      <c r="AO6" s="216">
        <v>12</v>
      </c>
      <c r="AP6" s="217">
        <v>1</v>
      </c>
      <c r="AQ6" s="218">
        <v>2</v>
      </c>
      <c r="AR6" s="218">
        <v>3</v>
      </c>
      <c r="AS6" s="219">
        <v>4</v>
      </c>
      <c r="AT6" s="219">
        <v>5</v>
      </c>
      <c r="AU6" s="219">
        <v>6</v>
      </c>
      <c r="AV6" s="218">
        <v>7</v>
      </c>
      <c r="AW6" s="218">
        <v>8</v>
      </c>
      <c r="AX6" s="218">
        <v>9</v>
      </c>
      <c r="AY6" s="216">
        <v>10</v>
      </c>
      <c r="AZ6" s="216">
        <v>11</v>
      </c>
      <c r="BA6" s="216">
        <v>12</v>
      </c>
      <c r="BB6" s="217">
        <v>1</v>
      </c>
      <c r="BC6" s="218">
        <v>2</v>
      </c>
      <c r="BD6" s="218">
        <v>3</v>
      </c>
      <c r="BE6" s="219">
        <v>4</v>
      </c>
      <c r="BF6" s="219">
        <v>5</v>
      </c>
      <c r="BG6" s="219">
        <v>6</v>
      </c>
      <c r="BH6" s="218">
        <v>7</v>
      </c>
      <c r="BI6" s="218">
        <v>8</v>
      </c>
      <c r="BJ6" s="218">
        <v>9</v>
      </c>
      <c r="BK6" s="216">
        <v>10</v>
      </c>
      <c r="BL6" s="216">
        <v>11</v>
      </c>
      <c r="BM6" s="216">
        <v>12</v>
      </c>
      <c r="BN6" s="217">
        <v>1</v>
      </c>
      <c r="BO6" s="218">
        <v>2</v>
      </c>
      <c r="BP6" s="218">
        <v>3</v>
      </c>
      <c r="BQ6" s="219">
        <v>4</v>
      </c>
      <c r="BR6" s="219">
        <v>5</v>
      </c>
      <c r="BS6" s="219">
        <v>6</v>
      </c>
      <c r="BT6" s="218">
        <v>7</v>
      </c>
      <c r="BU6" s="218">
        <v>8</v>
      </c>
      <c r="BV6" s="218">
        <v>9</v>
      </c>
      <c r="BW6" s="216">
        <v>10</v>
      </c>
      <c r="BX6" s="216">
        <v>11</v>
      </c>
      <c r="BY6" s="216">
        <v>12</v>
      </c>
    </row>
    <row r="7" spans="1:77" ht="16">
      <c r="A7" s="205"/>
      <c r="B7" s="298">
        <v>1</v>
      </c>
      <c r="C7" s="220"/>
      <c r="D7" s="304" t="s">
        <v>797</v>
      </c>
      <c r="E7" s="291"/>
      <c r="F7" s="291"/>
      <c r="G7" s="301" t="s">
        <v>798</v>
      </c>
      <c r="H7" s="281"/>
      <c r="I7" s="221"/>
      <c r="J7" s="222"/>
      <c r="K7" s="222"/>
      <c r="L7" s="222"/>
      <c r="M7" s="222"/>
      <c r="N7" s="222"/>
      <c r="O7" s="222"/>
      <c r="P7" s="222"/>
      <c r="Q7" s="223"/>
      <c r="R7" s="221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3"/>
      <c r="AD7" s="221"/>
      <c r="AE7" s="223"/>
      <c r="AF7" s="224"/>
      <c r="AG7" s="224"/>
      <c r="AH7" s="223"/>
      <c r="AI7" s="225"/>
      <c r="AJ7" s="226"/>
      <c r="AK7" s="226"/>
      <c r="AL7" s="227"/>
      <c r="AM7" s="228"/>
      <c r="AN7" s="228"/>
      <c r="AO7" s="223"/>
      <c r="AP7" s="221"/>
      <c r="AQ7" s="224"/>
      <c r="AR7" s="224"/>
      <c r="AS7" s="224"/>
      <c r="AT7" s="224"/>
      <c r="AU7" s="224"/>
      <c r="AV7" s="224"/>
      <c r="AW7" s="224"/>
      <c r="AX7" s="224"/>
      <c r="AY7" s="224"/>
      <c r="AZ7" s="224"/>
      <c r="BA7" s="223"/>
      <c r="BB7" s="221"/>
      <c r="BC7" s="224"/>
      <c r="BD7" s="224"/>
      <c r="BE7" s="224"/>
      <c r="BF7" s="224"/>
      <c r="BG7" s="224"/>
      <c r="BH7" s="224"/>
      <c r="BI7" s="224"/>
      <c r="BJ7" s="224"/>
      <c r="BK7" s="224"/>
      <c r="BL7" s="224"/>
      <c r="BM7" s="223"/>
      <c r="BN7" s="221"/>
      <c r="BO7" s="224"/>
      <c r="BP7" s="224"/>
      <c r="BQ7" s="224"/>
      <c r="BR7" s="224"/>
      <c r="BS7" s="224"/>
      <c r="BT7" s="224"/>
      <c r="BU7" s="224"/>
      <c r="BV7" s="224"/>
      <c r="BW7" s="224"/>
      <c r="BX7" s="224"/>
      <c r="BY7" s="223"/>
    </row>
    <row r="8" spans="1:77" ht="16">
      <c r="A8" s="205"/>
      <c r="B8" s="291"/>
      <c r="C8" s="220"/>
      <c r="D8" s="291"/>
      <c r="E8" s="291"/>
      <c r="F8" s="291"/>
      <c r="G8" s="301" t="s">
        <v>799</v>
      </c>
      <c r="H8" s="281"/>
      <c r="I8" s="229"/>
      <c r="J8" s="230"/>
      <c r="K8" s="230"/>
      <c r="L8" s="230"/>
      <c r="M8" s="230"/>
      <c r="N8" s="230"/>
      <c r="O8" s="230"/>
      <c r="P8" s="230"/>
      <c r="Q8" s="231"/>
      <c r="R8" s="229"/>
      <c r="S8" s="230"/>
      <c r="T8" s="230"/>
      <c r="U8" s="230"/>
      <c r="V8" s="230"/>
      <c r="W8" s="230"/>
      <c r="X8" s="230"/>
      <c r="Y8" s="230"/>
      <c r="Z8" s="230"/>
      <c r="AA8" s="230"/>
      <c r="AB8" s="230"/>
      <c r="AC8" s="231"/>
      <c r="AD8" s="229"/>
      <c r="AE8" s="231"/>
      <c r="AF8" s="232"/>
      <c r="AG8" s="232"/>
      <c r="AH8" s="231"/>
      <c r="AI8" s="232"/>
      <c r="AJ8" s="232"/>
      <c r="AK8" s="233"/>
      <c r="AL8" s="234"/>
      <c r="AM8" s="234"/>
      <c r="AN8" s="235"/>
      <c r="AO8" s="231"/>
      <c r="AP8" s="229"/>
      <c r="AQ8" s="232"/>
      <c r="AR8" s="232"/>
      <c r="AS8" s="232"/>
      <c r="AT8" s="232"/>
      <c r="AU8" s="232"/>
      <c r="AV8" s="232"/>
      <c r="AW8" s="232"/>
      <c r="AX8" s="232"/>
      <c r="AY8" s="232"/>
      <c r="AZ8" s="232"/>
      <c r="BA8" s="231"/>
      <c r="BB8" s="229"/>
      <c r="BC8" s="232"/>
      <c r="BD8" s="232"/>
      <c r="BE8" s="232"/>
      <c r="BF8" s="232"/>
      <c r="BG8" s="232"/>
      <c r="BH8" s="232"/>
      <c r="BI8" s="232"/>
      <c r="BJ8" s="232"/>
      <c r="BK8" s="232"/>
      <c r="BL8" s="232"/>
      <c r="BM8" s="231"/>
      <c r="BN8" s="229"/>
      <c r="BO8" s="232"/>
      <c r="BP8" s="232"/>
      <c r="BQ8" s="232"/>
      <c r="BR8" s="232"/>
      <c r="BS8" s="232"/>
      <c r="BT8" s="232"/>
      <c r="BU8" s="232"/>
      <c r="BV8" s="232"/>
      <c r="BW8" s="232"/>
      <c r="BX8" s="232"/>
      <c r="BY8" s="231"/>
    </row>
    <row r="9" spans="1:77" ht="16">
      <c r="A9" s="205"/>
      <c r="B9" s="291"/>
      <c r="C9" s="220"/>
      <c r="D9" s="291"/>
      <c r="E9" s="291"/>
      <c r="F9" s="291"/>
      <c r="G9" s="236"/>
      <c r="H9" s="236"/>
      <c r="I9" s="237"/>
      <c r="J9" s="238"/>
      <c r="K9" s="238"/>
      <c r="L9" s="238"/>
      <c r="M9" s="238"/>
      <c r="N9" s="238"/>
      <c r="O9" s="238"/>
      <c r="P9" s="238"/>
      <c r="Q9" s="239"/>
      <c r="R9" s="237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9"/>
      <c r="AD9" s="237"/>
      <c r="AE9" s="239"/>
      <c r="AF9" s="240"/>
      <c r="AG9" s="240"/>
      <c r="AH9" s="239"/>
      <c r="AI9" s="240"/>
      <c r="AJ9" s="240"/>
      <c r="AK9" s="241"/>
      <c r="AL9" s="242"/>
      <c r="AM9" s="242"/>
      <c r="AN9" s="243"/>
      <c r="AO9" s="239"/>
      <c r="AP9" s="237"/>
      <c r="AQ9" s="240"/>
      <c r="AR9" s="240"/>
      <c r="AS9" s="240"/>
      <c r="AT9" s="240"/>
      <c r="AU9" s="240"/>
      <c r="AV9" s="240"/>
      <c r="AW9" s="240"/>
      <c r="AX9" s="240"/>
      <c r="AY9" s="240"/>
      <c r="AZ9" s="240"/>
      <c r="BA9" s="239"/>
      <c r="BB9" s="237"/>
      <c r="BC9" s="240"/>
      <c r="BD9" s="240"/>
      <c r="BE9" s="240"/>
      <c r="BF9" s="240"/>
      <c r="BG9" s="240"/>
      <c r="BH9" s="240"/>
      <c r="BI9" s="240"/>
      <c r="BJ9" s="240"/>
      <c r="BK9" s="240"/>
      <c r="BL9" s="240"/>
      <c r="BM9" s="239"/>
      <c r="BN9" s="237"/>
      <c r="BO9" s="240"/>
      <c r="BP9" s="240"/>
      <c r="BQ9" s="240"/>
      <c r="BR9" s="240"/>
      <c r="BS9" s="240"/>
      <c r="BT9" s="240"/>
      <c r="BU9" s="240"/>
      <c r="BV9" s="240"/>
      <c r="BW9" s="240"/>
      <c r="BX9" s="240"/>
      <c r="BY9" s="239"/>
    </row>
    <row r="10" spans="1:77" ht="16">
      <c r="A10" s="205"/>
      <c r="B10" s="291"/>
      <c r="C10" s="220"/>
      <c r="D10" s="291"/>
      <c r="E10" s="291"/>
      <c r="F10" s="291"/>
      <c r="G10" s="301" t="s">
        <v>800</v>
      </c>
      <c r="H10" s="281"/>
      <c r="I10" s="237"/>
      <c r="J10" s="238"/>
      <c r="K10" s="238"/>
      <c r="L10" s="238"/>
      <c r="M10" s="238"/>
      <c r="N10" s="238"/>
      <c r="O10" s="238"/>
      <c r="P10" s="238"/>
      <c r="Q10" s="239"/>
      <c r="R10" s="237"/>
      <c r="S10" s="238"/>
      <c r="T10" s="238"/>
      <c r="U10" s="238"/>
      <c r="V10" s="238"/>
      <c r="W10" s="238"/>
      <c r="X10" s="238"/>
      <c r="Y10" s="238"/>
      <c r="Z10" s="238"/>
      <c r="AA10" s="238"/>
      <c r="AB10" s="238"/>
      <c r="AC10" s="239"/>
      <c r="AD10" s="237"/>
      <c r="AE10" s="239"/>
      <c r="AF10" s="240"/>
      <c r="AG10" s="240"/>
      <c r="AH10" s="239"/>
      <c r="AI10" s="240"/>
      <c r="AJ10" s="240"/>
      <c r="AK10" s="241"/>
      <c r="AL10" s="242"/>
      <c r="AM10" s="242"/>
      <c r="AN10" s="243"/>
      <c r="AO10" s="239"/>
      <c r="AP10" s="237"/>
      <c r="AQ10" s="240"/>
      <c r="AR10" s="240"/>
      <c r="AS10" s="240"/>
      <c r="AT10" s="240"/>
      <c r="AU10" s="240"/>
      <c r="AV10" s="240"/>
      <c r="AW10" s="240"/>
      <c r="AX10" s="240"/>
      <c r="AY10" s="240"/>
      <c r="AZ10" s="240"/>
      <c r="BA10" s="239"/>
      <c r="BB10" s="237"/>
      <c r="BC10" s="240"/>
      <c r="BD10" s="240"/>
      <c r="BE10" s="240"/>
      <c r="BF10" s="240"/>
      <c r="BG10" s="240"/>
      <c r="BH10" s="240"/>
      <c r="BI10" s="240"/>
      <c r="BJ10" s="240"/>
      <c r="BK10" s="240"/>
      <c r="BL10" s="240"/>
      <c r="BM10" s="239"/>
      <c r="BN10" s="237"/>
      <c r="BO10" s="240"/>
      <c r="BP10" s="240"/>
      <c r="BQ10" s="240"/>
      <c r="BR10" s="240"/>
      <c r="BS10" s="240"/>
      <c r="BT10" s="240"/>
      <c r="BU10" s="240"/>
      <c r="BV10" s="240"/>
      <c r="BW10" s="240"/>
      <c r="BX10" s="240"/>
      <c r="BY10" s="239"/>
    </row>
    <row r="11" spans="1:77" ht="16">
      <c r="A11" s="205"/>
      <c r="B11" s="291"/>
      <c r="C11" s="220"/>
      <c r="D11" s="291"/>
      <c r="E11" s="291"/>
      <c r="F11" s="291"/>
      <c r="G11" s="301"/>
      <c r="H11" s="281"/>
      <c r="I11" s="237"/>
      <c r="J11" s="238"/>
      <c r="K11" s="238"/>
      <c r="L11" s="238"/>
      <c r="M11" s="238"/>
      <c r="N11" s="238"/>
      <c r="O11" s="238"/>
      <c r="P11" s="238"/>
      <c r="Q11" s="239"/>
      <c r="R11" s="237"/>
      <c r="S11" s="238"/>
      <c r="T11" s="238"/>
      <c r="U11" s="238"/>
      <c r="V11" s="238"/>
      <c r="W11" s="238"/>
      <c r="X11" s="238"/>
      <c r="Y11" s="238"/>
      <c r="Z11" s="238"/>
      <c r="AA11" s="238"/>
      <c r="AB11" s="238"/>
      <c r="AC11" s="239"/>
      <c r="AD11" s="237"/>
      <c r="AE11" s="239"/>
      <c r="AF11" s="240"/>
      <c r="AG11" s="240"/>
      <c r="AH11" s="239"/>
      <c r="AI11" s="240"/>
      <c r="AJ11" s="240"/>
      <c r="AK11" s="240"/>
      <c r="AL11" s="240"/>
      <c r="AM11" s="240"/>
      <c r="AN11" s="244"/>
      <c r="AO11" s="239"/>
      <c r="AP11" s="237"/>
      <c r="AQ11" s="240"/>
      <c r="AR11" s="240"/>
      <c r="AS11" s="240"/>
      <c r="AT11" s="240"/>
      <c r="AU11" s="240"/>
      <c r="AV11" s="240"/>
      <c r="AW11" s="240"/>
      <c r="AX11" s="240"/>
      <c r="AY11" s="240"/>
      <c r="AZ11" s="240"/>
      <c r="BA11" s="239"/>
      <c r="BB11" s="237"/>
      <c r="BC11" s="240"/>
      <c r="BD11" s="240"/>
      <c r="BE11" s="240"/>
      <c r="BF11" s="240"/>
      <c r="BG11" s="240"/>
      <c r="BH11" s="240"/>
      <c r="BI11" s="240"/>
      <c r="BJ11" s="240"/>
      <c r="BK11" s="240"/>
      <c r="BL11" s="240"/>
      <c r="BM11" s="239"/>
      <c r="BN11" s="237"/>
      <c r="BO11" s="240"/>
      <c r="BP11" s="240"/>
      <c r="BQ11" s="240"/>
      <c r="BR11" s="240"/>
      <c r="BS11" s="240"/>
      <c r="BT11" s="240"/>
      <c r="BU11" s="240"/>
      <c r="BV11" s="240"/>
      <c r="BW11" s="240"/>
      <c r="BX11" s="240"/>
      <c r="BY11" s="239"/>
    </row>
    <row r="12" spans="1:77" ht="16">
      <c r="A12" s="205"/>
      <c r="B12" s="291"/>
      <c r="C12" s="245"/>
      <c r="D12" s="305"/>
      <c r="E12" s="305"/>
      <c r="F12" s="305"/>
      <c r="G12" s="302"/>
      <c r="H12" s="303"/>
      <c r="I12" s="246"/>
      <c r="J12" s="247"/>
      <c r="K12" s="247"/>
      <c r="L12" s="247"/>
      <c r="M12" s="247"/>
      <c r="N12" s="247"/>
      <c r="O12" s="247"/>
      <c r="P12" s="247"/>
      <c r="Q12" s="248"/>
      <c r="R12" s="246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8"/>
      <c r="AD12" s="246"/>
      <c r="AE12" s="248"/>
      <c r="AF12" s="249"/>
      <c r="AG12" s="249"/>
      <c r="AH12" s="248"/>
      <c r="AI12" s="249"/>
      <c r="AJ12" s="249"/>
      <c r="AK12" s="249"/>
      <c r="AL12" s="249"/>
      <c r="AM12" s="249"/>
      <c r="AN12" s="250"/>
      <c r="AO12" s="248"/>
      <c r="AP12" s="246"/>
      <c r="AQ12" s="249"/>
      <c r="AR12" s="249"/>
      <c r="AS12" s="249"/>
      <c r="AT12" s="249"/>
      <c r="AU12" s="249"/>
      <c r="AV12" s="249"/>
      <c r="AW12" s="249"/>
      <c r="AX12" s="249"/>
      <c r="AY12" s="249"/>
      <c r="AZ12" s="249"/>
      <c r="BA12" s="248"/>
      <c r="BB12" s="246"/>
      <c r="BC12" s="249"/>
      <c r="BD12" s="249"/>
      <c r="BE12" s="249"/>
      <c r="BF12" s="249"/>
      <c r="BG12" s="249"/>
      <c r="BH12" s="249"/>
      <c r="BI12" s="249"/>
      <c r="BJ12" s="249"/>
      <c r="BK12" s="249"/>
      <c r="BL12" s="249"/>
      <c r="BM12" s="248"/>
      <c r="BN12" s="246"/>
      <c r="BO12" s="249"/>
      <c r="BP12" s="249"/>
      <c r="BQ12" s="249"/>
      <c r="BR12" s="249"/>
      <c r="BS12" s="249"/>
      <c r="BT12" s="249"/>
      <c r="BU12" s="249"/>
      <c r="BV12" s="249"/>
      <c r="BW12" s="249"/>
      <c r="BX12" s="249"/>
      <c r="BY12" s="248"/>
    </row>
    <row r="13" spans="1:77" ht="16">
      <c r="A13" s="205"/>
      <c r="B13" s="297">
        <v>2</v>
      </c>
      <c r="C13" s="220"/>
      <c r="D13" s="292" t="s">
        <v>801</v>
      </c>
      <c r="E13" s="291"/>
      <c r="F13" s="291"/>
      <c r="G13" s="306" t="s">
        <v>802</v>
      </c>
      <c r="H13" s="281"/>
      <c r="I13" s="221"/>
      <c r="J13" s="223"/>
      <c r="K13" s="222"/>
      <c r="L13" s="222"/>
      <c r="M13" s="222"/>
      <c r="N13" s="222"/>
      <c r="O13" s="222"/>
      <c r="P13" s="222"/>
      <c r="Q13" s="223"/>
      <c r="R13" s="221"/>
      <c r="S13" s="226"/>
      <c r="T13" s="226"/>
      <c r="U13" s="226"/>
      <c r="V13" s="226"/>
      <c r="W13" s="226"/>
      <c r="X13" s="226"/>
      <c r="Y13" s="226"/>
      <c r="Z13" s="226"/>
      <c r="AA13" s="227"/>
      <c r="AB13" s="222"/>
      <c r="AC13" s="223"/>
      <c r="AD13" s="221"/>
      <c r="AE13" s="223"/>
      <c r="AF13" s="226"/>
      <c r="AG13" s="226"/>
      <c r="AH13" s="223"/>
      <c r="AI13" s="224"/>
      <c r="AJ13" s="224"/>
      <c r="AK13" s="224"/>
      <c r="AL13" s="224"/>
      <c r="AM13" s="224"/>
      <c r="AN13" s="224"/>
      <c r="AO13" s="223"/>
      <c r="AP13" s="221"/>
      <c r="AQ13" s="226"/>
      <c r="AR13" s="226"/>
      <c r="AS13" s="226"/>
      <c r="AT13" s="226"/>
      <c r="AU13" s="226"/>
      <c r="AV13" s="226"/>
      <c r="AW13" s="226"/>
      <c r="AX13" s="226"/>
      <c r="AY13" s="227"/>
      <c r="AZ13" s="224"/>
      <c r="BA13" s="223"/>
      <c r="BB13" s="221"/>
      <c r="BC13" s="226"/>
      <c r="BD13" s="226"/>
      <c r="BE13" s="226"/>
      <c r="BF13" s="226"/>
      <c r="BG13" s="226"/>
      <c r="BH13" s="226"/>
      <c r="BI13" s="226"/>
      <c r="BJ13" s="226"/>
      <c r="BK13" s="227"/>
      <c r="BL13" s="224"/>
      <c r="BM13" s="223"/>
      <c r="BN13" s="221"/>
      <c r="BO13" s="226"/>
      <c r="BP13" s="226"/>
      <c r="BQ13" s="226"/>
      <c r="BR13" s="226"/>
      <c r="BS13" s="226"/>
      <c r="BT13" s="226"/>
      <c r="BU13" s="226"/>
      <c r="BV13" s="226"/>
      <c r="BW13" s="227"/>
      <c r="BX13" s="224"/>
      <c r="BY13" s="223"/>
    </row>
    <row r="14" spans="1:77" ht="16">
      <c r="A14" s="205"/>
      <c r="B14" s="291"/>
      <c r="C14" s="220"/>
      <c r="D14" s="291"/>
      <c r="E14" s="291"/>
      <c r="F14" s="291"/>
      <c r="G14" s="306" t="s">
        <v>803</v>
      </c>
      <c r="H14" s="281"/>
      <c r="I14" s="229"/>
      <c r="J14" s="231"/>
      <c r="K14" s="230"/>
      <c r="L14" s="230"/>
      <c r="M14" s="230"/>
      <c r="N14" s="230"/>
      <c r="O14" s="230"/>
      <c r="P14" s="230"/>
      <c r="Q14" s="231"/>
      <c r="R14" s="229"/>
      <c r="S14" s="230"/>
      <c r="T14" s="230"/>
      <c r="U14" s="233"/>
      <c r="V14" s="234"/>
      <c r="W14" s="234"/>
      <c r="X14" s="234"/>
      <c r="Y14" s="234"/>
      <c r="Z14" s="234"/>
      <c r="AA14" s="234"/>
      <c r="AB14" s="234"/>
      <c r="AC14" s="231"/>
      <c r="AD14" s="229"/>
      <c r="AE14" s="231"/>
      <c r="AF14" s="232"/>
      <c r="AG14" s="233"/>
      <c r="AH14" s="231"/>
      <c r="AI14" s="232"/>
      <c r="AJ14" s="232"/>
      <c r="AK14" s="232"/>
      <c r="AL14" s="232"/>
      <c r="AM14" s="232"/>
      <c r="AN14" s="232"/>
      <c r="AO14" s="231"/>
      <c r="AP14" s="229"/>
      <c r="AQ14" s="232"/>
      <c r="AR14" s="232"/>
      <c r="AS14" s="233"/>
      <c r="AT14" s="233"/>
      <c r="AU14" s="233"/>
      <c r="AV14" s="233"/>
      <c r="AW14" s="234"/>
      <c r="AX14" s="234"/>
      <c r="AY14" s="234"/>
      <c r="AZ14" s="234"/>
      <c r="BA14" s="231"/>
      <c r="BB14" s="229"/>
      <c r="BC14" s="232"/>
      <c r="BD14" s="232"/>
      <c r="BE14" s="233"/>
      <c r="BF14" s="233"/>
      <c r="BG14" s="233"/>
      <c r="BH14" s="233"/>
      <c r="BI14" s="234"/>
      <c r="BJ14" s="234"/>
      <c r="BK14" s="234"/>
      <c r="BL14" s="234"/>
      <c r="BM14" s="231"/>
      <c r="BN14" s="229"/>
      <c r="BO14" s="232"/>
      <c r="BP14" s="232"/>
      <c r="BQ14" s="233"/>
      <c r="BR14" s="233"/>
      <c r="BS14" s="233"/>
      <c r="BT14" s="233"/>
      <c r="BU14" s="234"/>
      <c r="BV14" s="234"/>
      <c r="BW14" s="234"/>
      <c r="BX14" s="234"/>
      <c r="BY14" s="231"/>
    </row>
    <row r="15" spans="1:77" ht="16">
      <c r="A15" s="205"/>
      <c r="B15" s="291"/>
      <c r="C15" s="220"/>
      <c r="D15" s="291"/>
      <c r="E15" s="291"/>
      <c r="F15" s="291"/>
      <c r="G15" s="306" t="s">
        <v>804</v>
      </c>
      <c r="H15" s="281"/>
      <c r="I15" s="229"/>
      <c r="J15" s="231"/>
      <c r="K15" s="230"/>
      <c r="L15" s="230"/>
      <c r="M15" s="230"/>
      <c r="N15" s="230"/>
      <c r="O15" s="230"/>
      <c r="P15" s="230"/>
      <c r="Q15" s="231"/>
      <c r="R15" s="229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1"/>
      <c r="AD15" s="229"/>
      <c r="AE15" s="231"/>
      <c r="AF15" s="230"/>
      <c r="AG15" s="230"/>
      <c r="AH15" s="231"/>
      <c r="AI15" s="230"/>
      <c r="AJ15" s="230"/>
      <c r="AK15" s="230"/>
      <c r="AL15" s="230"/>
      <c r="AM15" s="230"/>
      <c r="AN15" s="230"/>
      <c r="AO15" s="231"/>
      <c r="AP15" s="229"/>
      <c r="AQ15" s="230"/>
      <c r="AR15" s="230"/>
      <c r="AS15" s="230"/>
      <c r="AT15" s="230"/>
      <c r="AU15" s="230"/>
      <c r="AV15" s="230"/>
      <c r="AW15" s="230"/>
      <c r="AX15" s="230"/>
      <c r="AY15" s="230"/>
      <c r="AZ15" s="230"/>
      <c r="BA15" s="231"/>
      <c r="BB15" s="229"/>
      <c r="BC15" s="230"/>
      <c r="BD15" s="230"/>
      <c r="BE15" s="230"/>
      <c r="BF15" s="230"/>
      <c r="BG15" s="230"/>
      <c r="BH15" s="230"/>
      <c r="BI15" s="230"/>
      <c r="BJ15" s="230"/>
      <c r="BK15" s="230"/>
      <c r="BL15" s="230"/>
      <c r="BM15" s="231"/>
      <c r="BN15" s="229"/>
      <c r="BO15" s="230"/>
      <c r="BP15" s="230"/>
      <c r="BQ15" s="230"/>
      <c r="BR15" s="230"/>
      <c r="BS15" s="230"/>
      <c r="BT15" s="230"/>
      <c r="BU15" s="230"/>
      <c r="BV15" s="230"/>
      <c r="BW15" s="230"/>
      <c r="BX15" s="230"/>
      <c r="BY15" s="231"/>
    </row>
    <row r="16" spans="1:77" ht="16">
      <c r="A16" s="205"/>
      <c r="B16" s="291"/>
      <c r="C16" s="220"/>
      <c r="D16" s="291"/>
      <c r="E16" s="291"/>
      <c r="F16" s="291"/>
      <c r="G16" s="306" t="s">
        <v>805</v>
      </c>
      <c r="H16" s="281"/>
      <c r="I16" s="229"/>
      <c r="J16" s="231"/>
      <c r="K16" s="230"/>
      <c r="L16" s="230"/>
      <c r="M16" s="230"/>
      <c r="N16" s="230"/>
      <c r="O16" s="230"/>
      <c r="P16" s="230"/>
      <c r="Q16" s="231"/>
      <c r="R16" s="229"/>
      <c r="S16" s="230"/>
      <c r="T16" s="230"/>
      <c r="U16" s="230"/>
      <c r="V16" s="230"/>
      <c r="W16" s="230"/>
      <c r="X16" s="230"/>
      <c r="Y16" s="230"/>
      <c r="Z16" s="230"/>
      <c r="AA16" s="230"/>
      <c r="AB16" s="230"/>
      <c r="AC16" s="231"/>
      <c r="AD16" s="229"/>
      <c r="AE16" s="231"/>
      <c r="AF16" s="230"/>
      <c r="AG16" s="230"/>
      <c r="AH16" s="231"/>
      <c r="AI16" s="230"/>
      <c r="AJ16" s="230"/>
      <c r="AK16" s="230"/>
      <c r="AL16" s="230"/>
      <c r="AM16" s="230"/>
      <c r="AN16" s="230"/>
      <c r="AO16" s="231"/>
      <c r="AP16" s="229"/>
      <c r="AQ16" s="230"/>
      <c r="AR16" s="230"/>
      <c r="AS16" s="230"/>
      <c r="AT16" s="230"/>
      <c r="AU16" s="230"/>
      <c r="AV16" s="230"/>
      <c r="AW16" s="230"/>
      <c r="AX16" s="230"/>
      <c r="AY16" s="230"/>
      <c r="AZ16" s="230"/>
      <c r="BA16" s="231"/>
      <c r="BB16" s="229"/>
      <c r="BC16" s="230"/>
      <c r="BD16" s="230"/>
      <c r="BE16" s="230"/>
      <c r="BF16" s="230"/>
      <c r="BG16" s="230"/>
      <c r="BH16" s="230"/>
      <c r="BI16" s="230"/>
      <c r="BJ16" s="230"/>
      <c r="BK16" s="230"/>
      <c r="BL16" s="230"/>
      <c r="BM16" s="231"/>
      <c r="BN16" s="229"/>
      <c r="BO16" s="230"/>
      <c r="BP16" s="230"/>
      <c r="BQ16" s="230"/>
      <c r="BR16" s="230"/>
      <c r="BS16" s="230"/>
      <c r="BT16" s="230"/>
      <c r="BU16" s="230"/>
      <c r="BV16" s="230"/>
      <c r="BW16" s="230"/>
      <c r="BX16" s="230"/>
      <c r="BY16" s="231"/>
    </row>
    <row r="17" spans="1:77" ht="16">
      <c r="A17" s="205"/>
      <c r="B17" s="291"/>
      <c r="C17" s="220"/>
      <c r="D17" s="291"/>
      <c r="E17" s="291"/>
      <c r="F17" s="291"/>
      <c r="G17" s="306" t="s">
        <v>806</v>
      </c>
      <c r="H17" s="281"/>
      <c r="I17" s="237"/>
      <c r="J17" s="239"/>
      <c r="K17" s="238"/>
      <c r="L17" s="238"/>
      <c r="M17" s="238"/>
      <c r="N17" s="238"/>
      <c r="O17" s="238"/>
      <c r="P17" s="238"/>
      <c r="Q17" s="239"/>
      <c r="R17" s="237"/>
      <c r="S17" s="238"/>
      <c r="T17" s="238"/>
      <c r="U17" s="238"/>
      <c r="V17" s="238"/>
      <c r="W17" s="238"/>
      <c r="X17" s="238"/>
      <c r="Y17" s="238"/>
      <c r="Z17" s="238"/>
      <c r="AA17" s="238"/>
      <c r="AB17" s="238"/>
      <c r="AC17" s="239"/>
      <c r="AD17" s="237"/>
      <c r="AE17" s="239"/>
      <c r="AF17" s="238"/>
      <c r="AG17" s="238"/>
      <c r="AH17" s="239"/>
      <c r="AI17" s="238"/>
      <c r="AJ17" s="238"/>
      <c r="AK17" s="238"/>
      <c r="AL17" s="238"/>
      <c r="AM17" s="238"/>
      <c r="AN17" s="238"/>
      <c r="AO17" s="239"/>
      <c r="AP17" s="237"/>
      <c r="AQ17" s="238"/>
      <c r="AR17" s="238"/>
      <c r="AS17" s="238"/>
      <c r="AT17" s="238"/>
      <c r="AU17" s="238"/>
      <c r="AV17" s="238"/>
      <c r="AW17" s="238"/>
      <c r="AX17" s="238"/>
      <c r="AY17" s="238"/>
      <c r="AZ17" s="238"/>
      <c r="BA17" s="239"/>
      <c r="BB17" s="237"/>
      <c r="BC17" s="238"/>
      <c r="BD17" s="238"/>
      <c r="BE17" s="238"/>
      <c r="BF17" s="238"/>
      <c r="BG17" s="238"/>
      <c r="BH17" s="238"/>
      <c r="BI17" s="238"/>
      <c r="BJ17" s="238"/>
      <c r="BK17" s="238"/>
      <c r="BL17" s="238"/>
      <c r="BM17" s="239"/>
      <c r="BN17" s="237"/>
      <c r="BO17" s="238"/>
      <c r="BP17" s="238"/>
      <c r="BQ17" s="238"/>
      <c r="BR17" s="238"/>
      <c r="BS17" s="238"/>
      <c r="BT17" s="238"/>
      <c r="BU17" s="238"/>
      <c r="BV17" s="238"/>
      <c r="BW17" s="238"/>
      <c r="BX17" s="238"/>
      <c r="BY17" s="239"/>
    </row>
    <row r="18" spans="1:77" ht="16">
      <c r="A18" s="205"/>
      <c r="B18" s="291"/>
      <c r="C18" s="251"/>
      <c r="D18" s="293"/>
      <c r="E18" s="293"/>
      <c r="F18" s="293"/>
      <c r="G18" s="282" t="s">
        <v>807</v>
      </c>
      <c r="H18" s="283"/>
      <c r="I18" s="252"/>
      <c r="J18" s="253"/>
      <c r="K18" s="254"/>
      <c r="L18" s="254"/>
      <c r="M18" s="254"/>
      <c r="N18" s="254"/>
      <c r="O18" s="254"/>
      <c r="P18" s="254"/>
      <c r="Q18" s="253"/>
      <c r="R18" s="252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3"/>
      <c r="AD18" s="252"/>
      <c r="AE18" s="253"/>
      <c r="AF18" s="254"/>
      <c r="AG18" s="254"/>
      <c r="AH18" s="253"/>
      <c r="AI18" s="254"/>
      <c r="AJ18" s="254"/>
      <c r="AK18" s="254"/>
      <c r="AL18" s="254"/>
      <c r="AM18" s="254"/>
      <c r="AN18" s="254"/>
      <c r="AO18" s="253"/>
      <c r="AP18" s="252"/>
      <c r="AQ18" s="254"/>
      <c r="AR18" s="254"/>
      <c r="AS18" s="254"/>
      <c r="AT18" s="254"/>
      <c r="AU18" s="254"/>
      <c r="AV18" s="254"/>
      <c r="AW18" s="254"/>
      <c r="AX18" s="254"/>
      <c r="AY18" s="254"/>
      <c r="AZ18" s="254"/>
      <c r="BA18" s="253"/>
      <c r="BB18" s="252"/>
      <c r="BC18" s="254"/>
      <c r="BD18" s="254"/>
      <c r="BE18" s="254"/>
      <c r="BF18" s="254"/>
      <c r="BG18" s="254"/>
      <c r="BH18" s="254"/>
      <c r="BI18" s="254"/>
      <c r="BJ18" s="254"/>
      <c r="BK18" s="254"/>
      <c r="BL18" s="254"/>
      <c r="BM18" s="253"/>
      <c r="BN18" s="252"/>
      <c r="BO18" s="254"/>
      <c r="BP18" s="254"/>
      <c r="BQ18" s="254"/>
      <c r="BR18" s="254"/>
      <c r="BS18" s="254"/>
      <c r="BT18" s="254"/>
      <c r="BU18" s="254"/>
      <c r="BV18" s="254"/>
      <c r="BW18" s="254"/>
      <c r="BX18" s="254"/>
      <c r="BY18" s="253"/>
    </row>
    <row r="19" spans="1:77" ht="16">
      <c r="A19" s="205"/>
      <c r="B19" s="299">
        <v>3</v>
      </c>
      <c r="C19" s="220"/>
      <c r="D19" s="294" t="s">
        <v>808</v>
      </c>
      <c r="E19" s="291"/>
      <c r="F19" s="291"/>
      <c r="G19" s="284" t="s">
        <v>809</v>
      </c>
      <c r="H19" s="281"/>
      <c r="I19" s="221"/>
      <c r="J19" s="223"/>
      <c r="K19" s="222"/>
      <c r="L19" s="222"/>
      <c r="M19" s="222"/>
      <c r="N19" s="222"/>
      <c r="O19" s="222"/>
      <c r="P19" s="222"/>
      <c r="Q19" s="223"/>
      <c r="R19" s="221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3"/>
      <c r="AD19" s="221"/>
      <c r="AE19" s="223"/>
      <c r="AF19" s="222"/>
      <c r="AG19" s="222"/>
      <c r="AH19" s="223"/>
      <c r="AI19" s="222"/>
      <c r="AJ19" s="222"/>
      <c r="AK19" s="222"/>
      <c r="AL19" s="222"/>
      <c r="AM19" s="222"/>
      <c r="AN19" s="222"/>
      <c r="AO19" s="223"/>
      <c r="AP19" s="221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3"/>
      <c r="BB19" s="221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3"/>
      <c r="BN19" s="221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3"/>
    </row>
    <row r="20" spans="1:77" ht="16">
      <c r="A20" s="205"/>
      <c r="B20" s="291"/>
      <c r="C20" s="220"/>
      <c r="D20" s="291"/>
      <c r="E20" s="291"/>
      <c r="F20" s="291"/>
      <c r="G20" s="284" t="s">
        <v>810</v>
      </c>
      <c r="H20" s="281"/>
      <c r="I20" s="229"/>
      <c r="J20" s="231"/>
      <c r="K20" s="230"/>
      <c r="L20" s="230"/>
      <c r="M20" s="230"/>
      <c r="N20" s="230"/>
      <c r="O20" s="230"/>
      <c r="P20" s="230"/>
      <c r="Q20" s="231"/>
      <c r="R20" s="229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1"/>
      <c r="AD20" s="229"/>
      <c r="AE20" s="231"/>
      <c r="AF20" s="230"/>
      <c r="AG20" s="230"/>
      <c r="AH20" s="231"/>
      <c r="AI20" s="230"/>
      <c r="AJ20" s="230"/>
      <c r="AK20" s="230"/>
      <c r="AL20" s="230"/>
      <c r="AM20" s="230"/>
      <c r="AN20" s="230"/>
      <c r="AO20" s="231"/>
      <c r="AP20" s="229"/>
      <c r="AQ20" s="230"/>
      <c r="AR20" s="230"/>
      <c r="AS20" s="230"/>
      <c r="AT20" s="230"/>
      <c r="AU20" s="230"/>
      <c r="AV20" s="230"/>
      <c r="AW20" s="230"/>
      <c r="AX20" s="230"/>
      <c r="AY20" s="230"/>
      <c r="AZ20" s="230"/>
      <c r="BA20" s="231"/>
      <c r="BB20" s="229"/>
      <c r="BC20" s="230"/>
      <c r="BD20" s="230"/>
      <c r="BE20" s="230"/>
      <c r="BF20" s="230"/>
      <c r="BG20" s="230"/>
      <c r="BH20" s="230"/>
      <c r="BI20" s="230"/>
      <c r="BJ20" s="230"/>
      <c r="BK20" s="230"/>
      <c r="BL20" s="230"/>
      <c r="BM20" s="231"/>
      <c r="BN20" s="229"/>
      <c r="BO20" s="230"/>
      <c r="BP20" s="230"/>
      <c r="BQ20" s="230"/>
      <c r="BR20" s="230"/>
      <c r="BS20" s="230"/>
      <c r="BT20" s="230"/>
      <c r="BU20" s="230"/>
      <c r="BV20" s="230"/>
      <c r="BW20" s="230"/>
      <c r="BX20" s="230"/>
      <c r="BY20" s="231"/>
    </row>
    <row r="21" spans="1:77" ht="16">
      <c r="A21" s="205"/>
      <c r="B21" s="291"/>
      <c r="C21" s="220"/>
      <c r="D21" s="291"/>
      <c r="E21" s="291"/>
      <c r="F21" s="291"/>
      <c r="G21" s="255"/>
      <c r="H21" s="255"/>
      <c r="I21" s="229"/>
      <c r="J21" s="231"/>
      <c r="K21" s="230"/>
      <c r="L21" s="230"/>
      <c r="M21" s="230"/>
      <c r="N21" s="230"/>
      <c r="O21" s="230"/>
      <c r="P21" s="230"/>
      <c r="Q21" s="231"/>
      <c r="R21" s="229"/>
      <c r="S21" s="230"/>
      <c r="T21" s="230"/>
      <c r="U21" s="230"/>
      <c r="V21" s="230"/>
      <c r="W21" s="230"/>
      <c r="X21" s="230"/>
      <c r="Y21" s="230"/>
      <c r="Z21" s="230"/>
      <c r="AA21" s="230"/>
      <c r="AB21" s="230"/>
      <c r="AC21" s="231"/>
      <c r="AD21" s="229"/>
      <c r="AE21" s="231"/>
      <c r="AF21" s="230"/>
      <c r="AG21" s="230"/>
      <c r="AH21" s="231"/>
      <c r="AI21" s="230"/>
      <c r="AJ21" s="230"/>
      <c r="AK21" s="230"/>
      <c r="AL21" s="230"/>
      <c r="AM21" s="230"/>
      <c r="AN21" s="230"/>
      <c r="AO21" s="231"/>
      <c r="AP21" s="229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1"/>
      <c r="BB21" s="229"/>
      <c r="BC21" s="230"/>
      <c r="BD21" s="230"/>
      <c r="BE21" s="230"/>
      <c r="BF21" s="230"/>
      <c r="BG21" s="230"/>
      <c r="BH21" s="230"/>
      <c r="BI21" s="230"/>
      <c r="BJ21" s="230"/>
      <c r="BK21" s="230"/>
      <c r="BL21" s="230"/>
      <c r="BM21" s="231"/>
      <c r="BN21" s="229"/>
      <c r="BO21" s="230"/>
      <c r="BP21" s="230"/>
      <c r="BQ21" s="230"/>
      <c r="BR21" s="230"/>
      <c r="BS21" s="230"/>
      <c r="BT21" s="230"/>
      <c r="BU21" s="230"/>
      <c r="BV21" s="230"/>
      <c r="BW21" s="230"/>
      <c r="BX21" s="230"/>
      <c r="BY21" s="231"/>
    </row>
    <row r="22" spans="1:77" ht="16">
      <c r="A22" s="205"/>
      <c r="B22" s="291"/>
      <c r="C22" s="220"/>
      <c r="D22" s="291"/>
      <c r="E22" s="291"/>
      <c r="F22" s="291"/>
      <c r="G22" s="255"/>
      <c r="H22" s="255"/>
      <c r="I22" s="229"/>
      <c r="J22" s="231"/>
      <c r="K22" s="230"/>
      <c r="L22" s="230"/>
      <c r="M22" s="230"/>
      <c r="N22" s="230"/>
      <c r="O22" s="230"/>
      <c r="P22" s="230"/>
      <c r="Q22" s="231"/>
      <c r="R22" s="229"/>
      <c r="S22" s="230"/>
      <c r="T22" s="230"/>
      <c r="U22" s="230"/>
      <c r="V22" s="230"/>
      <c r="W22" s="230"/>
      <c r="X22" s="230"/>
      <c r="Y22" s="230"/>
      <c r="Z22" s="230"/>
      <c r="AA22" s="230"/>
      <c r="AB22" s="230"/>
      <c r="AC22" s="231"/>
      <c r="AD22" s="229"/>
      <c r="AE22" s="231"/>
      <c r="AF22" s="230"/>
      <c r="AG22" s="230"/>
      <c r="AH22" s="231"/>
      <c r="AI22" s="230"/>
      <c r="AJ22" s="230"/>
      <c r="AK22" s="230"/>
      <c r="AL22" s="230"/>
      <c r="AM22" s="230"/>
      <c r="AN22" s="230"/>
      <c r="AO22" s="231"/>
      <c r="AP22" s="229"/>
      <c r="AQ22" s="230"/>
      <c r="AR22" s="230"/>
      <c r="AS22" s="230"/>
      <c r="AT22" s="230"/>
      <c r="AU22" s="230"/>
      <c r="AV22" s="230"/>
      <c r="AW22" s="230"/>
      <c r="AX22" s="230"/>
      <c r="AY22" s="230"/>
      <c r="AZ22" s="230"/>
      <c r="BA22" s="231"/>
      <c r="BB22" s="229"/>
      <c r="BC22" s="230"/>
      <c r="BD22" s="230"/>
      <c r="BE22" s="230"/>
      <c r="BF22" s="230"/>
      <c r="BG22" s="230"/>
      <c r="BH22" s="230"/>
      <c r="BI22" s="230"/>
      <c r="BJ22" s="230"/>
      <c r="BK22" s="230"/>
      <c r="BL22" s="230"/>
      <c r="BM22" s="231"/>
      <c r="BN22" s="229"/>
      <c r="BO22" s="230"/>
      <c r="BP22" s="230"/>
      <c r="BQ22" s="230"/>
      <c r="BR22" s="230"/>
      <c r="BS22" s="230"/>
      <c r="BT22" s="230"/>
      <c r="BU22" s="230"/>
      <c r="BV22" s="230"/>
      <c r="BW22" s="230"/>
      <c r="BX22" s="230"/>
      <c r="BY22" s="231"/>
    </row>
    <row r="23" spans="1:77" ht="16">
      <c r="A23" s="205"/>
      <c r="B23" s="291"/>
      <c r="C23" s="220"/>
      <c r="D23" s="291"/>
      <c r="E23" s="291"/>
      <c r="F23" s="291"/>
      <c r="G23" s="284" t="s">
        <v>811</v>
      </c>
      <c r="H23" s="281"/>
      <c r="I23" s="229"/>
      <c r="J23" s="231"/>
      <c r="K23" s="230"/>
      <c r="L23" s="230"/>
      <c r="M23" s="230"/>
      <c r="N23" s="230"/>
      <c r="O23" s="230"/>
      <c r="P23" s="230"/>
      <c r="Q23" s="231"/>
      <c r="R23" s="229"/>
      <c r="S23" s="230"/>
      <c r="T23" s="230"/>
      <c r="U23" s="230"/>
      <c r="V23" s="230"/>
      <c r="W23" s="230"/>
      <c r="X23" s="230"/>
      <c r="Y23" s="230"/>
      <c r="Z23" s="230"/>
      <c r="AA23" s="230"/>
      <c r="AB23" s="230"/>
      <c r="AC23" s="231"/>
      <c r="AD23" s="229"/>
      <c r="AE23" s="231"/>
      <c r="AF23" s="230"/>
      <c r="AG23" s="230"/>
      <c r="AH23" s="231"/>
      <c r="AI23" s="230"/>
      <c r="AJ23" s="230"/>
      <c r="AK23" s="230"/>
      <c r="AL23" s="230"/>
      <c r="AM23" s="230"/>
      <c r="AN23" s="230"/>
      <c r="AO23" s="231"/>
      <c r="AP23" s="229"/>
      <c r="AQ23" s="230"/>
      <c r="AR23" s="230"/>
      <c r="AS23" s="230"/>
      <c r="AT23" s="230"/>
      <c r="AU23" s="230"/>
      <c r="AV23" s="230"/>
      <c r="AW23" s="230"/>
      <c r="AX23" s="230"/>
      <c r="AY23" s="230"/>
      <c r="AZ23" s="230"/>
      <c r="BA23" s="231"/>
      <c r="BB23" s="229"/>
      <c r="BC23" s="230"/>
      <c r="BD23" s="230"/>
      <c r="BE23" s="230"/>
      <c r="BF23" s="230"/>
      <c r="BG23" s="230"/>
      <c r="BH23" s="230"/>
      <c r="BI23" s="230"/>
      <c r="BJ23" s="230"/>
      <c r="BK23" s="230"/>
      <c r="BL23" s="230"/>
      <c r="BM23" s="231"/>
      <c r="BN23" s="229"/>
      <c r="BO23" s="230"/>
      <c r="BP23" s="230"/>
      <c r="BQ23" s="230"/>
      <c r="BR23" s="230"/>
      <c r="BS23" s="230"/>
      <c r="BT23" s="230"/>
      <c r="BU23" s="230"/>
      <c r="BV23" s="230"/>
      <c r="BW23" s="230"/>
      <c r="BX23" s="230"/>
      <c r="BY23" s="231"/>
    </row>
    <row r="24" spans="1:77" ht="16">
      <c r="A24" s="205"/>
      <c r="B24" s="291"/>
      <c r="C24" s="256"/>
      <c r="D24" s="295"/>
      <c r="E24" s="295"/>
      <c r="F24" s="295"/>
      <c r="G24" s="285" t="s">
        <v>812</v>
      </c>
      <c r="H24" s="286"/>
      <c r="I24" s="257"/>
      <c r="J24" s="258"/>
      <c r="K24" s="259"/>
      <c r="L24" s="259"/>
      <c r="M24" s="259"/>
      <c r="N24" s="259"/>
      <c r="O24" s="259"/>
      <c r="P24" s="259"/>
      <c r="Q24" s="258"/>
      <c r="R24" s="257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8"/>
      <c r="AD24" s="257"/>
      <c r="AE24" s="258"/>
      <c r="AF24" s="259"/>
      <c r="AG24" s="259"/>
      <c r="AH24" s="258"/>
      <c r="AI24" s="259"/>
      <c r="AJ24" s="259"/>
      <c r="AK24" s="259"/>
      <c r="AL24" s="259"/>
      <c r="AM24" s="259"/>
      <c r="AN24" s="259"/>
      <c r="AO24" s="258"/>
      <c r="AP24" s="257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8"/>
      <c r="BB24" s="257"/>
      <c r="BC24" s="259"/>
      <c r="BD24" s="259"/>
      <c r="BE24" s="259"/>
      <c r="BF24" s="259"/>
      <c r="BG24" s="259"/>
      <c r="BH24" s="259"/>
      <c r="BI24" s="259"/>
      <c r="BJ24" s="259"/>
      <c r="BK24" s="259"/>
      <c r="BL24" s="259"/>
      <c r="BM24" s="258"/>
      <c r="BN24" s="257"/>
      <c r="BO24" s="259"/>
      <c r="BP24" s="259"/>
      <c r="BQ24" s="259"/>
      <c r="BR24" s="259"/>
      <c r="BS24" s="259"/>
      <c r="BT24" s="259"/>
      <c r="BU24" s="259"/>
      <c r="BV24" s="259"/>
      <c r="BW24" s="259"/>
      <c r="BX24" s="259"/>
      <c r="BY24" s="258"/>
    </row>
    <row r="25" spans="1:77" ht="16">
      <c r="A25" s="205"/>
      <c r="B25" s="300">
        <v>4</v>
      </c>
      <c r="C25" s="220"/>
      <c r="D25" s="307" t="s">
        <v>813</v>
      </c>
      <c r="E25" s="291"/>
      <c r="F25" s="291"/>
      <c r="G25" s="280" t="s">
        <v>814</v>
      </c>
      <c r="H25" s="281"/>
      <c r="I25" s="221"/>
      <c r="J25" s="223"/>
      <c r="K25" s="222"/>
      <c r="L25" s="222"/>
      <c r="M25" s="222"/>
      <c r="N25" s="222"/>
      <c r="O25" s="222"/>
      <c r="P25" s="222"/>
      <c r="Q25" s="223"/>
      <c r="R25" s="221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3"/>
      <c r="AD25" s="221"/>
      <c r="AE25" s="223"/>
      <c r="AF25" s="222"/>
      <c r="AG25" s="222"/>
      <c r="AH25" s="223"/>
      <c r="AI25" s="222"/>
      <c r="AJ25" s="222"/>
      <c r="AK25" s="222"/>
      <c r="AL25" s="222"/>
      <c r="AM25" s="222"/>
      <c r="AN25" s="222"/>
      <c r="AO25" s="223"/>
      <c r="AP25" s="221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3"/>
      <c r="BB25" s="221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3"/>
      <c r="BN25" s="221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3"/>
    </row>
    <row r="26" spans="1:77" ht="16">
      <c r="A26" s="205"/>
      <c r="B26" s="291"/>
      <c r="C26" s="220"/>
      <c r="D26" s="291"/>
      <c r="E26" s="291"/>
      <c r="F26" s="291"/>
      <c r="G26" s="260"/>
      <c r="H26" s="260"/>
      <c r="I26" s="221"/>
      <c r="J26" s="223"/>
      <c r="K26" s="222"/>
      <c r="L26" s="222"/>
      <c r="M26" s="222"/>
      <c r="N26" s="222"/>
      <c r="O26" s="222"/>
      <c r="P26" s="222"/>
      <c r="Q26" s="223"/>
      <c r="R26" s="221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3"/>
      <c r="AD26" s="221"/>
      <c r="AE26" s="223"/>
      <c r="AF26" s="222"/>
      <c r="AG26" s="222"/>
      <c r="AH26" s="223"/>
      <c r="AI26" s="222"/>
      <c r="AJ26" s="222"/>
      <c r="AK26" s="222"/>
      <c r="AL26" s="222"/>
      <c r="AM26" s="222"/>
      <c r="AN26" s="222"/>
      <c r="AO26" s="223"/>
      <c r="AP26" s="221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3"/>
      <c r="BB26" s="221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3"/>
      <c r="BN26" s="221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3"/>
    </row>
    <row r="27" spans="1:77" ht="16">
      <c r="A27" s="205"/>
      <c r="B27" s="291"/>
      <c r="C27" s="220"/>
      <c r="D27" s="291"/>
      <c r="E27" s="291"/>
      <c r="F27" s="291"/>
      <c r="G27" s="280" t="s">
        <v>815</v>
      </c>
      <c r="H27" s="281"/>
      <c r="I27" s="229"/>
      <c r="J27" s="231"/>
      <c r="K27" s="230"/>
      <c r="L27" s="230"/>
      <c r="M27" s="230"/>
      <c r="N27" s="230"/>
      <c r="O27" s="230"/>
      <c r="P27" s="230"/>
      <c r="Q27" s="231"/>
      <c r="R27" s="229"/>
      <c r="S27" s="230"/>
      <c r="T27" s="230"/>
      <c r="U27" s="230"/>
      <c r="V27" s="230"/>
      <c r="W27" s="230"/>
      <c r="X27" s="230"/>
      <c r="Y27" s="230"/>
      <c r="Z27" s="230"/>
      <c r="AA27" s="230"/>
      <c r="AB27" s="230"/>
      <c r="AC27" s="231"/>
      <c r="AD27" s="229"/>
      <c r="AE27" s="231"/>
      <c r="AF27" s="230"/>
      <c r="AG27" s="230"/>
      <c r="AH27" s="231"/>
      <c r="AI27" s="230"/>
      <c r="AJ27" s="230"/>
      <c r="AK27" s="230"/>
      <c r="AL27" s="230"/>
      <c r="AM27" s="230"/>
      <c r="AN27" s="230"/>
      <c r="AO27" s="231"/>
      <c r="AP27" s="229"/>
      <c r="AQ27" s="230"/>
      <c r="AR27" s="230"/>
      <c r="AS27" s="230"/>
      <c r="AT27" s="230"/>
      <c r="AU27" s="230"/>
      <c r="AV27" s="230"/>
      <c r="AW27" s="230"/>
      <c r="AX27" s="230"/>
      <c r="AY27" s="230"/>
      <c r="AZ27" s="230"/>
      <c r="BA27" s="231"/>
      <c r="BB27" s="229"/>
      <c r="BC27" s="230"/>
      <c r="BD27" s="230"/>
      <c r="BE27" s="230"/>
      <c r="BF27" s="230"/>
      <c r="BG27" s="230"/>
      <c r="BH27" s="230"/>
      <c r="BI27" s="230"/>
      <c r="BJ27" s="230"/>
      <c r="BK27" s="230"/>
      <c r="BL27" s="230"/>
      <c r="BM27" s="231"/>
      <c r="BN27" s="229"/>
      <c r="BO27" s="230"/>
      <c r="BP27" s="230"/>
      <c r="BQ27" s="230"/>
      <c r="BR27" s="230"/>
      <c r="BS27" s="230"/>
      <c r="BT27" s="230"/>
      <c r="BU27" s="230"/>
      <c r="BV27" s="230"/>
      <c r="BW27" s="230"/>
      <c r="BX27" s="230"/>
      <c r="BY27" s="231"/>
    </row>
    <row r="28" spans="1:77" ht="16">
      <c r="A28" s="205"/>
      <c r="B28" s="291"/>
      <c r="C28" s="220"/>
      <c r="D28" s="291"/>
      <c r="E28" s="291"/>
      <c r="F28" s="291"/>
      <c r="G28" s="260"/>
      <c r="H28" s="260"/>
      <c r="I28" s="229"/>
      <c r="J28" s="231"/>
      <c r="K28" s="230"/>
      <c r="L28" s="230"/>
      <c r="M28" s="230"/>
      <c r="N28" s="230"/>
      <c r="O28" s="230"/>
      <c r="P28" s="230"/>
      <c r="Q28" s="231"/>
      <c r="R28" s="229"/>
      <c r="S28" s="230"/>
      <c r="T28" s="230"/>
      <c r="U28" s="230"/>
      <c r="V28" s="230"/>
      <c r="W28" s="230"/>
      <c r="X28" s="230"/>
      <c r="Y28" s="230"/>
      <c r="Z28" s="230"/>
      <c r="AA28" s="230"/>
      <c r="AB28" s="230"/>
      <c r="AC28" s="231"/>
      <c r="AD28" s="229"/>
      <c r="AE28" s="231"/>
      <c r="AF28" s="230"/>
      <c r="AG28" s="230"/>
      <c r="AH28" s="231"/>
      <c r="AI28" s="230"/>
      <c r="AJ28" s="230"/>
      <c r="AK28" s="230"/>
      <c r="AL28" s="230"/>
      <c r="AM28" s="230"/>
      <c r="AN28" s="230"/>
      <c r="AO28" s="231"/>
      <c r="AP28" s="229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231"/>
      <c r="BB28" s="229"/>
      <c r="BC28" s="230"/>
      <c r="BD28" s="230"/>
      <c r="BE28" s="230"/>
      <c r="BF28" s="230"/>
      <c r="BG28" s="230"/>
      <c r="BH28" s="230"/>
      <c r="BI28" s="230"/>
      <c r="BJ28" s="230"/>
      <c r="BK28" s="230"/>
      <c r="BL28" s="230"/>
      <c r="BM28" s="231"/>
      <c r="BN28" s="229"/>
      <c r="BO28" s="230"/>
      <c r="BP28" s="230"/>
      <c r="BQ28" s="230"/>
      <c r="BR28" s="230"/>
      <c r="BS28" s="230"/>
      <c r="BT28" s="230"/>
      <c r="BU28" s="230"/>
      <c r="BV28" s="230"/>
      <c r="BW28" s="230"/>
      <c r="BX28" s="230"/>
      <c r="BY28" s="231"/>
    </row>
    <row r="29" spans="1:77" ht="16">
      <c r="A29" s="205"/>
      <c r="B29" s="291"/>
      <c r="C29" s="220"/>
      <c r="D29" s="291"/>
      <c r="E29" s="291"/>
      <c r="F29" s="291"/>
      <c r="G29" s="280" t="s">
        <v>816</v>
      </c>
      <c r="H29" s="281"/>
      <c r="I29" s="229"/>
      <c r="J29" s="231"/>
      <c r="K29" s="230"/>
      <c r="L29" s="230"/>
      <c r="M29" s="230"/>
      <c r="N29" s="230"/>
      <c r="O29" s="230"/>
      <c r="P29" s="230"/>
      <c r="Q29" s="231"/>
      <c r="R29" s="229"/>
      <c r="S29" s="230"/>
      <c r="T29" s="230"/>
      <c r="U29" s="230"/>
      <c r="V29" s="230"/>
      <c r="W29" s="230"/>
      <c r="X29" s="230"/>
      <c r="Y29" s="230"/>
      <c r="Z29" s="230"/>
      <c r="AA29" s="230"/>
      <c r="AB29" s="230"/>
      <c r="AC29" s="231"/>
      <c r="AD29" s="229"/>
      <c r="AE29" s="231"/>
      <c r="AF29" s="230"/>
      <c r="AG29" s="230"/>
      <c r="AH29" s="231"/>
      <c r="AI29" s="230"/>
      <c r="AJ29" s="230"/>
      <c r="AK29" s="230"/>
      <c r="AL29" s="230"/>
      <c r="AM29" s="230"/>
      <c r="AN29" s="230"/>
      <c r="AO29" s="231"/>
      <c r="AP29" s="229"/>
      <c r="AQ29" s="230"/>
      <c r="AR29" s="230"/>
      <c r="AS29" s="230"/>
      <c r="AT29" s="230"/>
      <c r="AU29" s="230"/>
      <c r="AV29" s="230"/>
      <c r="AW29" s="230"/>
      <c r="AX29" s="230"/>
      <c r="AY29" s="230"/>
      <c r="AZ29" s="230"/>
      <c r="BA29" s="231"/>
      <c r="BB29" s="229"/>
      <c r="BC29" s="230"/>
      <c r="BD29" s="230"/>
      <c r="BE29" s="230"/>
      <c r="BF29" s="230"/>
      <c r="BG29" s="230"/>
      <c r="BH29" s="230"/>
      <c r="BI29" s="230"/>
      <c r="BJ29" s="230"/>
      <c r="BK29" s="230"/>
      <c r="BL29" s="230"/>
      <c r="BM29" s="231"/>
      <c r="BN29" s="229"/>
      <c r="BO29" s="230"/>
      <c r="BP29" s="230"/>
      <c r="BQ29" s="230"/>
      <c r="BR29" s="230"/>
      <c r="BS29" s="230"/>
      <c r="BT29" s="230"/>
      <c r="BU29" s="230"/>
      <c r="BV29" s="230"/>
      <c r="BW29" s="230"/>
      <c r="BX29" s="230"/>
      <c r="BY29" s="231"/>
    </row>
    <row r="30" spans="1:77" ht="16">
      <c r="A30" s="205"/>
      <c r="B30" s="291"/>
      <c r="C30" s="261"/>
      <c r="D30" s="308"/>
      <c r="E30" s="308"/>
      <c r="F30" s="308"/>
      <c r="G30" s="287" t="s">
        <v>817</v>
      </c>
      <c r="H30" s="288"/>
      <c r="I30" s="262"/>
      <c r="J30" s="263"/>
      <c r="K30" s="264"/>
      <c r="L30" s="264"/>
      <c r="M30" s="264"/>
      <c r="N30" s="264"/>
      <c r="O30" s="264"/>
      <c r="P30" s="264"/>
      <c r="Q30" s="263"/>
      <c r="R30" s="262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3"/>
      <c r="AD30" s="262"/>
      <c r="AE30" s="263"/>
      <c r="AF30" s="264"/>
      <c r="AG30" s="264"/>
      <c r="AH30" s="263"/>
      <c r="AI30" s="264"/>
      <c r="AJ30" s="264"/>
      <c r="AK30" s="264"/>
      <c r="AL30" s="264"/>
      <c r="AM30" s="264"/>
      <c r="AN30" s="264"/>
      <c r="AO30" s="263"/>
      <c r="AP30" s="262"/>
      <c r="AQ30" s="264"/>
      <c r="AR30" s="264"/>
      <c r="AS30" s="264"/>
      <c r="AT30" s="264"/>
      <c r="AU30" s="264"/>
      <c r="AV30" s="264"/>
      <c r="AW30" s="264"/>
      <c r="AX30" s="264"/>
      <c r="AY30" s="264"/>
      <c r="AZ30" s="264"/>
      <c r="BA30" s="263"/>
      <c r="BB30" s="262"/>
      <c r="BC30" s="264"/>
      <c r="BD30" s="264"/>
      <c r="BE30" s="264"/>
      <c r="BF30" s="264"/>
      <c r="BG30" s="264"/>
      <c r="BH30" s="264"/>
      <c r="BI30" s="264"/>
      <c r="BJ30" s="264"/>
      <c r="BK30" s="264"/>
      <c r="BL30" s="264"/>
      <c r="BM30" s="263"/>
      <c r="BN30" s="262"/>
      <c r="BO30" s="264"/>
      <c r="BP30" s="264"/>
      <c r="BQ30" s="264"/>
      <c r="BR30" s="264"/>
      <c r="BS30" s="264"/>
      <c r="BT30" s="264"/>
      <c r="BU30" s="264"/>
      <c r="BV30" s="264"/>
      <c r="BW30" s="264"/>
      <c r="BX30" s="264"/>
      <c r="BY30" s="263"/>
    </row>
    <row r="31" spans="1:77" ht="16">
      <c r="A31" s="205"/>
      <c r="B31" s="290">
        <v>5</v>
      </c>
      <c r="C31" s="220"/>
      <c r="D31" s="296" t="s">
        <v>818</v>
      </c>
      <c r="E31" s="291"/>
      <c r="F31" s="291"/>
      <c r="G31" s="289" t="s">
        <v>819</v>
      </c>
      <c r="H31" s="281"/>
      <c r="I31" s="221"/>
      <c r="J31" s="223"/>
      <c r="K31" s="222"/>
      <c r="L31" s="222"/>
      <c r="M31" s="222"/>
      <c r="N31" s="222"/>
      <c r="O31" s="222"/>
      <c r="P31" s="222"/>
      <c r="Q31" s="223"/>
      <c r="R31" s="221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3"/>
      <c r="AD31" s="221"/>
      <c r="AE31" s="223"/>
      <c r="AF31" s="222"/>
      <c r="AG31" s="222"/>
      <c r="AH31" s="223"/>
      <c r="AI31" s="222"/>
      <c r="AJ31" s="222"/>
      <c r="AK31" s="222"/>
      <c r="AL31" s="222"/>
      <c r="AM31" s="222"/>
      <c r="AN31" s="222"/>
      <c r="AO31" s="223"/>
      <c r="AP31" s="221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3"/>
      <c r="BB31" s="221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3"/>
      <c r="BN31" s="221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3"/>
    </row>
    <row r="32" spans="1:77" ht="16">
      <c r="A32" s="205"/>
      <c r="B32" s="291"/>
      <c r="C32" s="220"/>
      <c r="D32" s="291"/>
      <c r="E32" s="291"/>
      <c r="F32" s="291"/>
      <c r="G32" s="265"/>
      <c r="H32" s="265"/>
      <c r="I32" s="221"/>
      <c r="J32" s="223"/>
      <c r="K32" s="222"/>
      <c r="L32" s="222"/>
      <c r="M32" s="222"/>
      <c r="N32" s="222"/>
      <c r="O32" s="222"/>
      <c r="P32" s="222"/>
      <c r="Q32" s="223"/>
      <c r="R32" s="221"/>
      <c r="S32" s="222"/>
      <c r="T32" s="222"/>
      <c r="U32" s="222"/>
      <c r="V32" s="222"/>
      <c r="W32" s="222"/>
      <c r="X32" s="222"/>
      <c r="Y32" s="222"/>
      <c r="Z32" s="222"/>
      <c r="AA32" s="222"/>
      <c r="AB32" s="222"/>
      <c r="AC32" s="223"/>
      <c r="AD32" s="221"/>
      <c r="AE32" s="223"/>
      <c r="AF32" s="222"/>
      <c r="AG32" s="222"/>
      <c r="AH32" s="223"/>
      <c r="AI32" s="222"/>
      <c r="AJ32" s="222"/>
      <c r="AK32" s="222"/>
      <c r="AL32" s="222"/>
      <c r="AM32" s="222"/>
      <c r="AN32" s="222"/>
      <c r="AO32" s="223"/>
      <c r="AP32" s="221"/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3"/>
      <c r="BB32" s="221"/>
      <c r="BC32" s="222"/>
      <c r="BD32" s="222"/>
      <c r="BE32" s="222"/>
      <c r="BF32" s="222"/>
      <c r="BG32" s="222"/>
      <c r="BH32" s="222"/>
      <c r="BI32" s="222"/>
      <c r="BJ32" s="222"/>
      <c r="BK32" s="222"/>
      <c r="BL32" s="222"/>
      <c r="BM32" s="223"/>
      <c r="BN32" s="221"/>
      <c r="BO32" s="222"/>
      <c r="BP32" s="222"/>
      <c r="BQ32" s="222"/>
      <c r="BR32" s="222"/>
      <c r="BS32" s="222"/>
      <c r="BT32" s="222"/>
      <c r="BU32" s="222"/>
      <c r="BV32" s="222"/>
      <c r="BW32" s="222"/>
      <c r="BX32" s="222"/>
      <c r="BY32" s="223"/>
    </row>
    <row r="33" spans="1:77" ht="16">
      <c r="A33" s="205"/>
      <c r="B33" s="291"/>
      <c r="C33" s="220"/>
      <c r="D33" s="291"/>
      <c r="E33" s="291"/>
      <c r="F33" s="291"/>
      <c r="G33" s="265"/>
      <c r="H33" s="265"/>
      <c r="I33" s="221"/>
      <c r="J33" s="223"/>
      <c r="K33" s="222"/>
      <c r="L33" s="222"/>
      <c r="M33" s="222"/>
      <c r="N33" s="222"/>
      <c r="O33" s="222"/>
      <c r="P33" s="222"/>
      <c r="Q33" s="223"/>
      <c r="R33" s="221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3"/>
      <c r="AD33" s="221"/>
      <c r="AE33" s="223"/>
      <c r="AF33" s="222"/>
      <c r="AG33" s="222"/>
      <c r="AH33" s="223"/>
      <c r="AI33" s="222"/>
      <c r="AJ33" s="222"/>
      <c r="AK33" s="222"/>
      <c r="AL33" s="222"/>
      <c r="AM33" s="222"/>
      <c r="AN33" s="222"/>
      <c r="AO33" s="223"/>
      <c r="AP33" s="221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3"/>
      <c r="BB33" s="221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3"/>
      <c r="BN33" s="221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3"/>
    </row>
    <row r="34" spans="1:77" ht="16">
      <c r="A34" s="205"/>
      <c r="B34" s="291"/>
      <c r="C34" s="220"/>
      <c r="D34" s="291"/>
      <c r="E34" s="291"/>
      <c r="F34" s="291"/>
      <c r="G34" s="265"/>
      <c r="H34" s="265"/>
      <c r="I34" s="221"/>
      <c r="J34" s="223"/>
      <c r="K34" s="222"/>
      <c r="L34" s="222"/>
      <c r="M34" s="222"/>
      <c r="N34" s="222"/>
      <c r="O34" s="222"/>
      <c r="P34" s="222"/>
      <c r="Q34" s="223"/>
      <c r="R34" s="221"/>
      <c r="S34" s="222"/>
      <c r="T34" s="222"/>
      <c r="U34" s="222"/>
      <c r="V34" s="222"/>
      <c r="W34" s="222"/>
      <c r="X34" s="222"/>
      <c r="Y34" s="222"/>
      <c r="Z34" s="222"/>
      <c r="AA34" s="222"/>
      <c r="AB34" s="222"/>
      <c r="AC34" s="223"/>
      <c r="AD34" s="221"/>
      <c r="AE34" s="223"/>
      <c r="AF34" s="222"/>
      <c r="AG34" s="222"/>
      <c r="AH34" s="223"/>
      <c r="AI34" s="222"/>
      <c r="AJ34" s="222"/>
      <c r="AK34" s="222"/>
      <c r="AL34" s="222"/>
      <c r="AM34" s="222"/>
      <c r="AN34" s="222"/>
      <c r="AO34" s="223"/>
      <c r="AP34" s="221"/>
      <c r="AQ34" s="222"/>
      <c r="AR34" s="222"/>
      <c r="AS34" s="222"/>
      <c r="AT34" s="222"/>
      <c r="AU34" s="222"/>
      <c r="AV34" s="222"/>
      <c r="AW34" s="222"/>
      <c r="AX34" s="222"/>
      <c r="AY34" s="222"/>
      <c r="AZ34" s="222"/>
      <c r="BA34" s="223"/>
      <c r="BB34" s="221"/>
      <c r="BC34" s="222"/>
      <c r="BD34" s="222"/>
      <c r="BE34" s="222"/>
      <c r="BF34" s="222"/>
      <c r="BG34" s="222"/>
      <c r="BH34" s="222"/>
      <c r="BI34" s="222"/>
      <c r="BJ34" s="222"/>
      <c r="BK34" s="222"/>
      <c r="BL34" s="222"/>
      <c r="BM34" s="223"/>
      <c r="BN34" s="221"/>
      <c r="BO34" s="222"/>
      <c r="BP34" s="222"/>
      <c r="BQ34" s="222"/>
      <c r="BR34" s="222"/>
      <c r="BS34" s="222"/>
      <c r="BT34" s="222"/>
      <c r="BU34" s="222"/>
      <c r="BV34" s="222"/>
      <c r="BW34" s="222"/>
      <c r="BX34" s="222"/>
      <c r="BY34" s="223"/>
    </row>
    <row r="35" spans="1:77" ht="16">
      <c r="A35" s="205"/>
      <c r="B35" s="291"/>
      <c r="C35" s="220"/>
      <c r="D35" s="291"/>
      <c r="E35" s="291"/>
      <c r="F35" s="291"/>
      <c r="G35" s="289" t="s">
        <v>820</v>
      </c>
      <c r="H35" s="281"/>
      <c r="I35" s="229"/>
      <c r="J35" s="231"/>
      <c r="K35" s="230"/>
      <c r="L35" s="230"/>
      <c r="M35" s="230"/>
      <c r="N35" s="230"/>
      <c r="O35" s="230"/>
      <c r="P35" s="230"/>
      <c r="Q35" s="231"/>
      <c r="R35" s="229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1"/>
      <c r="AD35" s="229"/>
      <c r="AE35" s="231"/>
      <c r="AF35" s="230"/>
      <c r="AG35" s="230"/>
      <c r="AH35" s="231"/>
      <c r="AI35" s="230"/>
      <c r="AJ35" s="230"/>
      <c r="AK35" s="230"/>
      <c r="AL35" s="230"/>
      <c r="AM35" s="230"/>
      <c r="AN35" s="230"/>
      <c r="AO35" s="231"/>
      <c r="AP35" s="229"/>
      <c r="AQ35" s="230"/>
      <c r="AR35" s="230"/>
      <c r="AS35" s="230"/>
      <c r="AT35" s="230"/>
      <c r="AU35" s="230"/>
      <c r="AV35" s="230"/>
      <c r="AW35" s="230"/>
      <c r="AX35" s="230"/>
      <c r="AY35" s="230"/>
      <c r="AZ35" s="230"/>
      <c r="BA35" s="231"/>
      <c r="BB35" s="229"/>
      <c r="BC35" s="230"/>
      <c r="BD35" s="230"/>
      <c r="BE35" s="230"/>
      <c r="BF35" s="230"/>
      <c r="BG35" s="230"/>
      <c r="BH35" s="230"/>
      <c r="BI35" s="230"/>
      <c r="BJ35" s="230"/>
      <c r="BK35" s="230"/>
      <c r="BL35" s="230"/>
      <c r="BM35" s="231"/>
      <c r="BN35" s="229"/>
      <c r="BO35" s="230"/>
      <c r="BP35" s="230"/>
      <c r="BQ35" s="230"/>
      <c r="BR35" s="230"/>
      <c r="BS35" s="230"/>
      <c r="BT35" s="230"/>
      <c r="BU35" s="230"/>
      <c r="BV35" s="230"/>
      <c r="BW35" s="230"/>
      <c r="BX35" s="230"/>
      <c r="BY35" s="231"/>
    </row>
    <row r="36" spans="1:77" ht="16">
      <c r="A36" s="205"/>
      <c r="B36" s="291"/>
      <c r="C36" s="220"/>
      <c r="D36" s="291"/>
      <c r="E36" s="291"/>
      <c r="F36" s="291"/>
      <c r="G36" s="289" t="s">
        <v>821</v>
      </c>
      <c r="H36" s="281"/>
      <c r="I36" s="229"/>
      <c r="J36" s="231"/>
      <c r="K36" s="230"/>
      <c r="L36" s="230"/>
      <c r="M36" s="230"/>
      <c r="N36" s="230"/>
      <c r="O36" s="230"/>
      <c r="P36" s="230"/>
      <c r="Q36" s="231"/>
      <c r="R36" s="229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1"/>
      <c r="AD36" s="229"/>
      <c r="AE36" s="231"/>
      <c r="AF36" s="230"/>
      <c r="AG36" s="230"/>
      <c r="AH36" s="231"/>
      <c r="AI36" s="230"/>
      <c r="AJ36" s="230"/>
      <c r="AK36" s="230"/>
      <c r="AL36" s="230"/>
      <c r="AM36" s="230"/>
      <c r="AN36" s="230"/>
      <c r="AO36" s="231"/>
      <c r="AP36" s="229"/>
      <c r="AQ36" s="230"/>
      <c r="AR36" s="230"/>
      <c r="AS36" s="230"/>
      <c r="AT36" s="230"/>
      <c r="AU36" s="230"/>
      <c r="AV36" s="230"/>
      <c r="AW36" s="230"/>
      <c r="AX36" s="230"/>
      <c r="AY36" s="230"/>
      <c r="AZ36" s="230"/>
      <c r="BA36" s="231"/>
      <c r="BB36" s="229"/>
      <c r="BC36" s="230"/>
      <c r="BD36" s="230"/>
      <c r="BE36" s="230"/>
      <c r="BF36" s="230"/>
      <c r="BG36" s="230"/>
      <c r="BH36" s="230"/>
      <c r="BI36" s="230"/>
      <c r="BJ36" s="230"/>
      <c r="BK36" s="230"/>
      <c r="BL36" s="230"/>
      <c r="BM36" s="231"/>
      <c r="BN36" s="229"/>
      <c r="BO36" s="230"/>
      <c r="BP36" s="230"/>
      <c r="BQ36" s="230"/>
      <c r="BR36" s="230"/>
      <c r="BS36" s="230"/>
      <c r="BT36" s="230"/>
      <c r="BU36" s="230"/>
      <c r="BV36" s="230"/>
      <c r="BW36" s="230"/>
      <c r="BX36" s="230"/>
      <c r="BY36" s="231"/>
    </row>
    <row r="37" spans="1:77" ht="16">
      <c r="A37" s="205"/>
      <c r="B37" s="298">
        <v>6</v>
      </c>
      <c r="C37" s="220"/>
      <c r="D37" s="304" t="s">
        <v>822</v>
      </c>
      <c r="E37" s="291"/>
      <c r="F37" s="291"/>
      <c r="G37" s="301" t="s">
        <v>798</v>
      </c>
      <c r="H37" s="281"/>
      <c r="I37" s="221"/>
      <c r="J37" s="222"/>
      <c r="K37" s="222"/>
      <c r="L37" s="222"/>
      <c r="M37" s="222"/>
      <c r="N37" s="222"/>
      <c r="O37" s="222"/>
      <c r="P37" s="222"/>
      <c r="Q37" s="223"/>
      <c r="R37" s="221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3"/>
      <c r="AD37" s="221"/>
      <c r="AE37" s="223"/>
      <c r="AF37" s="224"/>
      <c r="AG37" s="224"/>
      <c r="AH37" s="223"/>
      <c r="AI37" s="225"/>
      <c r="AJ37" s="226"/>
      <c r="AK37" s="226"/>
      <c r="AL37" s="227"/>
      <c r="AM37" s="228"/>
      <c r="AN37" s="228"/>
      <c r="AO37" s="223"/>
      <c r="AP37" s="221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3"/>
      <c r="BB37" s="221"/>
      <c r="BC37" s="224"/>
      <c r="BD37" s="224"/>
      <c r="BE37" s="224"/>
      <c r="BF37" s="224"/>
      <c r="BG37" s="224"/>
      <c r="BH37" s="224"/>
      <c r="BI37" s="224"/>
      <c r="BJ37" s="224"/>
      <c r="BK37" s="224"/>
      <c r="BL37" s="224"/>
      <c r="BM37" s="223"/>
      <c r="BN37" s="221"/>
      <c r="BO37" s="224"/>
      <c r="BP37" s="224"/>
      <c r="BQ37" s="224"/>
      <c r="BR37" s="224"/>
      <c r="BS37" s="224"/>
      <c r="BT37" s="224"/>
      <c r="BU37" s="224"/>
      <c r="BV37" s="224"/>
      <c r="BW37" s="224"/>
      <c r="BX37" s="224"/>
      <c r="BY37" s="223"/>
    </row>
    <row r="38" spans="1:77" ht="16">
      <c r="A38" s="205"/>
      <c r="B38" s="291"/>
      <c r="C38" s="220"/>
      <c r="D38" s="291"/>
      <c r="E38" s="291"/>
      <c r="F38" s="291"/>
      <c r="G38" s="301" t="s">
        <v>799</v>
      </c>
      <c r="H38" s="281"/>
      <c r="I38" s="229"/>
      <c r="J38" s="230"/>
      <c r="K38" s="230"/>
      <c r="L38" s="230"/>
      <c r="M38" s="230"/>
      <c r="N38" s="230"/>
      <c r="O38" s="230"/>
      <c r="P38" s="230"/>
      <c r="Q38" s="231"/>
      <c r="R38" s="229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31"/>
      <c r="AD38" s="229"/>
      <c r="AE38" s="231"/>
      <c r="AF38" s="232"/>
      <c r="AG38" s="232"/>
      <c r="AH38" s="231"/>
      <c r="AI38" s="232"/>
      <c r="AJ38" s="232"/>
      <c r="AK38" s="233"/>
      <c r="AL38" s="234"/>
      <c r="AM38" s="234"/>
      <c r="AN38" s="235"/>
      <c r="AO38" s="231"/>
      <c r="AP38" s="229"/>
      <c r="AQ38" s="232"/>
      <c r="AR38" s="232"/>
      <c r="AS38" s="232"/>
      <c r="AT38" s="232"/>
      <c r="AU38" s="232"/>
      <c r="AV38" s="232"/>
      <c r="AW38" s="232"/>
      <c r="AX38" s="232"/>
      <c r="AY38" s="232"/>
      <c r="AZ38" s="232"/>
      <c r="BA38" s="231"/>
      <c r="BB38" s="229"/>
      <c r="BC38" s="232"/>
      <c r="BD38" s="232"/>
      <c r="BE38" s="232"/>
      <c r="BF38" s="232"/>
      <c r="BG38" s="232"/>
      <c r="BH38" s="232"/>
      <c r="BI38" s="232"/>
      <c r="BJ38" s="232"/>
      <c r="BK38" s="232"/>
      <c r="BL38" s="232"/>
      <c r="BM38" s="231"/>
      <c r="BN38" s="229"/>
      <c r="BO38" s="232"/>
      <c r="BP38" s="232"/>
      <c r="BQ38" s="232"/>
      <c r="BR38" s="232"/>
      <c r="BS38" s="232"/>
      <c r="BT38" s="232"/>
      <c r="BU38" s="232"/>
      <c r="BV38" s="232"/>
      <c r="BW38" s="232"/>
      <c r="BX38" s="232"/>
      <c r="BY38" s="231"/>
    </row>
    <row r="39" spans="1:77" ht="16">
      <c r="A39" s="205"/>
      <c r="B39" s="291"/>
      <c r="C39" s="220"/>
      <c r="D39" s="291"/>
      <c r="E39" s="291"/>
      <c r="F39" s="291"/>
      <c r="G39" s="236"/>
      <c r="H39" s="236"/>
      <c r="I39" s="237"/>
      <c r="J39" s="238"/>
      <c r="K39" s="238"/>
      <c r="L39" s="238"/>
      <c r="M39" s="238"/>
      <c r="N39" s="238"/>
      <c r="O39" s="238"/>
      <c r="P39" s="238"/>
      <c r="Q39" s="239"/>
      <c r="R39" s="237"/>
      <c r="S39" s="238"/>
      <c r="T39" s="238"/>
      <c r="U39" s="238"/>
      <c r="V39" s="238"/>
      <c r="W39" s="238"/>
      <c r="X39" s="238"/>
      <c r="Y39" s="238"/>
      <c r="Z39" s="238"/>
      <c r="AA39" s="238"/>
      <c r="AB39" s="238"/>
      <c r="AC39" s="239"/>
      <c r="AD39" s="237"/>
      <c r="AE39" s="239"/>
      <c r="AF39" s="240"/>
      <c r="AG39" s="240"/>
      <c r="AH39" s="239"/>
      <c r="AI39" s="240"/>
      <c r="AJ39" s="240"/>
      <c r="AK39" s="241"/>
      <c r="AL39" s="242"/>
      <c r="AM39" s="242"/>
      <c r="AN39" s="243"/>
      <c r="AO39" s="239"/>
      <c r="AP39" s="237"/>
      <c r="AQ39" s="240"/>
      <c r="AR39" s="240"/>
      <c r="AS39" s="240"/>
      <c r="AT39" s="240"/>
      <c r="AU39" s="240"/>
      <c r="AV39" s="240"/>
      <c r="AW39" s="240"/>
      <c r="AX39" s="240"/>
      <c r="AY39" s="240"/>
      <c r="AZ39" s="240"/>
      <c r="BA39" s="239"/>
      <c r="BB39" s="237"/>
      <c r="BC39" s="240"/>
      <c r="BD39" s="240"/>
      <c r="BE39" s="240"/>
      <c r="BF39" s="240"/>
      <c r="BG39" s="240"/>
      <c r="BH39" s="240"/>
      <c r="BI39" s="240"/>
      <c r="BJ39" s="240"/>
      <c r="BK39" s="240"/>
      <c r="BL39" s="240"/>
      <c r="BM39" s="239"/>
      <c r="BN39" s="237"/>
      <c r="BO39" s="240"/>
      <c r="BP39" s="240"/>
      <c r="BQ39" s="240"/>
      <c r="BR39" s="240"/>
      <c r="BS39" s="240"/>
      <c r="BT39" s="240"/>
      <c r="BU39" s="240"/>
      <c r="BV39" s="240"/>
      <c r="BW39" s="240"/>
      <c r="BX39" s="240"/>
      <c r="BY39" s="239"/>
    </row>
    <row r="40" spans="1:77" ht="16">
      <c r="A40" s="205"/>
      <c r="B40" s="291"/>
      <c r="C40" s="220"/>
      <c r="D40" s="291"/>
      <c r="E40" s="291"/>
      <c r="F40" s="291"/>
      <c r="G40" s="301" t="s">
        <v>800</v>
      </c>
      <c r="H40" s="281"/>
      <c r="I40" s="237"/>
      <c r="J40" s="238"/>
      <c r="K40" s="238"/>
      <c r="L40" s="238"/>
      <c r="M40" s="238"/>
      <c r="N40" s="238"/>
      <c r="O40" s="238"/>
      <c r="P40" s="238"/>
      <c r="Q40" s="239"/>
      <c r="R40" s="237"/>
      <c r="S40" s="238"/>
      <c r="T40" s="238"/>
      <c r="U40" s="238"/>
      <c r="V40" s="238"/>
      <c r="W40" s="238"/>
      <c r="X40" s="238"/>
      <c r="Y40" s="238"/>
      <c r="Z40" s="238"/>
      <c r="AA40" s="238"/>
      <c r="AB40" s="238"/>
      <c r="AC40" s="239"/>
      <c r="AD40" s="237"/>
      <c r="AE40" s="239"/>
      <c r="AF40" s="240"/>
      <c r="AG40" s="240"/>
      <c r="AH40" s="239"/>
      <c r="AI40" s="240"/>
      <c r="AJ40" s="240"/>
      <c r="AK40" s="241"/>
      <c r="AL40" s="242"/>
      <c r="AM40" s="242"/>
      <c r="AN40" s="243"/>
      <c r="AO40" s="239"/>
      <c r="AP40" s="237"/>
      <c r="AQ40" s="240"/>
      <c r="AR40" s="240"/>
      <c r="AS40" s="240"/>
      <c r="AT40" s="240"/>
      <c r="AU40" s="240"/>
      <c r="AV40" s="240"/>
      <c r="AW40" s="240"/>
      <c r="AX40" s="240"/>
      <c r="AY40" s="240"/>
      <c r="AZ40" s="240"/>
      <c r="BA40" s="239"/>
      <c r="BB40" s="237"/>
      <c r="BC40" s="240"/>
      <c r="BD40" s="240"/>
      <c r="BE40" s="240"/>
      <c r="BF40" s="240"/>
      <c r="BG40" s="240"/>
      <c r="BH40" s="240"/>
      <c r="BI40" s="240"/>
      <c r="BJ40" s="240"/>
      <c r="BK40" s="240"/>
      <c r="BL40" s="240"/>
      <c r="BM40" s="239"/>
      <c r="BN40" s="237"/>
      <c r="BO40" s="240"/>
      <c r="BP40" s="240"/>
      <c r="BQ40" s="240"/>
      <c r="BR40" s="240"/>
      <c r="BS40" s="240"/>
      <c r="BT40" s="240"/>
      <c r="BU40" s="240"/>
      <c r="BV40" s="240"/>
      <c r="BW40" s="240"/>
      <c r="BX40" s="240"/>
      <c r="BY40" s="239"/>
    </row>
    <row r="41" spans="1:77" ht="16">
      <c r="A41" s="205"/>
      <c r="B41" s="291"/>
      <c r="C41" s="220"/>
      <c r="D41" s="291"/>
      <c r="E41" s="291"/>
      <c r="F41" s="291"/>
      <c r="G41" s="301"/>
      <c r="H41" s="281"/>
      <c r="I41" s="237"/>
      <c r="J41" s="238"/>
      <c r="K41" s="238"/>
      <c r="L41" s="238"/>
      <c r="M41" s="238"/>
      <c r="N41" s="238"/>
      <c r="O41" s="238"/>
      <c r="P41" s="238"/>
      <c r="Q41" s="239"/>
      <c r="R41" s="237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  <c r="AC41" s="239"/>
      <c r="AD41" s="237"/>
      <c r="AE41" s="239"/>
      <c r="AF41" s="240"/>
      <c r="AG41" s="240"/>
      <c r="AH41" s="239"/>
      <c r="AI41" s="240"/>
      <c r="AJ41" s="240"/>
      <c r="AK41" s="240"/>
      <c r="AL41" s="240"/>
      <c r="AM41" s="240"/>
      <c r="AN41" s="244"/>
      <c r="AO41" s="239"/>
      <c r="AP41" s="237"/>
      <c r="AQ41" s="240"/>
      <c r="AR41" s="240"/>
      <c r="AS41" s="240"/>
      <c r="AT41" s="240"/>
      <c r="AU41" s="240"/>
      <c r="AV41" s="240"/>
      <c r="AW41" s="240"/>
      <c r="AX41" s="240"/>
      <c r="AY41" s="240"/>
      <c r="AZ41" s="240"/>
      <c r="BA41" s="239"/>
      <c r="BB41" s="237"/>
      <c r="BC41" s="240"/>
      <c r="BD41" s="240"/>
      <c r="BE41" s="240"/>
      <c r="BF41" s="240"/>
      <c r="BG41" s="240"/>
      <c r="BH41" s="240"/>
      <c r="BI41" s="240"/>
      <c r="BJ41" s="240"/>
      <c r="BK41" s="240"/>
      <c r="BL41" s="240"/>
      <c r="BM41" s="239"/>
      <c r="BN41" s="237"/>
      <c r="BO41" s="240"/>
      <c r="BP41" s="240"/>
      <c r="BQ41" s="240"/>
      <c r="BR41" s="240"/>
      <c r="BS41" s="240"/>
      <c r="BT41" s="240"/>
      <c r="BU41" s="240"/>
      <c r="BV41" s="240"/>
      <c r="BW41" s="240"/>
      <c r="BX41" s="240"/>
      <c r="BY41" s="239"/>
    </row>
    <row r="42" spans="1:77" ht="16">
      <c r="A42" s="205"/>
      <c r="B42" s="291"/>
      <c r="C42" s="245"/>
      <c r="D42" s="305"/>
      <c r="E42" s="305"/>
      <c r="F42" s="305"/>
      <c r="G42" s="302"/>
      <c r="H42" s="303"/>
      <c r="I42" s="246"/>
      <c r="J42" s="247"/>
      <c r="K42" s="247"/>
      <c r="L42" s="247"/>
      <c r="M42" s="247"/>
      <c r="N42" s="247"/>
      <c r="O42" s="247"/>
      <c r="P42" s="247"/>
      <c r="Q42" s="248"/>
      <c r="R42" s="246"/>
      <c r="S42" s="247"/>
      <c r="T42" s="247"/>
      <c r="U42" s="247"/>
      <c r="V42" s="247"/>
      <c r="W42" s="247"/>
      <c r="X42" s="247"/>
      <c r="Y42" s="247"/>
      <c r="Z42" s="247"/>
      <c r="AA42" s="247"/>
      <c r="AB42" s="247"/>
      <c r="AC42" s="248"/>
      <c r="AD42" s="246"/>
      <c r="AE42" s="248"/>
      <c r="AF42" s="249"/>
      <c r="AG42" s="249"/>
      <c r="AH42" s="248"/>
      <c r="AI42" s="249"/>
      <c r="AJ42" s="249"/>
      <c r="AK42" s="249"/>
      <c r="AL42" s="249"/>
      <c r="AM42" s="249"/>
      <c r="AN42" s="250"/>
      <c r="AO42" s="248"/>
      <c r="AP42" s="246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8"/>
      <c r="BB42" s="246"/>
      <c r="BC42" s="249"/>
      <c r="BD42" s="249"/>
      <c r="BE42" s="249"/>
      <c r="BF42" s="249"/>
      <c r="BG42" s="249"/>
      <c r="BH42" s="249"/>
      <c r="BI42" s="249"/>
      <c r="BJ42" s="249"/>
      <c r="BK42" s="249"/>
      <c r="BL42" s="249"/>
      <c r="BM42" s="248"/>
      <c r="BN42" s="246"/>
      <c r="BO42" s="249"/>
      <c r="BP42" s="249"/>
      <c r="BQ42" s="249"/>
      <c r="BR42" s="249"/>
      <c r="BS42" s="249"/>
      <c r="BT42" s="249"/>
      <c r="BU42" s="249"/>
      <c r="BV42" s="249"/>
      <c r="BW42" s="249"/>
      <c r="BX42" s="249"/>
      <c r="BY42" s="248"/>
    </row>
    <row r="43" spans="1:77" ht="16">
      <c r="A43" s="205"/>
      <c r="B43" s="297">
        <v>7</v>
      </c>
      <c r="C43" s="220"/>
      <c r="D43" s="292" t="s">
        <v>823</v>
      </c>
      <c r="E43" s="291"/>
      <c r="F43" s="291"/>
      <c r="G43" s="306" t="s">
        <v>802</v>
      </c>
      <c r="H43" s="281"/>
      <c r="I43" s="221"/>
      <c r="J43" s="223"/>
      <c r="K43" s="222"/>
      <c r="L43" s="222"/>
      <c r="M43" s="222"/>
      <c r="N43" s="222"/>
      <c r="O43" s="222"/>
      <c r="P43" s="222"/>
      <c r="Q43" s="223"/>
      <c r="R43" s="221"/>
      <c r="S43" s="226"/>
      <c r="T43" s="226"/>
      <c r="U43" s="226"/>
      <c r="V43" s="226"/>
      <c r="W43" s="226"/>
      <c r="X43" s="226"/>
      <c r="Y43" s="226"/>
      <c r="Z43" s="226"/>
      <c r="AA43" s="227"/>
      <c r="AB43" s="222"/>
      <c r="AC43" s="223"/>
      <c r="AD43" s="221"/>
      <c r="AE43" s="223"/>
      <c r="AF43" s="226"/>
      <c r="AG43" s="226"/>
      <c r="AH43" s="223"/>
      <c r="AI43" s="224"/>
      <c r="AJ43" s="224"/>
      <c r="AK43" s="224"/>
      <c r="AL43" s="224"/>
      <c r="AM43" s="224"/>
      <c r="AN43" s="224"/>
      <c r="AO43" s="223"/>
      <c r="AP43" s="221"/>
      <c r="AQ43" s="226"/>
      <c r="AR43" s="226"/>
      <c r="AS43" s="226"/>
      <c r="AT43" s="226"/>
      <c r="AU43" s="226"/>
      <c r="AV43" s="226"/>
      <c r="AW43" s="226"/>
      <c r="AX43" s="226"/>
      <c r="AY43" s="227"/>
      <c r="AZ43" s="224"/>
      <c r="BA43" s="223"/>
      <c r="BB43" s="221"/>
      <c r="BC43" s="226"/>
      <c r="BD43" s="226"/>
      <c r="BE43" s="226"/>
      <c r="BF43" s="226"/>
      <c r="BG43" s="226"/>
      <c r="BH43" s="226"/>
      <c r="BI43" s="226"/>
      <c r="BJ43" s="226"/>
      <c r="BK43" s="227"/>
      <c r="BL43" s="224"/>
      <c r="BM43" s="223"/>
      <c r="BN43" s="221"/>
      <c r="BO43" s="226"/>
      <c r="BP43" s="226"/>
      <c r="BQ43" s="226"/>
      <c r="BR43" s="226"/>
      <c r="BS43" s="226"/>
      <c r="BT43" s="226"/>
      <c r="BU43" s="226"/>
      <c r="BV43" s="226"/>
      <c r="BW43" s="227"/>
      <c r="BX43" s="224"/>
      <c r="BY43" s="223"/>
    </row>
    <row r="44" spans="1:77" ht="16">
      <c r="A44" s="205"/>
      <c r="B44" s="291"/>
      <c r="C44" s="220"/>
      <c r="D44" s="291"/>
      <c r="E44" s="291"/>
      <c r="F44" s="291"/>
      <c r="G44" s="306" t="s">
        <v>803</v>
      </c>
      <c r="H44" s="281"/>
      <c r="I44" s="229"/>
      <c r="J44" s="231"/>
      <c r="K44" s="230"/>
      <c r="L44" s="230"/>
      <c r="M44" s="230"/>
      <c r="N44" s="230"/>
      <c r="O44" s="230"/>
      <c r="P44" s="230"/>
      <c r="Q44" s="231"/>
      <c r="R44" s="229"/>
      <c r="S44" s="230"/>
      <c r="T44" s="230"/>
      <c r="U44" s="233"/>
      <c r="V44" s="234"/>
      <c r="W44" s="234"/>
      <c r="X44" s="234"/>
      <c r="Y44" s="234"/>
      <c r="Z44" s="234"/>
      <c r="AA44" s="234"/>
      <c r="AB44" s="234"/>
      <c r="AC44" s="231"/>
      <c r="AD44" s="229"/>
      <c r="AE44" s="231"/>
      <c r="AF44" s="232"/>
      <c r="AG44" s="233"/>
      <c r="AH44" s="231"/>
      <c r="AI44" s="232"/>
      <c r="AJ44" s="232"/>
      <c r="AK44" s="232"/>
      <c r="AL44" s="232"/>
      <c r="AM44" s="232"/>
      <c r="AN44" s="232"/>
      <c r="AO44" s="231"/>
      <c r="AP44" s="229"/>
      <c r="AQ44" s="232"/>
      <c r="AR44" s="232"/>
      <c r="AS44" s="233"/>
      <c r="AT44" s="233"/>
      <c r="AU44" s="233"/>
      <c r="AV44" s="233"/>
      <c r="AW44" s="234"/>
      <c r="AX44" s="234"/>
      <c r="AY44" s="234"/>
      <c r="AZ44" s="234"/>
      <c r="BA44" s="231"/>
      <c r="BB44" s="229"/>
      <c r="BC44" s="232"/>
      <c r="BD44" s="232"/>
      <c r="BE44" s="233"/>
      <c r="BF44" s="233"/>
      <c r="BG44" s="233"/>
      <c r="BH44" s="233"/>
      <c r="BI44" s="234"/>
      <c r="BJ44" s="234"/>
      <c r="BK44" s="234"/>
      <c r="BL44" s="234"/>
      <c r="BM44" s="231"/>
      <c r="BN44" s="229"/>
      <c r="BO44" s="232"/>
      <c r="BP44" s="232"/>
      <c r="BQ44" s="233"/>
      <c r="BR44" s="233"/>
      <c r="BS44" s="233"/>
      <c r="BT44" s="233"/>
      <c r="BU44" s="234"/>
      <c r="BV44" s="234"/>
      <c r="BW44" s="234"/>
      <c r="BX44" s="234"/>
      <c r="BY44" s="231"/>
    </row>
    <row r="45" spans="1:77" ht="16">
      <c r="A45" s="205"/>
      <c r="B45" s="291"/>
      <c r="C45" s="220"/>
      <c r="D45" s="291"/>
      <c r="E45" s="291"/>
      <c r="F45" s="291"/>
      <c r="G45" s="306" t="s">
        <v>804</v>
      </c>
      <c r="H45" s="281"/>
      <c r="I45" s="229"/>
      <c r="J45" s="231"/>
      <c r="K45" s="230"/>
      <c r="L45" s="230"/>
      <c r="M45" s="230"/>
      <c r="N45" s="230"/>
      <c r="O45" s="230"/>
      <c r="P45" s="230"/>
      <c r="Q45" s="231"/>
      <c r="R45" s="229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1"/>
      <c r="AD45" s="229"/>
      <c r="AE45" s="231"/>
      <c r="AF45" s="230"/>
      <c r="AG45" s="230"/>
      <c r="AH45" s="231"/>
      <c r="AI45" s="230"/>
      <c r="AJ45" s="230"/>
      <c r="AK45" s="230"/>
      <c r="AL45" s="230"/>
      <c r="AM45" s="230"/>
      <c r="AN45" s="230"/>
      <c r="AO45" s="231"/>
      <c r="AP45" s="229"/>
      <c r="AQ45" s="230"/>
      <c r="AR45" s="230"/>
      <c r="AS45" s="230"/>
      <c r="AT45" s="230"/>
      <c r="AU45" s="230"/>
      <c r="AV45" s="230"/>
      <c r="AW45" s="230"/>
      <c r="AX45" s="230"/>
      <c r="AY45" s="230"/>
      <c r="AZ45" s="230"/>
      <c r="BA45" s="231"/>
      <c r="BB45" s="229"/>
      <c r="BC45" s="230"/>
      <c r="BD45" s="230"/>
      <c r="BE45" s="230"/>
      <c r="BF45" s="230"/>
      <c r="BG45" s="230"/>
      <c r="BH45" s="230"/>
      <c r="BI45" s="230"/>
      <c r="BJ45" s="230"/>
      <c r="BK45" s="230"/>
      <c r="BL45" s="230"/>
      <c r="BM45" s="231"/>
      <c r="BN45" s="229"/>
      <c r="BO45" s="230"/>
      <c r="BP45" s="230"/>
      <c r="BQ45" s="230"/>
      <c r="BR45" s="230"/>
      <c r="BS45" s="230"/>
      <c r="BT45" s="230"/>
      <c r="BU45" s="230"/>
      <c r="BV45" s="230"/>
      <c r="BW45" s="230"/>
      <c r="BX45" s="230"/>
      <c r="BY45" s="231"/>
    </row>
    <row r="46" spans="1:77" ht="16">
      <c r="A46" s="205"/>
      <c r="B46" s="291"/>
      <c r="C46" s="220"/>
      <c r="D46" s="291"/>
      <c r="E46" s="291"/>
      <c r="F46" s="291"/>
      <c r="G46" s="306" t="s">
        <v>805</v>
      </c>
      <c r="H46" s="281"/>
      <c r="I46" s="229"/>
      <c r="J46" s="231"/>
      <c r="K46" s="230"/>
      <c r="L46" s="230"/>
      <c r="M46" s="230"/>
      <c r="N46" s="230"/>
      <c r="O46" s="230"/>
      <c r="P46" s="230"/>
      <c r="Q46" s="231"/>
      <c r="R46" s="229"/>
      <c r="S46" s="230"/>
      <c r="T46" s="230"/>
      <c r="U46" s="230"/>
      <c r="V46" s="230"/>
      <c r="W46" s="230"/>
      <c r="X46" s="230"/>
      <c r="Y46" s="230"/>
      <c r="Z46" s="230"/>
      <c r="AA46" s="230"/>
      <c r="AB46" s="230"/>
      <c r="AC46" s="231"/>
      <c r="AD46" s="229"/>
      <c r="AE46" s="231"/>
      <c r="AF46" s="230"/>
      <c r="AG46" s="230"/>
      <c r="AH46" s="231"/>
      <c r="AI46" s="230"/>
      <c r="AJ46" s="230"/>
      <c r="AK46" s="230"/>
      <c r="AL46" s="230"/>
      <c r="AM46" s="230"/>
      <c r="AN46" s="230"/>
      <c r="AO46" s="231"/>
      <c r="AP46" s="229"/>
      <c r="AQ46" s="230"/>
      <c r="AR46" s="230"/>
      <c r="AS46" s="230"/>
      <c r="AT46" s="230"/>
      <c r="AU46" s="230"/>
      <c r="AV46" s="230"/>
      <c r="AW46" s="230"/>
      <c r="AX46" s="230"/>
      <c r="AY46" s="230"/>
      <c r="AZ46" s="230"/>
      <c r="BA46" s="231"/>
      <c r="BB46" s="229"/>
      <c r="BC46" s="230"/>
      <c r="BD46" s="230"/>
      <c r="BE46" s="230"/>
      <c r="BF46" s="230"/>
      <c r="BG46" s="230"/>
      <c r="BH46" s="230"/>
      <c r="BI46" s="230"/>
      <c r="BJ46" s="230"/>
      <c r="BK46" s="230"/>
      <c r="BL46" s="230"/>
      <c r="BM46" s="231"/>
      <c r="BN46" s="229"/>
      <c r="BO46" s="230"/>
      <c r="BP46" s="230"/>
      <c r="BQ46" s="230"/>
      <c r="BR46" s="230"/>
      <c r="BS46" s="230"/>
      <c r="BT46" s="230"/>
      <c r="BU46" s="230"/>
      <c r="BV46" s="230"/>
      <c r="BW46" s="230"/>
      <c r="BX46" s="230"/>
      <c r="BY46" s="231"/>
    </row>
    <row r="47" spans="1:77" ht="16">
      <c r="A47" s="205"/>
      <c r="B47" s="291"/>
      <c r="C47" s="220"/>
      <c r="D47" s="291"/>
      <c r="E47" s="291"/>
      <c r="F47" s="291"/>
      <c r="G47" s="306" t="s">
        <v>806</v>
      </c>
      <c r="H47" s="281"/>
      <c r="I47" s="237"/>
      <c r="J47" s="239"/>
      <c r="K47" s="238"/>
      <c r="L47" s="238"/>
      <c r="M47" s="238"/>
      <c r="N47" s="238"/>
      <c r="O47" s="238"/>
      <c r="P47" s="238"/>
      <c r="Q47" s="239"/>
      <c r="R47" s="237"/>
      <c r="S47" s="238"/>
      <c r="T47" s="238"/>
      <c r="U47" s="238"/>
      <c r="V47" s="238"/>
      <c r="W47" s="238"/>
      <c r="X47" s="238"/>
      <c r="Y47" s="238"/>
      <c r="Z47" s="238"/>
      <c r="AA47" s="238"/>
      <c r="AB47" s="238"/>
      <c r="AC47" s="239"/>
      <c r="AD47" s="237"/>
      <c r="AE47" s="239"/>
      <c r="AF47" s="238"/>
      <c r="AG47" s="238"/>
      <c r="AH47" s="239"/>
      <c r="AI47" s="238"/>
      <c r="AJ47" s="238"/>
      <c r="AK47" s="238"/>
      <c r="AL47" s="238"/>
      <c r="AM47" s="238"/>
      <c r="AN47" s="238"/>
      <c r="AO47" s="239"/>
      <c r="AP47" s="237"/>
      <c r="AQ47" s="238"/>
      <c r="AR47" s="238"/>
      <c r="AS47" s="238"/>
      <c r="AT47" s="238"/>
      <c r="AU47" s="238"/>
      <c r="AV47" s="238"/>
      <c r="AW47" s="238"/>
      <c r="AX47" s="238"/>
      <c r="AY47" s="238"/>
      <c r="AZ47" s="238"/>
      <c r="BA47" s="239"/>
      <c r="BB47" s="237"/>
      <c r="BC47" s="238"/>
      <c r="BD47" s="238"/>
      <c r="BE47" s="238"/>
      <c r="BF47" s="238"/>
      <c r="BG47" s="238"/>
      <c r="BH47" s="238"/>
      <c r="BI47" s="238"/>
      <c r="BJ47" s="238"/>
      <c r="BK47" s="238"/>
      <c r="BL47" s="238"/>
      <c r="BM47" s="239"/>
      <c r="BN47" s="237"/>
      <c r="BO47" s="238"/>
      <c r="BP47" s="238"/>
      <c r="BQ47" s="238"/>
      <c r="BR47" s="238"/>
      <c r="BS47" s="238"/>
      <c r="BT47" s="238"/>
      <c r="BU47" s="238"/>
      <c r="BV47" s="238"/>
      <c r="BW47" s="238"/>
      <c r="BX47" s="238"/>
      <c r="BY47" s="239"/>
    </row>
    <row r="48" spans="1:77" ht="16">
      <c r="A48" s="205"/>
      <c r="B48" s="291"/>
      <c r="C48" s="251"/>
      <c r="D48" s="293"/>
      <c r="E48" s="293"/>
      <c r="F48" s="293"/>
      <c r="G48" s="282" t="s">
        <v>807</v>
      </c>
      <c r="H48" s="283"/>
      <c r="I48" s="252"/>
      <c r="J48" s="253"/>
      <c r="K48" s="254"/>
      <c r="L48" s="254"/>
      <c r="M48" s="254"/>
      <c r="N48" s="254"/>
      <c r="O48" s="254"/>
      <c r="P48" s="254"/>
      <c r="Q48" s="253"/>
      <c r="R48" s="252"/>
      <c r="S48" s="254"/>
      <c r="T48" s="254"/>
      <c r="U48" s="254"/>
      <c r="V48" s="254"/>
      <c r="W48" s="254"/>
      <c r="X48" s="254"/>
      <c r="Y48" s="254"/>
      <c r="Z48" s="254"/>
      <c r="AA48" s="254"/>
      <c r="AB48" s="254"/>
      <c r="AC48" s="253"/>
      <c r="AD48" s="252"/>
      <c r="AE48" s="253"/>
      <c r="AF48" s="254"/>
      <c r="AG48" s="254"/>
      <c r="AH48" s="253"/>
      <c r="AI48" s="254"/>
      <c r="AJ48" s="254"/>
      <c r="AK48" s="254"/>
      <c r="AL48" s="254"/>
      <c r="AM48" s="254"/>
      <c r="AN48" s="254"/>
      <c r="AO48" s="253"/>
      <c r="AP48" s="252"/>
      <c r="AQ48" s="254"/>
      <c r="AR48" s="254"/>
      <c r="AS48" s="254"/>
      <c r="AT48" s="254"/>
      <c r="AU48" s="254"/>
      <c r="AV48" s="254"/>
      <c r="AW48" s="254"/>
      <c r="AX48" s="254"/>
      <c r="AY48" s="254"/>
      <c r="AZ48" s="254"/>
      <c r="BA48" s="253"/>
      <c r="BB48" s="252"/>
      <c r="BC48" s="254"/>
      <c r="BD48" s="254"/>
      <c r="BE48" s="254"/>
      <c r="BF48" s="254"/>
      <c r="BG48" s="254"/>
      <c r="BH48" s="254"/>
      <c r="BI48" s="254"/>
      <c r="BJ48" s="254"/>
      <c r="BK48" s="254"/>
      <c r="BL48" s="254"/>
      <c r="BM48" s="253"/>
      <c r="BN48" s="252"/>
      <c r="BO48" s="254"/>
      <c r="BP48" s="254"/>
      <c r="BQ48" s="254"/>
      <c r="BR48" s="254"/>
      <c r="BS48" s="254"/>
      <c r="BT48" s="254"/>
      <c r="BU48" s="254"/>
      <c r="BV48" s="254"/>
      <c r="BW48" s="254"/>
      <c r="BX48" s="254"/>
      <c r="BY48" s="253"/>
    </row>
    <row r="49" spans="1:77" ht="16">
      <c r="A49" s="205"/>
      <c r="B49" s="299">
        <v>8</v>
      </c>
      <c r="C49" s="220"/>
      <c r="D49" s="294" t="s">
        <v>824</v>
      </c>
      <c r="E49" s="291"/>
      <c r="F49" s="291"/>
      <c r="G49" s="284" t="s">
        <v>809</v>
      </c>
      <c r="H49" s="281"/>
      <c r="I49" s="221"/>
      <c r="J49" s="223"/>
      <c r="K49" s="222"/>
      <c r="L49" s="222"/>
      <c r="M49" s="222"/>
      <c r="N49" s="222"/>
      <c r="O49" s="222"/>
      <c r="P49" s="222"/>
      <c r="Q49" s="223"/>
      <c r="R49" s="221"/>
      <c r="S49" s="222"/>
      <c r="T49" s="222"/>
      <c r="U49" s="222"/>
      <c r="V49" s="222"/>
      <c r="W49" s="222"/>
      <c r="X49" s="222"/>
      <c r="Y49" s="222"/>
      <c r="Z49" s="222"/>
      <c r="AA49" s="222"/>
      <c r="AB49" s="222"/>
      <c r="AC49" s="223"/>
      <c r="AD49" s="221"/>
      <c r="AE49" s="223"/>
      <c r="AF49" s="222"/>
      <c r="AG49" s="222"/>
      <c r="AH49" s="223"/>
      <c r="AI49" s="222"/>
      <c r="AJ49" s="222"/>
      <c r="AK49" s="222"/>
      <c r="AL49" s="222"/>
      <c r="AM49" s="222"/>
      <c r="AN49" s="222"/>
      <c r="AO49" s="223"/>
      <c r="AP49" s="221"/>
      <c r="AQ49" s="222"/>
      <c r="AR49" s="222"/>
      <c r="AS49" s="222"/>
      <c r="AT49" s="222"/>
      <c r="AU49" s="222"/>
      <c r="AV49" s="222"/>
      <c r="AW49" s="222"/>
      <c r="AX49" s="222"/>
      <c r="AY49" s="222"/>
      <c r="AZ49" s="222"/>
      <c r="BA49" s="223"/>
      <c r="BB49" s="221"/>
      <c r="BC49" s="222"/>
      <c r="BD49" s="222"/>
      <c r="BE49" s="222"/>
      <c r="BF49" s="222"/>
      <c r="BG49" s="222"/>
      <c r="BH49" s="222"/>
      <c r="BI49" s="222"/>
      <c r="BJ49" s="222"/>
      <c r="BK49" s="222"/>
      <c r="BL49" s="222"/>
      <c r="BM49" s="223"/>
      <c r="BN49" s="221"/>
      <c r="BO49" s="222"/>
      <c r="BP49" s="222"/>
      <c r="BQ49" s="222"/>
      <c r="BR49" s="222"/>
      <c r="BS49" s="222"/>
      <c r="BT49" s="222"/>
      <c r="BU49" s="222"/>
      <c r="BV49" s="222"/>
      <c r="BW49" s="222"/>
      <c r="BX49" s="222"/>
      <c r="BY49" s="223"/>
    </row>
    <row r="50" spans="1:77" ht="16">
      <c r="A50" s="205"/>
      <c r="B50" s="291"/>
      <c r="C50" s="220"/>
      <c r="D50" s="291"/>
      <c r="E50" s="291"/>
      <c r="F50" s="291"/>
      <c r="G50" s="284" t="s">
        <v>810</v>
      </c>
      <c r="H50" s="281"/>
      <c r="I50" s="229"/>
      <c r="J50" s="231"/>
      <c r="K50" s="230"/>
      <c r="L50" s="230"/>
      <c r="M50" s="230"/>
      <c r="N50" s="230"/>
      <c r="O50" s="230"/>
      <c r="P50" s="230"/>
      <c r="Q50" s="231"/>
      <c r="R50" s="229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1"/>
      <c r="AD50" s="229"/>
      <c r="AE50" s="231"/>
      <c r="AF50" s="230"/>
      <c r="AG50" s="230"/>
      <c r="AH50" s="231"/>
      <c r="AI50" s="230"/>
      <c r="AJ50" s="230"/>
      <c r="AK50" s="230"/>
      <c r="AL50" s="230"/>
      <c r="AM50" s="230"/>
      <c r="AN50" s="230"/>
      <c r="AO50" s="231"/>
      <c r="AP50" s="229"/>
      <c r="AQ50" s="230"/>
      <c r="AR50" s="230"/>
      <c r="AS50" s="230"/>
      <c r="AT50" s="230"/>
      <c r="AU50" s="230"/>
      <c r="AV50" s="230"/>
      <c r="AW50" s="230"/>
      <c r="AX50" s="230"/>
      <c r="AY50" s="230"/>
      <c r="AZ50" s="230"/>
      <c r="BA50" s="231"/>
      <c r="BB50" s="229"/>
      <c r="BC50" s="230"/>
      <c r="BD50" s="230"/>
      <c r="BE50" s="230"/>
      <c r="BF50" s="230"/>
      <c r="BG50" s="230"/>
      <c r="BH50" s="230"/>
      <c r="BI50" s="230"/>
      <c r="BJ50" s="230"/>
      <c r="BK50" s="230"/>
      <c r="BL50" s="230"/>
      <c r="BM50" s="231"/>
      <c r="BN50" s="229"/>
      <c r="BO50" s="230"/>
      <c r="BP50" s="230"/>
      <c r="BQ50" s="230"/>
      <c r="BR50" s="230"/>
      <c r="BS50" s="230"/>
      <c r="BT50" s="230"/>
      <c r="BU50" s="230"/>
      <c r="BV50" s="230"/>
      <c r="BW50" s="230"/>
      <c r="BX50" s="230"/>
      <c r="BY50" s="231"/>
    </row>
    <row r="51" spans="1:77" ht="16">
      <c r="A51" s="205"/>
      <c r="B51" s="291"/>
      <c r="C51" s="220"/>
      <c r="D51" s="291"/>
      <c r="E51" s="291"/>
      <c r="F51" s="291"/>
      <c r="G51" s="255"/>
      <c r="H51" s="255"/>
      <c r="I51" s="229"/>
      <c r="J51" s="231"/>
      <c r="K51" s="230"/>
      <c r="L51" s="230"/>
      <c r="M51" s="230"/>
      <c r="N51" s="230"/>
      <c r="O51" s="230"/>
      <c r="P51" s="230"/>
      <c r="Q51" s="231"/>
      <c r="R51" s="229"/>
      <c r="S51" s="230"/>
      <c r="T51" s="230"/>
      <c r="U51" s="230"/>
      <c r="V51" s="230"/>
      <c r="W51" s="230"/>
      <c r="X51" s="230"/>
      <c r="Y51" s="230"/>
      <c r="Z51" s="230"/>
      <c r="AA51" s="230"/>
      <c r="AB51" s="230"/>
      <c r="AC51" s="231"/>
      <c r="AD51" s="229"/>
      <c r="AE51" s="231"/>
      <c r="AF51" s="230"/>
      <c r="AG51" s="230"/>
      <c r="AH51" s="231"/>
      <c r="AI51" s="230"/>
      <c r="AJ51" s="230"/>
      <c r="AK51" s="230"/>
      <c r="AL51" s="230"/>
      <c r="AM51" s="230"/>
      <c r="AN51" s="230"/>
      <c r="AO51" s="231"/>
      <c r="AP51" s="229"/>
      <c r="AQ51" s="230"/>
      <c r="AR51" s="230"/>
      <c r="AS51" s="230"/>
      <c r="AT51" s="230"/>
      <c r="AU51" s="230"/>
      <c r="AV51" s="230"/>
      <c r="AW51" s="230"/>
      <c r="AX51" s="230"/>
      <c r="AY51" s="230"/>
      <c r="AZ51" s="230"/>
      <c r="BA51" s="231"/>
      <c r="BB51" s="229"/>
      <c r="BC51" s="230"/>
      <c r="BD51" s="230"/>
      <c r="BE51" s="230"/>
      <c r="BF51" s="230"/>
      <c r="BG51" s="230"/>
      <c r="BH51" s="230"/>
      <c r="BI51" s="230"/>
      <c r="BJ51" s="230"/>
      <c r="BK51" s="230"/>
      <c r="BL51" s="230"/>
      <c r="BM51" s="231"/>
      <c r="BN51" s="229"/>
      <c r="BO51" s="230"/>
      <c r="BP51" s="230"/>
      <c r="BQ51" s="230"/>
      <c r="BR51" s="230"/>
      <c r="BS51" s="230"/>
      <c r="BT51" s="230"/>
      <c r="BU51" s="230"/>
      <c r="BV51" s="230"/>
      <c r="BW51" s="230"/>
      <c r="BX51" s="230"/>
      <c r="BY51" s="231"/>
    </row>
    <row r="52" spans="1:77" ht="16">
      <c r="A52" s="205"/>
      <c r="B52" s="291"/>
      <c r="C52" s="220"/>
      <c r="D52" s="291"/>
      <c r="E52" s="291"/>
      <c r="F52" s="291"/>
      <c r="G52" s="255"/>
      <c r="H52" s="255"/>
      <c r="I52" s="229"/>
      <c r="J52" s="231"/>
      <c r="K52" s="230"/>
      <c r="L52" s="230"/>
      <c r="M52" s="230"/>
      <c r="N52" s="230"/>
      <c r="O52" s="230"/>
      <c r="P52" s="230"/>
      <c r="Q52" s="231"/>
      <c r="R52" s="229"/>
      <c r="S52" s="230"/>
      <c r="T52" s="230"/>
      <c r="U52" s="230"/>
      <c r="V52" s="230"/>
      <c r="W52" s="230"/>
      <c r="X52" s="230"/>
      <c r="Y52" s="230"/>
      <c r="Z52" s="230"/>
      <c r="AA52" s="230"/>
      <c r="AB52" s="230"/>
      <c r="AC52" s="231"/>
      <c r="AD52" s="229"/>
      <c r="AE52" s="231"/>
      <c r="AF52" s="230"/>
      <c r="AG52" s="230"/>
      <c r="AH52" s="231"/>
      <c r="AI52" s="230"/>
      <c r="AJ52" s="230"/>
      <c r="AK52" s="230"/>
      <c r="AL52" s="230"/>
      <c r="AM52" s="230"/>
      <c r="AN52" s="230"/>
      <c r="AO52" s="231"/>
      <c r="AP52" s="229"/>
      <c r="AQ52" s="230"/>
      <c r="AR52" s="230"/>
      <c r="AS52" s="230"/>
      <c r="AT52" s="230"/>
      <c r="AU52" s="230"/>
      <c r="AV52" s="230"/>
      <c r="AW52" s="230"/>
      <c r="AX52" s="230"/>
      <c r="AY52" s="230"/>
      <c r="AZ52" s="230"/>
      <c r="BA52" s="231"/>
      <c r="BB52" s="229"/>
      <c r="BC52" s="230"/>
      <c r="BD52" s="230"/>
      <c r="BE52" s="230"/>
      <c r="BF52" s="230"/>
      <c r="BG52" s="230"/>
      <c r="BH52" s="230"/>
      <c r="BI52" s="230"/>
      <c r="BJ52" s="230"/>
      <c r="BK52" s="230"/>
      <c r="BL52" s="230"/>
      <c r="BM52" s="231"/>
      <c r="BN52" s="229"/>
      <c r="BO52" s="230"/>
      <c r="BP52" s="230"/>
      <c r="BQ52" s="230"/>
      <c r="BR52" s="230"/>
      <c r="BS52" s="230"/>
      <c r="BT52" s="230"/>
      <c r="BU52" s="230"/>
      <c r="BV52" s="230"/>
      <c r="BW52" s="230"/>
      <c r="BX52" s="230"/>
      <c r="BY52" s="231"/>
    </row>
    <row r="53" spans="1:77" ht="16">
      <c r="A53" s="205"/>
      <c r="B53" s="291"/>
      <c r="C53" s="220"/>
      <c r="D53" s="291"/>
      <c r="E53" s="291"/>
      <c r="F53" s="291"/>
      <c r="G53" s="284" t="s">
        <v>811</v>
      </c>
      <c r="H53" s="281"/>
      <c r="I53" s="229"/>
      <c r="J53" s="231"/>
      <c r="K53" s="230"/>
      <c r="L53" s="230"/>
      <c r="M53" s="230"/>
      <c r="N53" s="230"/>
      <c r="O53" s="230"/>
      <c r="P53" s="230"/>
      <c r="Q53" s="231"/>
      <c r="R53" s="229"/>
      <c r="S53" s="230"/>
      <c r="T53" s="230"/>
      <c r="U53" s="230"/>
      <c r="V53" s="230"/>
      <c r="W53" s="230"/>
      <c r="X53" s="230"/>
      <c r="Y53" s="230"/>
      <c r="Z53" s="230"/>
      <c r="AA53" s="230"/>
      <c r="AB53" s="230"/>
      <c r="AC53" s="231"/>
      <c r="AD53" s="229"/>
      <c r="AE53" s="231"/>
      <c r="AF53" s="230"/>
      <c r="AG53" s="230"/>
      <c r="AH53" s="231"/>
      <c r="AI53" s="230"/>
      <c r="AJ53" s="230"/>
      <c r="AK53" s="230"/>
      <c r="AL53" s="230"/>
      <c r="AM53" s="230"/>
      <c r="AN53" s="230"/>
      <c r="AO53" s="231"/>
      <c r="AP53" s="229"/>
      <c r="AQ53" s="230"/>
      <c r="AR53" s="230"/>
      <c r="AS53" s="230"/>
      <c r="AT53" s="230"/>
      <c r="AU53" s="230"/>
      <c r="AV53" s="230"/>
      <c r="AW53" s="230"/>
      <c r="AX53" s="230"/>
      <c r="AY53" s="230"/>
      <c r="AZ53" s="230"/>
      <c r="BA53" s="231"/>
      <c r="BB53" s="229"/>
      <c r="BC53" s="230"/>
      <c r="BD53" s="230"/>
      <c r="BE53" s="230"/>
      <c r="BF53" s="230"/>
      <c r="BG53" s="230"/>
      <c r="BH53" s="230"/>
      <c r="BI53" s="230"/>
      <c r="BJ53" s="230"/>
      <c r="BK53" s="230"/>
      <c r="BL53" s="230"/>
      <c r="BM53" s="231"/>
      <c r="BN53" s="229"/>
      <c r="BO53" s="230"/>
      <c r="BP53" s="230"/>
      <c r="BQ53" s="230"/>
      <c r="BR53" s="230"/>
      <c r="BS53" s="230"/>
      <c r="BT53" s="230"/>
      <c r="BU53" s="230"/>
      <c r="BV53" s="230"/>
      <c r="BW53" s="230"/>
      <c r="BX53" s="230"/>
      <c r="BY53" s="231"/>
    </row>
    <row r="54" spans="1:77" ht="16">
      <c r="A54" s="205"/>
      <c r="B54" s="291"/>
      <c r="C54" s="256"/>
      <c r="D54" s="295"/>
      <c r="E54" s="295"/>
      <c r="F54" s="295"/>
      <c r="G54" s="285" t="s">
        <v>812</v>
      </c>
      <c r="H54" s="286"/>
      <c r="I54" s="257"/>
      <c r="J54" s="258"/>
      <c r="K54" s="259"/>
      <c r="L54" s="259"/>
      <c r="M54" s="259"/>
      <c r="N54" s="259"/>
      <c r="O54" s="259"/>
      <c r="P54" s="259"/>
      <c r="Q54" s="258"/>
      <c r="R54" s="257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8"/>
      <c r="AD54" s="257"/>
      <c r="AE54" s="258"/>
      <c r="AF54" s="259"/>
      <c r="AG54" s="259"/>
      <c r="AH54" s="258"/>
      <c r="AI54" s="259"/>
      <c r="AJ54" s="259"/>
      <c r="AK54" s="259"/>
      <c r="AL54" s="259"/>
      <c r="AM54" s="259"/>
      <c r="AN54" s="259"/>
      <c r="AO54" s="258"/>
      <c r="AP54" s="257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8"/>
      <c r="BB54" s="257"/>
      <c r="BC54" s="259"/>
      <c r="BD54" s="259"/>
      <c r="BE54" s="259"/>
      <c r="BF54" s="259"/>
      <c r="BG54" s="259"/>
      <c r="BH54" s="259"/>
      <c r="BI54" s="259"/>
      <c r="BJ54" s="259"/>
      <c r="BK54" s="259"/>
      <c r="BL54" s="259"/>
      <c r="BM54" s="258"/>
      <c r="BN54" s="257"/>
      <c r="BO54" s="259"/>
      <c r="BP54" s="259"/>
      <c r="BQ54" s="259"/>
      <c r="BR54" s="259"/>
      <c r="BS54" s="259"/>
      <c r="BT54" s="259"/>
      <c r="BU54" s="259"/>
      <c r="BV54" s="259"/>
      <c r="BW54" s="259"/>
      <c r="BX54" s="259"/>
      <c r="BY54" s="258"/>
    </row>
    <row r="55" spans="1:77" ht="16">
      <c r="A55" s="205"/>
      <c r="B55" s="300">
        <v>9</v>
      </c>
      <c r="C55" s="220"/>
      <c r="D55" s="294" t="s">
        <v>824</v>
      </c>
      <c r="E55" s="291"/>
      <c r="F55" s="291"/>
      <c r="G55" s="280" t="s">
        <v>814</v>
      </c>
      <c r="H55" s="281"/>
      <c r="I55" s="221"/>
      <c r="J55" s="223"/>
      <c r="K55" s="222"/>
      <c r="L55" s="222"/>
      <c r="M55" s="222"/>
      <c r="N55" s="222"/>
      <c r="O55" s="222"/>
      <c r="P55" s="222"/>
      <c r="Q55" s="223"/>
      <c r="R55" s="221"/>
      <c r="S55" s="222"/>
      <c r="T55" s="222"/>
      <c r="U55" s="222"/>
      <c r="V55" s="222"/>
      <c r="W55" s="222"/>
      <c r="X55" s="222"/>
      <c r="Y55" s="222"/>
      <c r="Z55" s="222"/>
      <c r="AA55" s="222"/>
      <c r="AB55" s="222"/>
      <c r="AC55" s="223"/>
      <c r="AD55" s="221"/>
      <c r="AE55" s="223"/>
      <c r="AF55" s="222"/>
      <c r="AG55" s="222"/>
      <c r="AH55" s="223"/>
      <c r="AI55" s="222"/>
      <c r="AJ55" s="222"/>
      <c r="AK55" s="222"/>
      <c r="AL55" s="222"/>
      <c r="AM55" s="222"/>
      <c r="AN55" s="222"/>
      <c r="AO55" s="223"/>
      <c r="AP55" s="221"/>
      <c r="AQ55" s="222"/>
      <c r="AR55" s="222"/>
      <c r="AS55" s="222"/>
      <c r="AT55" s="222"/>
      <c r="AU55" s="222"/>
      <c r="AV55" s="222"/>
      <c r="AW55" s="222"/>
      <c r="AX55" s="222"/>
      <c r="AY55" s="222"/>
      <c r="AZ55" s="222"/>
      <c r="BA55" s="223"/>
      <c r="BB55" s="221"/>
      <c r="BC55" s="222"/>
      <c r="BD55" s="222"/>
      <c r="BE55" s="222"/>
      <c r="BF55" s="222"/>
      <c r="BG55" s="222"/>
      <c r="BH55" s="222"/>
      <c r="BI55" s="222"/>
      <c r="BJ55" s="222"/>
      <c r="BK55" s="222"/>
      <c r="BL55" s="222"/>
      <c r="BM55" s="223"/>
      <c r="BN55" s="221"/>
      <c r="BO55" s="222"/>
      <c r="BP55" s="222"/>
      <c r="BQ55" s="222"/>
      <c r="BR55" s="222"/>
      <c r="BS55" s="222"/>
      <c r="BT55" s="222"/>
      <c r="BU55" s="222"/>
      <c r="BV55" s="222"/>
      <c r="BW55" s="222"/>
      <c r="BX55" s="222"/>
      <c r="BY55" s="223"/>
    </row>
    <row r="56" spans="1:77" ht="16">
      <c r="A56" s="205"/>
      <c r="B56" s="291"/>
      <c r="C56" s="220"/>
      <c r="D56" s="291"/>
      <c r="E56" s="291"/>
      <c r="F56" s="291"/>
      <c r="G56" s="260"/>
      <c r="H56" s="260"/>
      <c r="I56" s="221"/>
      <c r="J56" s="223"/>
      <c r="K56" s="222"/>
      <c r="L56" s="222"/>
      <c r="M56" s="222"/>
      <c r="N56" s="222"/>
      <c r="O56" s="222"/>
      <c r="P56" s="222"/>
      <c r="Q56" s="223"/>
      <c r="R56" s="221"/>
      <c r="S56" s="222"/>
      <c r="T56" s="222"/>
      <c r="U56" s="222"/>
      <c r="V56" s="222"/>
      <c r="W56" s="222"/>
      <c r="X56" s="222"/>
      <c r="Y56" s="222"/>
      <c r="Z56" s="222"/>
      <c r="AA56" s="222"/>
      <c r="AB56" s="222"/>
      <c r="AC56" s="223"/>
      <c r="AD56" s="221"/>
      <c r="AE56" s="223"/>
      <c r="AF56" s="222"/>
      <c r="AG56" s="222"/>
      <c r="AH56" s="223"/>
      <c r="AI56" s="222"/>
      <c r="AJ56" s="222"/>
      <c r="AK56" s="222"/>
      <c r="AL56" s="222"/>
      <c r="AM56" s="222"/>
      <c r="AN56" s="222"/>
      <c r="AO56" s="223"/>
      <c r="AP56" s="221"/>
      <c r="AQ56" s="222"/>
      <c r="AR56" s="222"/>
      <c r="AS56" s="222"/>
      <c r="AT56" s="222"/>
      <c r="AU56" s="222"/>
      <c r="AV56" s="222"/>
      <c r="AW56" s="222"/>
      <c r="AX56" s="222"/>
      <c r="AY56" s="222"/>
      <c r="AZ56" s="222"/>
      <c r="BA56" s="223"/>
      <c r="BB56" s="221"/>
      <c r="BC56" s="222"/>
      <c r="BD56" s="222"/>
      <c r="BE56" s="222"/>
      <c r="BF56" s="222"/>
      <c r="BG56" s="222"/>
      <c r="BH56" s="222"/>
      <c r="BI56" s="222"/>
      <c r="BJ56" s="222"/>
      <c r="BK56" s="222"/>
      <c r="BL56" s="222"/>
      <c r="BM56" s="223"/>
      <c r="BN56" s="221"/>
      <c r="BO56" s="222"/>
      <c r="BP56" s="222"/>
      <c r="BQ56" s="222"/>
      <c r="BR56" s="222"/>
      <c r="BS56" s="222"/>
      <c r="BT56" s="222"/>
      <c r="BU56" s="222"/>
      <c r="BV56" s="222"/>
      <c r="BW56" s="222"/>
      <c r="BX56" s="222"/>
      <c r="BY56" s="223"/>
    </row>
    <row r="57" spans="1:77" ht="16">
      <c r="A57" s="205"/>
      <c r="B57" s="291"/>
      <c r="C57" s="220"/>
      <c r="D57" s="291"/>
      <c r="E57" s="291"/>
      <c r="F57" s="291"/>
      <c r="G57" s="280" t="s">
        <v>815</v>
      </c>
      <c r="H57" s="281"/>
      <c r="I57" s="229"/>
      <c r="J57" s="231"/>
      <c r="K57" s="230"/>
      <c r="L57" s="230"/>
      <c r="M57" s="230"/>
      <c r="N57" s="230"/>
      <c r="O57" s="230"/>
      <c r="P57" s="230"/>
      <c r="Q57" s="231"/>
      <c r="R57" s="229"/>
      <c r="S57" s="230"/>
      <c r="T57" s="230"/>
      <c r="U57" s="230"/>
      <c r="V57" s="230"/>
      <c r="W57" s="230"/>
      <c r="X57" s="230"/>
      <c r="Y57" s="230"/>
      <c r="Z57" s="230"/>
      <c r="AA57" s="230"/>
      <c r="AB57" s="230"/>
      <c r="AC57" s="231"/>
      <c r="AD57" s="229"/>
      <c r="AE57" s="231"/>
      <c r="AF57" s="230"/>
      <c r="AG57" s="230"/>
      <c r="AH57" s="231"/>
      <c r="AI57" s="230"/>
      <c r="AJ57" s="230"/>
      <c r="AK57" s="230"/>
      <c r="AL57" s="230"/>
      <c r="AM57" s="230"/>
      <c r="AN57" s="230"/>
      <c r="AO57" s="231"/>
      <c r="AP57" s="229"/>
      <c r="AQ57" s="230"/>
      <c r="AR57" s="230"/>
      <c r="AS57" s="230"/>
      <c r="AT57" s="230"/>
      <c r="AU57" s="230"/>
      <c r="AV57" s="230"/>
      <c r="AW57" s="230"/>
      <c r="AX57" s="230"/>
      <c r="AY57" s="230"/>
      <c r="AZ57" s="230"/>
      <c r="BA57" s="231"/>
      <c r="BB57" s="229"/>
      <c r="BC57" s="230"/>
      <c r="BD57" s="230"/>
      <c r="BE57" s="230"/>
      <c r="BF57" s="230"/>
      <c r="BG57" s="230"/>
      <c r="BH57" s="230"/>
      <c r="BI57" s="230"/>
      <c r="BJ57" s="230"/>
      <c r="BK57" s="230"/>
      <c r="BL57" s="230"/>
      <c r="BM57" s="231"/>
      <c r="BN57" s="229"/>
      <c r="BO57" s="230"/>
      <c r="BP57" s="230"/>
      <c r="BQ57" s="230"/>
      <c r="BR57" s="230"/>
      <c r="BS57" s="230"/>
      <c r="BT57" s="230"/>
      <c r="BU57" s="230"/>
      <c r="BV57" s="230"/>
      <c r="BW57" s="230"/>
      <c r="BX57" s="230"/>
      <c r="BY57" s="231"/>
    </row>
    <row r="58" spans="1:77" ht="16">
      <c r="A58" s="205"/>
      <c r="B58" s="291"/>
      <c r="C58" s="220"/>
      <c r="D58" s="291"/>
      <c r="E58" s="291"/>
      <c r="F58" s="291"/>
      <c r="G58" s="260"/>
      <c r="H58" s="260"/>
      <c r="I58" s="229"/>
      <c r="J58" s="231"/>
      <c r="K58" s="230"/>
      <c r="L58" s="230"/>
      <c r="M58" s="230"/>
      <c r="N58" s="230"/>
      <c r="O58" s="230"/>
      <c r="P58" s="230"/>
      <c r="Q58" s="231"/>
      <c r="R58" s="229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1"/>
      <c r="AD58" s="229"/>
      <c r="AE58" s="231"/>
      <c r="AF58" s="230"/>
      <c r="AG58" s="230"/>
      <c r="AH58" s="231"/>
      <c r="AI58" s="230"/>
      <c r="AJ58" s="230"/>
      <c r="AK58" s="230"/>
      <c r="AL58" s="230"/>
      <c r="AM58" s="230"/>
      <c r="AN58" s="230"/>
      <c r="AO58" s="231"/>
      <c r="AP58" s="229"/>
      <c r="AQ58" s="230"/>
      <c r="AR58" s="230"/>
      <c r="AS58" s="230"/>
      <c r="AT58" s="230"/>
      <c r="AU58" s="230"/>
      <c r="AV58" s="230"/>
      <c r="AW58" s="230"/>
      <c r="AX58" s="230"/>
      <c r="AY58" s="230"/>
      <c r="AZ58" s="230"/>
      <c r="BA58" s="231"/>
      <c r="BB58" s="229"/>
      <c r="BC58" s="230"/>
      <c r="BD58" s="230"/>
      <c r="BE58" s="230"/>
      <c r="BF58" s="230"/>
      <c r="BG58" s="230"/>
      <c r="BH58" s="230"/>
      <c r="BI58" s="230"/>
      <c r="BJ58" s="230"/>
      <c r="BK58" s="230"/>
      <c r="BL58" s="230"/>
      <c r="BM58" s="231"/>
      <c r="BN58" s="229"/>
      <c r="BO58" s="230"/>
      <c r="BP58" s="230"/>
      <c r="BQ58" s="230"/>
      <c r="BR58" s="230"/>
      <c r="BS58" s="230"/>
      <c r="BT58" s="230"/>
      <c r="BU58" s="230"/>
      <c r="BV58" s="230"/>
      <c r="BW58" s="230"/>
      <c r="BX58" s="230"/>
      <c r="BY58" s="231"/>
    </row>
    <row r="59" spans="1:77" ht="16">
      <c r="A59" s="205"/>
      <c r="B59" s="291"/>
      <c r="C59" s="220"/>
      <c r="D59" s="291"/>
      <c r="E59" s="291"/>
      <c r="F59" s="291"/>
      <c r="G59" s="280" t="s">
        <v>816</v>
      </c>
      <c r="H59" s="281"/>
      <c r="I59" s="229"/>
      <c r="J59" s="231"/>
      <c r="K59" s="230"/>
      <c r="L59" s="230"/>
      <c r="M59" s="230"/>
      <c r="N59" s="230"/>
      <c r="O59" s="230"/>
      <c r="P59" s="230"/>
      <c r="Q59" s="231"/>
      <c r="R59" s="229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1"/>
      <c r="AD59" s="229"/>
      <c r="AE59" s="231"/>
      <c r="AF59" s="230"/>
      <c r="AG59" s="230"/>
      <c r="AH59" s="231"/>
      <c r="AI59" s="230"/>
      <c r="AJ59" s="230"/>
      <c r="AK59" s="230"/>
      <c r="AL59" s="230"/>
      <c r="AM59" s="230"/>
      <c r="AN59" s="230"/>
      <c r="AO59" s="231"/>
      <c r="AP59" s="229"/>
      <c r="AQ59" s="230"/>
      <c r="AR59" s="230"/>
      <c r="AS59" s="230"/>
      <c r="AT59" s="230"/>
      <c r="AU59" s="230"/>
      <c r="AV59" s="230"/>
      <c r="AW59" s="230"/>
      <c r="AX59" s="230"/>
      <c r="AY59" s="230"/>
      <c r="AZ59" s="230"/>
      <c r="BA59" s="231"/>
      <c r="BB59" s="229"/>
      <c r="BC59" s="230"/>
      <c r="BD59" s="230"/>
      <c r="BE59" s="230"/>
      <c r="BF59" s="230"/>
      <c r="BG59" s="230"/>
      <c r="BH59" s="230"/>
      <c r="BI59" s="230"/>
      <c r="BJ59" s="230"/>
      <c r="BK59" s="230"/>
      <c r="BL59" s="230"/>
      <c r="BM59" s="231"/>
      <c r="BN59" s="229"/>
      <c r="BO59" s="230"/>
      <c r="BP59" s="230"/>
      <c r="BQ59" s="230"/>
      <c r="BR59" s="230"/>
      <c r="BS59" s="230"/>
      <c r="BT59" s="230"/>
      <c r="BU59" s="230"/>
      <c r="BV59" s="230"/>
      <c r="BW59" s="230"/>
      <c r="BX59" s="230"/>
      <c r="BY59" s="231"/>
    </row>
    <row r="60" spans="1:77" ht="16">
      <c r="A60" s="205"/>
      <c r="B60" s="291"/>
      <c r="C60" s="261"/>
      <c r="D60" s="295"/>
      <c r="E60" s="295"/>
      <c r="F60" s="295"/>
      <c r="G60" s="287" t="s">
        <v>817</v>
      </c>
      <c r="H60" s="288"/>
      <c r="I60" s="262"/>
      <c r="J60" s="263"/>
      <c r="K60" s="264"/>
      <c r="L60" s="264"/>
      <c r="M60" s="264"/>
      <c r="N60" s="264"/>
      <c r="O60" s="264"/>
      <c r="P60" s="264"/>
      <c r="Q60" s="263"/>
      <c r="R60" s="262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3"/>
      <c r="AD60" s="262"/>
      <c r="AE60" s="263"/>
      <c r="AF60" s="264"/>
      <c r="AG60" s="264"/>
      <c r="AH60" s="263"/>
      <c r="AI60" s="264"/>
      <c r="AJ60" s="264"/>
      <c r="AK60" s="264"/>
      <c r="AL60" s="264"/>
      <c r="AM60" s="264"/>
      <c r="AN60" s="264"/>
      <c r="AO60" s="263"/>
      <c r="AP60" s="262"/>
      <c r="AQ60" s="264"/>
      <c r="AR60" s="264"/>
      <c r="AS60" s="264"/>
      <c r="AT60" s="264"/>
      <c r="AU60" s="264"/>
      <c r="AV60" s="264"/>
      <c r="AW60" s="264"/>
      <c r="AX60" s="264"/>
      <c r="AY60" s="264"/>
      <c r="AZ60" s="264"/>
      <c r="BA60" s="263"/>
      <c r="BB60" s="262"/>
      <c r="BC60" s="264"/>
      <c r="BD60" s="264"/>
      <c r="BE60" s="264"/>
      <c r="BF60" s="264"/>
      <c r="BG60" s="264"/>
      <c r="BH60" s="264"/>
      <c r="BI60" s="264"/>
      <c r="BJ60" s="264"/>
      <c r="BK60" s="264"/>
      <c r="BL60" s="264"/>
      <c r="BM60" s="263"/>
      <c r="BN60" s="262"/>
      <c r="BO60" s="264"/>
      <c r="BP60" s="264"/>
      <c r="BQ60" s="264"/>
      <c r="BR60" s="264"/>
      <c r="BS60" s="264"/>
      <c r="BT60" s="264"/>
      <c r="BU60" s="264"/>
      <c r="BV60" s="264"/>
      <c r="BW60" s="264"/>
      <c r="BX60" s="264"/>
      <c r="BY60" s="263"/>
    </row>
    <row r="61" spans="1:77" ht="16">
      <c r="A61" s="205"/>
      <c r="B61" s="290">
        <v>10</v>
      </c>
      <c r="C61" s="220"/>
      <c r="D61" s="296" t="s">
        <v>818</v>
      </c>
      <c r="E61" s="291"/>
      <c r="F61" s="291"/>
      <c r="G61" s="289" t="s">
        <v>819</v>
      </c>
      <c r="H61" s="281"/>
      <c r="I61" s="221"/>
      <c r="J61" s="223"/>
      <c r="K61" s="222"/>
      <c r="L61" s="222"/>
      <c r="M61" s="222"/>
      <c r="N61" s="222"/>
      <c r="O61" s="222"/>
      <c r="P61" s="222"/>
      <c r="Q61" s="223"/>
      <c r="R61" s="221"/>
      <c r="S61" s="222"/>
      <c r="T61" s="222"/>
      <c r="U61" s="222"/>
      <c r="V61" s="222"/>
      <c r="W61" s="222"/>
      <c r="X61" s="222"/>
      <c r="Y61" s="222"/>
      <c r="Z61" s="222"/>
      <c r="AA61" s="222"/>
      <c r="AB61" s="222"/>
      <c r="AC61" s="223"/>
      <c r="AD61" s="221"/>
      <c r="AE61" s="223"/>
      <c r="AF61" s="222"/>
      <c r="AG61" s="222"/>
      <c r="AH61" s="223"/>
      <c r="AI61" s="222"/>
      <c r="AJ61" s="222"/>
      <c r="AK61" s="222"/>
      <c r="AL61" s="222"/>
      <c r="AM61" s="222"/>
      <c r="AN61" s="222"/>
      <c r="AO61" s="223"/>
      <c r="AP61" s="221"/>
      <c r="AQ61" s="222"/>
      <c r="AR61" s="222"/>
      <c r="AS61" s="222"/>
      <c r="AT61" s="222"/>
      <c r="AU61" s="222"/>
      <c r="AV61" s="222"/>
      <c r="AW61" s="222"/>
      <c r="AX61" s="222"/>
      <c r="AY61" s="222"/>
      <c r="AZ61" s="222"/>
      <c r="BA61" s="223"/>
      <c r="BB61" s="221"/>
      <c r="BC61" s="222"/>
      <c r="BD61" s="222"/>
      <c r="BE61" s="222"/>
      <c r="BF61" s="222"/>
      <c r="BG61" s="222"/>
      <c r="BH61" s="222"/>
      <c r="BI61" s="222"/>
      <c r="BJ61" s="222"/>
      <c r="BK61" s="222"/>
      <c r="BL61" s="222"/>
      <c r="BM61" s="223"/>
      <c r="BN61" s="221"/>
      <c r="BO61" s="222"/>
      <c r="BP61" s="222"/>
      <c r="BQ61" s="222"/>
      <c r="BR61" s="222"/>
      <c r="BS61" s="222"/>
      <c r="BT61" s="222"/>
      <c r="BU61" s="222"/>
      <c r="BV61" s="222"/>
      <c r="BW61" s="222"/>
      <c r="BX61" s="222"/>
      <c r="BY61" s="223"/>
    </row>
    <row r="62" spans="1:77" ht="16">
      <c r="A62" s="205"/>
      <c r="B62" s="291"/>
      <c r="C62" s="220"/>
      <c r="D62" s="291"/>
      <c r="E62" s="291"/>
      <c r="F62" s="291"/>
      <c r="G62" s="265"/>
      <c r="H62" s="265"/>
      <c r="I62" s="221"/>
      <c r="J62" s="223"/>
      <c r="K62" s="222"/>
      <c r="L62" s="222"/>
      <c r="M62" s="222"/>
      <c r="N62" s="222"/>
      <c r="O62" s="222"/>
      <c r="P62" s="222"/>
      <c r="Q62" s="223"/>
      <c r="R62" s="221"/>
      <c r="S62" s="222"/>
      <c r="T62" s="222"/>
      <c r="U62" s="222"/>
      <c r="V62" s="222"/>
      <c r="W62" s="222"/>
      <c r="X62" s="222"/>
      <c r="Y62" s="222"/>
      <c r="Z62" s="222"/>
      <c r="AA62" s="222"/>
      <c r="AB62" s="222"/>
      <c r="AC62" s="223"/>
      <c r="AD62" s="221"/>
      <c r="AE62" s="223"/>
      <c r="AF62" s="222"/>
      <c r="AG62" s="222"/>
      <c r="AH62" s="223"/>
      <c r="AI62" s="222"/>
      <c r="AJ62" s="222"/>
      <c r="AK62" s="222"/>
      <c r="AL62" s="222"/>
      <c r="AM62" s="222"/>
      <c r="AN62" s="222"/>
      <c r="AO62" s="223"/>
      <c r="AP62" s="221"/>
      <c r="AQ62" s="222"/>
      <c r="AR62" s="222"/>
      <c r="AS62" s="222"/>
      <c r="AT62" s="222"/>
      <c r="AU62" s="222"/>
      <c r="AV62" s="222"/>
      <c r="AW62" s="222"/>
      <c r="AX62" s="222"/>
      <c r="AY62" s="222"/>
      <c r="AZ62" s="222"/>
      <c r="BA62" s="223"/>
      <c r="BB62" s="221"/>
      <c r="BC62" s="222"/>
      <c r="BD62" s="222"/>
      <c r="BE62" s="222"/>
      <c r="BF62" s="222"/>
      <c r="BG62" s="222"/>
      <c r="BH62" s="222"/>
      <c r="BI62" s="222"/>
      <c r="BJ62" s="222"/>
      <c r="BK62" s="222"/>
      <c r="BL62" s="222"/>
      <c r="BM62" s="223"/>
      <c r="BN62" s="221"/>
      <c r="BO62" s="222"/>
      <c r="BP62" s="222"/>
      <c r="BQ62" s="222"/>
      <c r="BR62" s="222"/>
      <c r="BS62" s="222"/>
      <c r="BT62" s="222"/>
      <c r="BU62" s="222"/>
      <c r="BV62" s="222"/>
      <c r="BW62" s="222"/>
      <c r="BX62" s="222"/>
      <c r="BY62" s="223"/>
    </row>
    <row r="63" spans="1:77" ht="16">
      <c r="A63" s="205"/>
      <c r="B63" s="291"/>
      <c r="C63" s="220"/>
      <c r="D63" s="291"/>
      <c r="E63" s="291"/>
      <c r="F63" s="291"/>
      <c r="G63" s="265"/>
      <c r="H63" s="265"/>
      <c r="I63" s="221"/>
      <c r="J63" s="223"/>
      <c r="K63" s="222"/>
      <c r="L63" s="222"/>
      <c r="M63" s="222"/>
      <c r="N63" s="222"/>
      <c r="O63" s="222"/>
      <c r="P63" s="222"/>
      <c r="Q63" s="223"/>
      <c r="R63" s="221"/>
      <c r="S63" s="222"/>
      <c r="T63" s="222"/>
      <c r="U63" s="222"/>
      <c r="V63" s="222"/>
      <c r="W63" s="222"/>
      <c r="X63" s="222"/>
      <c r="Y63" s="222"/>
      <c r="Z63" s="222"/>
      <c r="AA63" s="222"/>
      <c r="AB63" s="222"/>
      <c r="AC63" s="223"/>
      <c r="AD63" s="221"/>
      <c r="AE63" s="223"/>
      <c r="AF63" s="222"/>
      <c r="AG63" s="222"/>
      <c r="AH63" s="223"/>
      <c r="AI63" s="222"/>
      <c r="AJ63" s="222"/>
      <c r="AK63" s="222"/>
      <c r="AL63" s="222"/>
      <c r="AM63" s="222"/>
      <c r="AN63" s="222"/>
      <c r="AO63" s="223"/>
      <c r="AP63" s="221"/>
      <c r="AQ63" s="222"/>
      <c r="AR63" s="222"/>
      <c r="AS63" s="222"/>
      <c r="AT63" s="222"/>
      <c r="AU63" s="222"/>
      <c r="AV63" s="222"/>
      <c r="AW63" s="222"/>
      <c r="AX63" s="222"/>
      <c r="AY63" s="222"/>
      <c r="AZ63" s="222"/>
      <c r="BA63" s="223"/>
      <c r="BB63" s="221"/>
      <c r="BC63" s="222"/>
      <c r="BD63" s="222"/>
      <c r="BE63" s="222"/>
      <c r="BF63" s="222"/>
      <c r="BG63" s="222"/>
      <c r="BH63" s="222"/>
      <c r="BI63" s="222"/>
      <c r="BJ63" s="222"/>
      <c r="BK63" s="222"/>
      <c r="BL63" s="222"/>
      <c r="BM63" s="223"/>
      <c r="BN63" s="221"/>
      <c r="BO63" s="222"/>
      <c r="BP63" s="222"/>
      <c r="BQ63" s="222"/>
      <c r="BR63" s="222"/>
      <c r="BS63" s="222"/>
      <c r="BT63" s="222"/>
      <c r="BU63" s="222"/>
      <c r="BV63" s="222"/>
      <c r="BW63" s="222"/>
      <c r="BX63" s="222"/>
      <c r="BY63" s="223"/>
    </row>
    <row r="64" spans="1:77" ht="16">
      <c r="A64" s="205"/>
      <c r="B64" s="291"/>
      <c r="C64" s="220"/>
      <c r="D64" s="291"/>
      <c r="E64" s="291"/>
      <c r="F64" s="291"/>
      <c r="G64" s="265"/>
      <c r="H64" s="265"/>
      <c r="I64" s="221"/>
      <c r="J64" s="223"/>
      <c r="K64" s="222"/>
      <c r="L64" s="222"/>
      <c r="M64" s="222"/>
      <c r="N64" s="222"/>
      <c r="O64" s="222"/>
      <c r="P64" s="222"/>
      <c r="Q64" s="223"/>
      <c r="R64" s="221"/>
      <c r="S64" s="222"/>
      <c r="T64" s="222"/>
      <c r="U64" s="222"/>
      <c r="V64" s="222"/>
      <c r="W64" s="222"/>
      <c r="X64" s="222"/>
      <c r="Y64" s="222"/>
      <c r="Z64" s="222"/>
      <c r="AA64" s="222"/>
      <c r="AB64" s="222"/>
      <c r="AC64" s="223"/>
      <c r="AD64" s="221"/>
      <c r="AE64" s="223"/>
      <c r="AF64" s="222"/>
      <c r="AG64" s="222"/>
      <c r="AH64" s="223"/>
      <c r="AI64" s="222"/>
      <c r="AJ64" s="222"/>
      <c r="AK64" s="222"/>
      <c r="AL64" s="222"/>
      <c r="AM64" s="222"/>
      <c r="AN64" s="222"/>
      <c r="AO64" s="223"/>
      <c r="AP64" s="221"/>
      <c r="AQ64" s="222"/>
      <c r="AR64" s="222"/>
      <c r="AS64" s="222"/>
      <c r="AT64" s="222"/>
      <c r="AU64" s="222"/>
      <c r="AV64" s="222"/>
      <c r="AW64" s="222"/>
      <c r="AX64" s="222"/>
      <c r="AY64" s="222"/>
      <c r="AZ64" s="222"/>
      <c r="BA64" s="223"/>
      <c r="BB64" s="221"/>
      <c r="BC64" s="222"/>
      <c r="BD64" s="222"/>
      <c r="BE64" s="222"/>
      <c r="BF64" s="222"/>
      <c r="BG64" s="222"/>
      <c r="BH64" s="222"/>
      <c r="BI64" s="222"/>
      <c r="BJ64" s="222"/>
      <c r="BK64" s="222"/>
      <c r="BL64" s="222"/>
      <c r="BM64" s="223"/>
      <c r="BN64" s="221"/>
      <c r="BO64" s="222"/>
      <c r="BP64" s="222"/>
      <c r="BQ64" s="222"/>
      <c r="BR64" s="222"/>
      <c r="BS64" s="222"/>
      <c r="BT64" s="222"/>
      <c r="BU64" s="222"/>
      <c r="BV64" s="222"/>
      <c r="BW64" s="222"/>
      <c r="BX64" s="222"/>
      <c r="BY64" s="223"/>
    </row>
    <row r="65" spans="1:77" ht="16">
      <c r="A65" s="205"/>
      <c r="B65" s="291"/>
      <c r="C65" s="220"/>
      <c r="D65" s="291"/>
      <c r="E65" s="291"/>
      <c r="F65" s="291"/>
      <c r="G65" s="289" t="s">
        <v>820</v>
      </c>
      <c r="H65" s="281"/>
      <c r="I65" s="229"/>
      <c r="J65" s="231"/>
      <c r="K65" s="230"/>
      <c r="L65" s="230"/>
      <c r="M65" s="230"/>
      <c r="N65" s="230"/>
      <c r="O65" s="230"/>
      <c r="P65" s="230"/>
      <c r="Q65" s="231"/>
      <c r="R65" s="229"/>
      <c r="S65" s="230"/>
      <c r="T65" s="230"/>
      <c r="U65" s="230"/>
      <c r="V65" s="230"/>
      <c r="W65" s="230"/>
      <c r="X65" s="230"/>
      <c r="Y65" s="230"/>
      <c r="Z65" s="230"/>
      <c r="AA65" s="230"/>
      <c r="AB65" s="230"/>
      <c r="AC65" s="231"/>
      <c r="AD65" s="229"/>
      <c r="AE65" s="231"/>
      <c r="AF65" s="230"/>
      <c r="AG65" s="230"/>
      <c r="AH65" s="231"/>
      <c r="AI65" s="230"/>
      <c r="AJ65" s="230"/>
      <c r="AK65" s="230"/>
      <c r="AL65" s="230"/>
      <c r="AM65" s="230"/>
      <c r="AN65" s="230"/>
      <c r="AO65" s="231"/>
      <c r="AP65" s="229"/>
      <c r="AQ65" s="230"/>
      <c r="AR65" s="230"/>
      <c r="AS65" s="230"/>
      <c r="AT65" s="230"/>
      <c r="AU65" s="230"/>
      <c r="AV65" s="230"/>
      <c r="AW65" s="230"/>
      <c r="AX65" s="230"/>
      <c r="AY65" s="230"/>
      <c r="AZ65" s="230"/>
      <c r="BA65" s="231"/>
      <c r="BB65" s="229"/>
      <c r="BC65" s="230"/>
      <c r="BD65" s="230"/>
      <c r="BE65" s="230"/>
      <c r="BF65" s="230"/>
      <c r="BG65" s="230"/>
      <c r="BH65" s="230"/>
      <c r="BI65" s="230"/>
      <c r="BJ65" s="230"/>
      <c r="BK65" s="230"/>
      <c r="BL65" s="230"/>
      <c r="BM65" s="231"/>
      <c r="BN65" s="229"/>
      <c r="BO65" s="230"/>
      <c r="BP65" s="230"/>
      <c r="BQ65" s="230"/>
      <c r="BR65" s="230"/>
      <c r="BS65" s="230"/>
      <c r="BT65" s="230"/>
      <c r="BU65" s="230"/>
      <c r="BV65" s="230"/>
      <c r="BW65" s="230"/>
      <c r="BX65" s="230"/>
      <c r="BY65" s="231"/>
    </row>
    <row r="66" spans="1:77" ht="16">
      <c r="A66" s="205"/>
      <c r="B66" s="291"/>
      <c r="C66" s="220"/>
      <c r="D66" s="291"/>
      <c r="E66" s="291"/>
      <c r="F66" s="291"/>
      <c r="G66" s="289" t="s">
        <v>821</v>
      </c>
      <c r="H66" s="281"/>
      <c r="I66" s="229"/>
      <c r="J66" s="231"/>
      <c r="K66" s="230"/>
      <c r="L66" s="230"/>
      <c r="M66" s="230"/>
      <c r="N66" s="230"/>
      <c r="O66" s="230"/>
      <c r="P66" s="230"/>
      <c r="Q66" s="231"/>
      <c r="R66" s="229"/>
      <c r="S66" s="230"/>
      <c r="T66" s="230"/>
      <c r="U66" s="230"/>
      <c r="V66" s="230"/>
      <c r="W66" s="230"/>
      <c r="X66" s="230"/>
      <c r="Y66" s="230"/>
      <c r="Z66" s="230"/>
      <c r="AA66" s="230"/>
      <c r="AB66" s="230"/>
      <c r="AC66" s="231"/>
      <c r="AD66" s="229"/>
      <c r="AE66" s="231"/>
      <c r="AF66" s="230"/>
      <c r="AG66" s="230"/>
      <c r="AH66" s="231"/>
      <c r="AI66" s="230"/>
      <c r="AJ66" s="230"/>
      <c r="AK66" s="230"/>
      <c r="AL66" s="230"/>
      <c r="AM66" s="230"/>
      <c r="AN66" s="230"/>
      <c r="AO66" s="231"/>
      <c r="AP66" s="229"/>
      <c r="AQ66" s="230"/>
      <c r="AR66" s="230"/>
      <c r="AS66" s="230"/>
      <c r="AT66" s="230"/>
      <c r="AU66" s="230"/>
      <c r="AV66" s="230"/>
      <c r="AW66" s="230"/>
      <c r="AX66" s="230"/>
      <c r="AY66" s="230"/>
      <c r="AZ66" s="230"/>
      <c r="BA66" s="231"/>
      <c r="BB66" s="229"/>
      <c r="BC66" s="230"/>
      <c r="BD66" s="230"/>
      <c r="BE66" s="230"/>
      <c r="BF66" s="230"/>
      <c r="BG66" s="230"/>
      <c r="BH66" s="230"/>
      <c r="BI66" s="230"/>
      <c r="BJ66" s="230"/>
      <c r="BK66" s="230"/>
      <c r="BL66" s="230"/>
      <c r="BM66" s="231"/>
      <c r="BN66" s="229"/>
      <c r="BO66" s="230"/>
      <c r="BP66" s="230"/>
      <c r="BQ66" s="230"/>
      <c r="BR66" s="230"/>
      <c r="BS66" s="230"/>
      <c r="BT66" s="230"/>
      <c r="BU66" s="230"/>
      <c r="BV66" s="230"/>
      <c r="BW66" s="230"/>
      <c r="BX66" s="230"/>
      <c r="BY66" s="231"/>
    </row>
  </sheetData>
  <mergeCells count="96">
    <mergeCell ref="BB4:BM4"/>
    <mergeCell ref="BN4:BY4"/>
    <mergeCell ref="B2:H2"/>
    <mergeCell ref="I2:L2"/>
    <mergeCell ref="M2:AC2"/>
    <mergeCell ref="I4:Q4"/>
    <mergeCell ref="R4:AC4"/>
    <mergeCell ref="AD4:AO4"/>
    <mergeCell ref="AP4:BA4"/>
    <mergeCell ref="AD5:AF5"/>
    <mergeCell ref="AG5:AI5"/>
    <mergeCell ref="AJ5:AL5"/>
    <mergeCell ref="AM5:AO5"/>
    <mergeCell ref="AP5:AR5"/>
    <mergeCell ref="AS5:AU5"/>
    <mergeCell ref="AV5:AX5"/>
    <mergeCell ref="BT5:BV5"/>
    <mergeCell ref="BW5:BY5"/>
    <mergeCell ref="AY5:BA5"/>
    <mergeCell ref="BB5:BD5"/>
    <mergeCell ref="BE5:BG5"/>
    <mergeCell ref="BH5:BJ5"/>
    <mergeCell ref="BK5:BM5"/>
    <mergeCell ref="BN5:BP5"/>
    <mergeCell ref="BQ5:BS5"/>
    <mergeCell ref="I5:K5"/>
    <mergeCell ref="L5:N5"/>
    <mergeCell ref="O5:Q5"/>
    <mergeCell ref="R5:T5"/>
    <mergeCell ref="U5:W5"/>
    <mergeCell ref="X5:Z5"/>
    <mergeCell ref="AA5:AC5"/>
    <mergeCell ref="G13:H13"/>
    <mergeCell ref="G14:H14"/>
    <mergeCell ref="G46:H46"/>
    <mergeCell ref="G17:H17"/>
    <mergeCell ref="G18:H18"/>
    <mergeCell ref="G19:H19"/>
    <mergeCell ref="G20:H20"/>
    <mergeCell ref="G23:H23"/>
    <mergeCell ref="G24:H24"/>
    <mergeCell ref="G25:H25"/>
    <mergeCell ref="G27:H27"/>
    <mergeCell ref="G29:H29"/>
    <mergeCell ref="G30:H30"/>
    <mergeCell ref="G31:H31"/>
    <mergeCell ref="G47:H47"/>
    <mergeCell ref="G38:H38"/>
    <mergeCell ref="G40:H40"/>
    <mergeCell ref="G41:H41"/>
    <mergeCell ref="G42:H42"/>
    <mergeCell ref="G43:H43"/>
    <mergeCell ref="G44:H44"/>
    <mergeCell ref="G45:H45"/>
    <mergeCell ref="G35:H35"/>
    <mergeCell ref="G36:H36"/>
    <mergeCell ref="G37:H37"/>
    <mergeCell ref="D7:F12"/>
    <mergeCell ref="D13:F18"/>
    <mergeCell ref="G15:H15"/>
    <mergeCell ref="G16:H16"/>
    <mergeCell ref="D19:F24"/>
    <mergeCell ref="D25:F30"/>
    <mergeCell ref="D31:F36"/>
    <mergeCell ref="D37:F42"/>
    <mergeCell ref="B7:B12"/>
    <mergeCell ref="G7:H7"/>
    <mergeCell ref="G8:H8"/>
    <mergeCell ref="G10:H10"/>
    <mergeCell ref="G11:H11"/>
    <mergeCell ref="G12:H12"/>
    <mergeCell ref="B13:B18"/>
    <mergeCell ref="B37:B42"/>
    <mergeCell ref="B43:B48"/>
    <mergeCell ref="B49:B54"/>
    <mergeCell ref="B55:B60"/>
    <mergeCell ref="B19:B24"/>
    <mergeCell ref="B25:B30"/>
    <mergeCell ref="B31:B36"/>
    <mergeCell ref="B61:B66"/>
    <mergeCell ref="D43:F48"/>
    <mergeCell ref="D49:F54"/>
    <mergeCell ref="D55:F60"/>
    <mergeCell ref="D61:F66"/>
    <mergeCell ref="G59:H59"/>
    <mergeCell ref="G60:H60"/>
    <mergeCell ref="G61:H61"/>
    <mergeCell ref="G65:H65"/>
    <mergeCell ref="G66:H66"/>
    <mergeCell ref="G55:H55"/>
    <mergeCell ref="G57:H57"/>
    <mergeCell ref="G48:H48"/>
    <mergeCell ref="G49:H49"/>
    <mergeCell ref="G50:H50"/>
    <mergeCell ref="G53:H53"/>
    <mergeCell ref="G54:H5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G176"/>
  <sheetViews>
    <sheetView workbookViewId="0"/>
  </sheetViews>
  <sheetFormatPr baseColWidth="10" defaultColWidth="12.6640625" defaultRowHeight="15.75" customHeight="1"/>
  <cols>
    <col min="2" max="2" width="36.33203125" customWidth="1"/>
    <col min="3" max="3" width="43.5" customWidth="1"/>
    <col min="4" max="4" width="24.1640625" customWidth="1"/>
    <col min="5" max="5" width="32.33203125" customWidth="1"/>
    <col min="6" max="6" width="23.5" customWidth="1"/>
    <col min="7" max="7" width="32.6640625" customWidth="1"/>
  </cols>
  <sheetData>
    <row r="1" spans="1:7" ht="15.75" customHeight="1">
      <c r="A1" s="266"/>
      <c r="B1" s="266"/>
      <c r="C1" s="266"/>
      <c r="D1" s="266"/>
      <c r="E1" s="266"/>
      <c r="F1" s="266"/>
      <c r="G1" s="266"/>
    </row>
    <row r="2" spans="1:7" ht="15.75" customHeight="1">
      <c r="A2" s="267"/>
      <c r="B2" s="268" t="s">
        <v>150</v>
      </c>
      <c r="C2" s="268" t="s">
        <v>151</v>
      </c>
      <c r="D2" s="268" t="s">
        <v>152</v>
      </c>
      <c r="E2" s="268" t="s">
        <v>153</v>
      </c>
      <c r="F2" s="269"/>
      <c r="G2" s="269"/>
    </row>
    <row r="3" spans="1:7" ht="15.75" customHeight="1">
      <c r="A3" s="267"/>
      <c r="B3" s="268" t="s">
        <v>154</v>
      </c>
      <c r="C3" s="268" t="s">
        <v>155</v>
      </c>
      <c r="D3" s="270">
        <v>3000000</v>
      </c>
      <c r="E3" s="268" t="s">
        <v>156</v>
      </c>
      <c r="F3" s="269"/>
      <c r="G3" s="269"/>
    </row>
    <row r="4" spans="1:7" ht="15.75" customHeight="1">
      <c r="A4" s="267"/>
      <c r="B4" s="268" t="s">
        <v>154</v>
      </c>
      <c r="C4" s="268" t="s">
        <v>157</v>
      </c>
      <c r="D4" s="270">
        <v>500000</v>
      </c>
      <c r="E4" s="268" t="s">
        <v>158</v>
      </c>
      <c r="F4" s="269"/>
      <c r="G4" s="269"/>
    </row>
    <row r="5" spans="1:7" ht="15.75" customHeight="1">
      <c r="A5" s="267"/>
      <c r="B5" s="268" t="s">
        <v>154</v>
      </c>
      <c r="C5" s="268" t="s">
        <v>159</v>
      </c>
      <c r="D5" s="270">
        <v>1000000</v>
      </c>
      <c r="E5" s="268" t="s">
        <v>160</v>
      </c>
      <c r="F5" s="269"/>
      <c r="G5" s="269"/>
    </row>
    <row r="6" spans="1:7" ht="15.75" customHeight="1">
      <c r="A6" s="267"/>
      <c r="B6" s="268" t="s">
        <v>154</v>
      </c>
      <c r="C6" s="268" t="s">
        <v>75</v>
      </c>
      <c r="D6" s="270">
        <v>4500000</v>
      </c>
      <c r="E6" s="268" t="s">
        <v>161</v>
      </c>
      <c r="F6" s="269"/>
      <c r="G6" s="269"/>
    </row>
    <row r="7" spans="1:7" ht="15.75" customHeight="1">
      <c r="A7" s="267"/>
      <c r="B7" s="269"/>
      <c r="C7" s="269"/>
      <c r="D7" s="269"/>
      <c r="E7" s="269"/>
      <c r="F7" s="269"/>
      <c r="G7" s="269"/>
    </row>
    <row r="8" spans="1:7" ht="15.75" customHeight="1">
      <c r="A8" s="267"/>
      <c r="B8" s="268" t="s">
        <v>162</v>
      </c>
      <c r="C8" s="268" t="s">
        <v>151</v>
      </c>
      <c r="D8" s="268" t="s">
        <v>152</v>
      </c>
      <c r="E8" s="268" t="s">
        <v>153</v>
      </c>
      <c r="F8" s="269"/>
      <c r="G8" s="269"/>
    </row>
    <row r="9" spans="1:7" ht="15.75" customHeight="1">
      <c r="A9" s="267"/>
      <c r="B9" s="268" t="s">
        <v>163</v>
      </c>
      <c r="C9" s="268" t="s">
        <v>164</v>
      </c>
      <c r="D9" s="270">
        <v>38000</v>
      </c>
      <c r="E9" s="268" t="s">
        <v>165</v>
      </c>
      <c r="F9" s="269"/>
      <c r="G9" s="269"/>
    </row>
    <row r="10" spans="1:7" ht="15.75" customHeight="1">
      <c r="A10" s="267"/>
      <c r="B10" s="268" t="s">
        <v>163</v>
      </c>
      <c r="C10" s="268" t="s">
        <v>166</v>
      </c>
      <c r="D10" s="270">
        <v>7500000</v>
      </c>
      <c r="E10" s="268" t="s">
        <v>167</v>
      </c>
      <c r="F10" s="269"/>
      <c r="G10" s="269"/>
    </row>
    <row r="11" spans="1:7" ht="15.75" customHeight="1">
      <c r="A11" s="267"/>
      <c r="B11" s="268" t="s">
        <v>168</v>
      </c>
      <c r="C11" s="268" t="s">
        <v>169</v>
      </c>
      <c r="D11" s="270">
        <v>613000</v>
      </c>
      <c r="E11" s="269"/>
      <c r="F11" s="269"/>
      <c r="G11" s="269"/>
    </row>
    <row r="12" spans="1:7" ht="15.75" customHeight="1">
      <c r="A12" s="267"/>
      <c r="B12" s="268" t="s">
        <v>168</v>
      </c>
      <c r="C12" s="268" t="s">
        <v>170</v>
      </c>
      <c r="D12" s="270">
        <v>4000000</v>
      </c>
      <c r="E12" s="268" t="s">
        <v>171</v>
      </c>
      <c r="F12" s="269"/>
      <c r="G12" s="269"/>
    </row>
    <row r="13" spans="1:7" ht="15.75" customHeight="1">
      <c r="A13" s="267"/>
      <c r="B13" s="268" t="s">
        <v>172</v>
      </c>
      <c r="C13" s="268" t="s">
        <v>173</v>
      </c>
      <c r="D13" s="270">
        <v>1050500</v>
      </c>
      <c r="E13" s="269"/>
      <c r="F13" s="269"/>
      <c r="G13" s="269"/>
    </row>
    <row r="14" spans="1:7" ht="15.75" customHeight="1">
      <c r="A14" s="267"/>
      <c r="B14" s="268" t="s">
        <v>174</v>
      </c>
      <c r="C14" s="268" t="s">
        <v>175</v>
      </c>
      <c r="D14" s="270">
        <v>3691125</v>
      </c>
      <c r="E14" s="269"/>
      <c r="F14" s="269"/>
      <c r="G14" s="269"/>
    </row>
    <row r="15" spans="1:7" ht="15.75" customHeight="1">
      <c r="A15" s="267"/>
      <c r="B15" s="268" t="s">
        <v>176</v>
      </c>
      <c r="C15" s="268" t="s">
        <v>177</v>
      </c>
      <c r="D15" s="270">
        <v>39534875</v>
      </c>
      <c r="E15" s="269"/>
      <c r="F15" s="269"/>
      <c r="G15" s="269"/>
    </row>
    <row r="16" spans="1:7" ht="15.75" customHeight="1">
      <c r="A16" s="267"/>
      <c r="B16" s="269"/>
      <c r="C16" s="269"/>
      <c r="D16" s="269"/>
      <c r="E16" s="269"/>
      <c r="F16" s="269"/>
      <c r="G16" s="269"/>
    </row>
    <row r="17" spans="1:7" ht="15.75" customHeight="1">
      <c r="A17" s="267"/>
      <c r="B17" s="268" t="s">
        <v>178</v>
      </c>
      <c r="C17" s="268" t="s">
        <v>151</v>
      </c>
      <c r="D17" s="268" t="s">
        <v>152</v>
      </c>
      <c r="E17" s="268" t="s">
        <v>153</v>
      </c>
      <c r="F17" s="269"/>
      <c r="G17" s="269"/>
    </row>
    <row r="18" spans="1:7" ht="15.75" customHeight="1">
      <c r="A18" s="267"/>
      <c r="B18" s="268" t="s">
        <v>179</v>
      </c>
      <c r="C18" s="268" t="s">
        <v>180</v>
      </c>
      <c r="D18" s="270">
        <v>1105000</v>
      </c>
      <c r="E18" s="268" t="s">
        <v>181</v>
      </c>
      <c r="F18" s="269"/>
      <c r="G18" s="268" t="s">
        <v>182</v>
      </c>
    </row>
    <row r="19" spans="1:7" ht="15.75" customHeight="1">
      <c r="A19" s="267"/>
      <c r="B19" s="268" t="s">
        <v>179</v>
      </c>
      <c r="C19" s="268" t="s">
        <v>183</v>
      </c>
      <c r="D19" s="270">
        <v>325000</v>
      </c>
      <c r="E19" s="268" t="s">
        <v>184</v>
      </c>
      <c r="F19" s="269"/>
      <c r="G19" s="269"/>
    </row>
    <row r="20" spans="1:7" ht="15.75" customHeight="1">
      <c r="A20" s="267"/>
      <c r="B20" s="268" t="s">
        <v>179</v>
      </c>
      <c r="C20" s="268" t="s">
        <v>185</v>
      </c>
      <c r="D20" s="270">
        <v>225000</v>
      </c>
      <c r="E20" s="268" t="s">
        <v>825</v>
      </c>
      <c r="F20" s="269"/>
      <c r="G20" s="269"/>
    </row>
    <row r="21" spans="1:7" ht="15.75" customHeight="1">
      <c r="A21" s="267"/>
      <c r="B21" s="268" t="s">
        <v>179</v>
      </c>
      <c r="C21" s="268" t="s">
        <v>187</v>
      </c>
      <c r="D21" s="270">
        <v>400000</v>
      </c>
      <c r="E21" s="268" t="s">
        <v>188</v>
      </c>
      <c r="F21" s="268" t="s">
        <v>189</v>
      </c>
      <c r="G21" s="269"/>
    </row>
    <row r="22" spans="1:7" ht="15.75" customHeight="1">
      <c r="A22" s="267"/>
      <c r="B22" s="268" t="s">
        <v>179</v>
      </c>
      <c r="C22" s="268" t="s">
        <v>190</v>
      </c>
      <c r="D22" s="270">
        <v>182000</v>
      </c>
      <c r="E22" s="268" t="s">
        <v>191</v>
      </c>
      <c r="F22" s="269"/>
      <c r="G22" s="269"/>
    </row>
    <row r="23" spans="1:7" ht="15.75" customHeight="1">
      <c r="A23" s="267"/>
      <c r="B23" s="268" t="s">
        <v>179</v>
      </c>
      <c r="C23" s="268" t="s">
        <v>192</v>
      </c>
      <c r="D23" s="270">
        <v>2237000</v>
      </c>
      <c r="E23" s="268" t="s">
        <v>193</v>
      </c>
      <c r="F23" s="269"/>
      <c r="G23" s="269"/>
    </row>
    <row r="24" spans="1:7" ht="15.75" customHeight="1">
      <c r="A24" s="267"/>
      <c r="B24" s="269"/>
      <c r="C24" s="269"/>
      <c r="D24" s="269"/>
      <c r="E24" s="269"/>
      <c r="F24" s="269"/>
      <c r="G24" s="269"/>
    </row>
    <row r="25" spans="1:7" ht="15.75" customHeight="1">
      <c r="A25" s="267"/>
      <c r="B25" s="268" t="s">
        <v>194</v>
      </c>
      <c r="C25" s="268" t="s">
        <v>151</v>
      </c>
      <c r="D25" s="268" t="s">
        <v>152</v>
      </c>
      <c r="E25" s="268" t="s">
        <v>153</v>
      </c>
      <c r="F25" s="269"/>
      <c r="G25" s="269"/>
    </row>
    <row r="26" spans="1:7" ht="15.75" customHeight="1">
      <c r="A26" s="267"/>
      <c r="B26" s="268" t="s">
        <v>195</v>
      </c>
      <c r="C26" s="268" t="s">
        <v>196</v>
      </c>
      <c r="D26" s="270">
        <v>350000</v>
      </c>
      <c r="E26" s="268" t="s">
        <v>826</v>
      </c>
      <c r="F26" s="269"/>
      <c r="G26" s="269"/>
    </row>
    <row r="27" spans="1:7" ht="15.75" customHeight="1">
      <c r="A27" s="267"/>
      <c r="B27" s="268" t="s">
        <v>195</v>
      </c>
      <c r="C27" s="268" t="s">
        <v>198</v>
      </c>
      <c r="D27" s="270">
        <v>375000</v>
      </c>
      <c r="E27" s="268" t="s">
        <v>199</v>
      </c>
      <c r="F27" s="269"/>
      <c r="G27" s="268" t="s">
        <v>200</v>
      </c>
    </row>
    <row r="28" spans="1:7" ht="15.75" customHeight="1">
      <c r="A28" s="267"/>
      <c r="B28" s="268" t="s">
        <v>195</v>
      </c>
      <c r="C28" s="268" t="s">
        <v>8</v>
      </c>
      <c r="D28" s="270">
        <v>1250000</v>
      </c>
      <c r="E28" s="268" t="s">
        <v>201</v>
      </c>
      <c r="F28" s="269"/>
      <c r="G28" s="269"/>
    </row>
    <row r="29" spans="1:7" ht="15.75" customHeight="1">
      <c r="A29" s="267"/>
      <c r="B29" s="268" t="s">
        <v>195</v>
      </c>
      <c r="C29" s="268" t="s">
        <v>202</v>
      </c>
      <c r="D29" s="270">
        <v>1975000</v>
      </c>
      <c r="E29" s="269"/>
      <c r="F29" s="269"/>
      <c r="G29" s="269"/>
    </row>
    <row r="30" spans="1:7" ht="15.75" customHeight="1">
      <c r="A30" s="267"/>
      <c r="B30" s="269"/>
      <c r="C30" s="269"/>
      <c r="D30" s="269"/>
      <c r="E30" s="269"/>
      <c r="F30" s="269"/>
      <c r="G30" s="269"/>
    </row>
    <row r="31" spans="1:7" ht="15.75" customHeight="1">
      <c r="A31" s="267"/>
      <c r="B31" s="268" t="s">
        <v>203</v>
      </c>
      <c r="C31" s="268" t="s">
        <v>151</v>
      </c>
      <c r="D31" s="268" t="s">
        <v>152</v>
      </c>
      <c r="E31" s="268" t="s">
        <v>153</v>
      </c>
      <c r="F31" s="269"/>
      <c r="G31" s="269"/>
    </row>
    <row r="32" spans="1:7" ht="15.75" customHeight="1">
      <c r="A32" s="267"/>
      <c r="B32" s="268" t="s">
        <v>827</v>
      </c>
      <c r="C32" s="268" t="s">
        <v>205</v>
      </c>
      <c r="D32" s="270">
        <v>50000</v>
      </c>
      <c r="E32" s="268" t="s">
        <v>206</v>
      </c>
      <c r="F32" s="269"/>
      <c r="G32" s="269"/>
    </row>
    <row r="33" spans="1:7" ht="15.75" customHeight="1">
      <c r="A33" s="267"/>
      <c r="B33" s="268" t="s">
        <v>827</v>
      </c>
      <c r="C33" s="268" t="s">
        <v>207</v>
      </c>
      <c r="D33" s="270">
        <v>25000</v>
      </c>
      <c r="E33" s="268" t="s">
        <v>208</v>
      </c>
      <c r="F33" s="269"/>
      <c r="G33" s="269"/>
    </row>
    <row r="34" spans="1:7" ht="15.75" customHeight="1">
      <c r="A34" s="267"/>
      <c r="B34" s="268" t="s">
        <v>827</v>
      </c>
      <c r="C34" s="268" t="s">
        <v>209</v>
      </c>
      <c r="D34" s="270">
        <v>60000</v>
      </c>
      <c r="E34" s="268" t="s">
        <v>210</v>
      </c>
      <c r="F34" s="269"/>
      <c r="G34" s="269"/>
    </row>
    <row r="35" spans="1:7" ht="15.75" customHeight="1">
      <c r="A35" s="267"/>
      <c r="B35" s="268" t="s">
        <v>827</v>
      </c>
      <c r="C35" s="268" t="s">
        <v>211</v>
      </c>
      <c r="D35" s="270">
        <v>30000</v>
      </c>
      <c r="E35" s="268" t="s">
        <v>212</v>
      </c>
      <c r="F35" s="269"/>
      <c r="G35" s="269"/>
    </row>
    <row r="36" spans="1:7" ht="15.75" customHeight="1">
      <c r="A36" s="267"/>
      <c r="B36" s="268" t="s">
        <v>827</v>
      </c>
      <c r="C36" s="268" t="s">
        <v>213</v>
      </c>
      <c r="D36" s="270">
        <v>15000</v>
      </c>
      <c r="E36" s="268" t="s">
        <v>214</v>
      </c>
      <c r="F36" s="269"/>
      <c r="G36" s="269"/>
    </row>
    <row r="37" spans="1:7" ht="15.75" customHeight="1">
      <c r="A37" s="267"/>
      <c r="B37" s="268" t="s">
        <v>827</v>
      </c>
      <c r="C37" s="268" t="s">
        <v>215</v>
      </c>
      <c r="D37" s="270">
        <v>20000</v>
      </c>
      <c r="E37" s="268" t="s">
        <v>216</v>
      </c>
      <c r="F37" s="269"/>
      <c r="G37" s="269"/>
    </row>
    <row r="38" spans="1:7" ht="15.75" customHeight="1">
      <c r="A38" s="267"/>
      <c r="B38" s="268" t="s">
        <v>827</v>
      </c>
      <c r="C38" s="268" t="s">
        <v>217</v>
      </c>
      <c r="D38" s="270">
        <v>50000</v>
      </c>
      <c r="E38" s="268" t="s">
        <v>218</v>
      </c>
      <c r="F38" s="269"/>
      <c r="G38" s="269"/>
    </row>
    <row r="39" spans="1:7" ht="15.75" customHeight="1">
      <c r="A39" s="267"/>
      <c r="B39" s="268" t="s">
        <v>827</v>
      </c>
      <c r="C39" s="268" t="s">
        <v>219</v>
      </c>
      <c r="D39" s="270">
        <v>250000</v>
      </c>
      <c r="E39" s="269"/>
      <c r="F39" s="269"/>
      <c r="G39" s="269"/>
    </row>
    <row r="40" spans="1:7" ht="15.75" customHeight="1">
      <c r="A40" s="267"/>
      <c r="B40" s="269"/>
      <c r="C40" s="269"/>
      <c r="D40" s="269"/>
      <c r="E40" s="269"/>
      <c r="F40" s="269"/>
      <c r="G40" s="269"/>
    </row>
    <row r="41" spans="1:7" ht="15.75" customHeight="1">
      <c r="A41" s="267"/>
      <c r="B41" s="268" t="s">
        <v>221</v>
      </c>
      <c r="C41" s="268" t="s">
        <v>222</v>
      </c>
      <c r="D41" s="270">
        <v>4462000</v>
      </c>
      <c r="E41" s="269"/>
      <c r="F41" s="269"/>
      <c r="G41" s="269"/>
    </row>
    <row r="42" spans="1:7" ht="15.75" customHeight="1">
      <c r="A42" s="267"/>
      <c r="B42" s="269"/>
      <c r="C42" s="269"/>
      <c r="D42" s="269"/>
      <c r="E42" s="269"/>
      <c r="F42" s="269"/>
      <c r="G42" s="269"/>
    </row>
    <row r="43" spans="1:7" ht="15.75" customHeight="1">
      <c r="A43" s="267"/>
      <c r="B43" s="268" t="s">
        <v>223</v>
      </c>
      <c r="C43" s="268" t="s">
        <v>151</v>
      </c>
      <c r="D43" s="268" t="s">
        <v>152</v>
      </c>
      <c r="E43" s="268" t="s">
        <v>153</v>
      </c>
      <c r="F43" s="269"/>
      <c r="G43" s="269"/>
    </row>
    <row r="44" spans="1:7" ht="15.75" customHeight="1">
      <c r="A44" s="267"/>
      <c r="B44" s="268" t="s">
        <v>224</v>
      </c>
      <c r="C44" s="268" t="s">
        <v>198</v>
      </c>
      <c r="D44" s="270">
        <v>875000</v>
      </c>
      <c r="E44" s="268" t="s">
        <v>199</v>
      </c>
      <c r="F44" s="269"/>
      <c r="G44" s="268" t="s">
        <v>200</v>
      </c>
    </row>
    <row r="45" spans="1:7" ht="15.75" customHeight="1">
      <c r="A45" s="267"/>
      <c r="B45" s="268" t="s">
        <v>224</v>
      </c>
      <c r="C45" s="268" t="s">
        <v>225</v>
      </c>
      <c r="D45" s="270">
        <v>1875000</v>
      </c>
      <c r="E45" s="268" t="s">
        <v>201</v>
      </c>
      <c r="F45" s="269"/>
      <c r="G45" s="269"/>
    </row>
    <row r="46" spans="1:7" ht="15.75" customHeight="1">
      <c r="A46" s="267"/>
      <c r="B46" s="268" t="s">
        <v>828</v>
      </c>
      <c r="C46" s="268" t="s">
        <v>227</v>
      </c>
      <c r="D46" s="270">
        <v>375000</v>
      </c>
      <c r="E46" s="269"/>
      <c r="F46" s="269"/>
      <c r="G46" s="269"/>
    </row>
    <row r="47" spans="1:7" ht="15.75" customHeight="1">
      <c r="A47" s="267"/>
      <c r="B47" s="268" t="s">
        <v>228</v>
      </c>
      <c r="C47" s="269"/>
      <c r="D47" s="270">
        <v>3125000</v>
      </c>
      <c r="E47" s="269"/>
      <c r="F47" s="269"/>
      <c r="G47" s="269"/>
    </row>
    <row r="48" spans="1:7" ht="15.75" customHeight="1">
      <c r="A48" s="267"/>
      <c r="B48" s="269"/>
      <c r="C48" s="269"/>
      <c r="D48" s="269"/>
      <c r="E48" s="269"/>
      <c r="F48" s="269"/>
      <c r="G48" s="269"/>
    </row>
    <row r="49" spans="1:7" ht="15.75" customHeight="1">
      <c r="A49" s="267"/>
      <c r="B49" s="268" t="s">
        <v>229</v>
      </c>
      <c r="C49" s="268" t="s">
        <v>151</v>
      </c>
      <c r="D49" s="268" t="s">
        <v>152</v>
      </c>
      <c r="E49" s="268" t="s">
        <v>153</v>
      </c>
      <c r="F49" s="269"/>
      <c r="G49" s="269"/>
    </row>
    <row r="50" spans="1:7" ht="15.75" customHeight="1">
      <c r="A50" s="267"/>
      <c r="B50" s="268" t="s">
        <v>230</v>
      </c>
      <c r="C50" s="268" t="s">
        <v>198</v>
      </c>
      <c r="D50" s="270">
        <v>875000</v>
      </c>
      <c r="E50" s="268" t="s">
        <v>199</v>
      </c>
      <c r="F50" s="269"/>
      <c r="G50" s="268" t="s">
        <v>200</v>
      </c>
    </row>
    <row r="51" spans="1:7" ht="15.75" customHeight="1">
      <c r="A51" s="267"/>
      <c r="B51" s="268" t="s">
        <v>230</v>
      </c>
      <c r="C51" s="268" t="s">
        <v>231</v>
      </c>
      <c r="D51" s="270">
        <v>2343750</v>
      </c>
      <c r="E51" s="268" t="s">
        <v>201</v>
      </c>
      <c r="F51" s="269"/>
      <c r="G51" s="269"/>
    </row>
    <row r="52" spans="1:7" ht="15.75" customHeight="1">
      <c r="A52" s="267"/>
      <c r="B52" s="268" t="s">
        <v>829</v>
      </c>
      <c r="C52" s="268" t="s">
        <v>227</v>
      </c>
      <c r="D52" s="270">
        <v>562500</v>
      </c>
      <c r="E52" s="269"/>
      <c r="F52" s="269"/>
      <c r="G52" s="269"/>
    </row>
    <row r="53" spans="1:7" ht="15.75" customHeight="1">
      <c r="A53" s="267"/>
      <c r="B53" s="268" t="s">
        <v>233</v>
      </c>
      <c r="C53" s="269"/>
      <c r="D53" s="270">
        <v>3781250</v>
      </c>
      <c r="E53" s="269"/>
      <c r="F53" s="269"/>
      <c r="G53" s="269"/>
    </row>
    <row r="54" spans="1:7" ht="13">
      <c r="A54" s="267"/>
      <c r="B54" s="269"/>
      <c r="C54" s="269"/>
      <c r="D54" s="269"/>
      <c r="E54" s="269"/>
      <c r="F54" s="269"/>
      <c r="G54" s="269"/>
    </row>
    <row r="55" spans="1:7" ht="13">
      <c r="A55" s="267"/>
      <c r="B55" s="268" t="s">
        <v>234</v>
      </c>
      <c r="C55" s="268" t="s">
        <v>151</v>
      </c>
      <c r="D55" s="268" t="s">
        <v>152</v>
      </c>
      <c r="E55" s="268" t="s">
        <v>153</v>
      </c>
      <c r="F55" s="269"/>
      <c r="G55" s="269"/>
    </row>
    <row r="56" spans="1:7" ht="13">
      <c r="A56" s="267"/>
      <c r="B56" s="268" t="s">
        <v>235</v>
      </c>
      <c r="C56" s="268" t="s">
        <v>198</v>
      </c>
      <c r="D56" s="270">
        <v>875000</v>
      </c>
      <c r="E56" s="268" t="s">
        <v>199</v>
      </c>
      <c r="F56" s="269"/>
      <c r="G56" s="269"/>
    </row>
    <row r="57" spans="1:7" ht="13">
      <c r="A57" s="267"/>
      <c r="B57" s="268" t="s">
        <v>235</v>
      </c>
      <c r="C57" s="268" t="s">
        <v>231</v>
      </c>
      <c r="D57" s="270">
        <v>2929687.5</v>
      </c>
      <c r="E57" s="268" t="s">
        <v>201</v>
      </c>
      <c r="F57" s="269"/>
      <c r="G57" s="269"/>
    </row>
    <row r="58" spans="1:7" ht="13">
      <c r="A58" s="267"/>
      <c r="B58" s="268" t="s">
        <v>830</v>
      </c>
      <c r="C58" s="268" t="s">
        <v>227</v>
      </c>
      <c r="D58" s="270">
        <v>843750</v>
      </c>
      <c r="E58" s="269"/>
      <c r="F58" s="269"/>
      <c r="G58" s="269"/>
    </row>
    <row r="59" spans="1:7" ht="13">
      <c r="A59" s="267"/>
      <c r="B59" s="268" t="s">
        <v>237</v>
      </c>
      <c r="C59" s="269"/>
      <c r="D59" s="270">
        <v>4648437.5</v>
      </c>
      <c r="E59" s="269"/>
      <c r="F59" s="269"/>
      <c r="G59" s="269"/>
    </row>
    <row r="60" spans="1:7" ht="13">
      <c r="A60" s="267"/>
      <c r="B60" s="269"/>
      <c r="C60" s="269"/>
      <c r="D60" s="269"/>
      <c r="E60" s="269"/>
      <c r="F60" s="269"/>
      <c r="G60" s="269"/>
    </row>
    <row r="61" spans="1:7" ht="13">
      <c r="A61" s="267"/>
      <c r="B61" s="268" t="s">
        <v>238</v>
      </c>
      <c r="C61" s="269"/>
      <c r="D61" s="269"/>
      <c r="E61" s="269"/>
      <c r="F61" s="269"/>
      <c r="G61" s="269"/>
    </row>
    <row r="62" spans="1:7" ht="13">
      <c r="A62" s="267"/>
      <c r="B62" s="268" t="s">
        <v>239</v>
      </c>
      <c r="C62" s="268" t="s">
        <v>240</v>
      </c>
      <c r="D62" s="270">
        <v>25</v>
      </c>
      <c r="E62" s="268" t="s">
        <v>241</v>
      </c>
      <c r="F62" s="269"/>
      <c r="G62" s="269"/>
    </row>
    <row r="63" spans="1:7" ht="13">
      <c r="A63" s="267"/>
      <c r="B63" s="268" t="s">
        <v>239</v>
      </c>
      <c r="C63" s="268" t="s">
        <v>242</v>
      </c>
      <c r="D63" s="270">
        <v>5</v>
      </c>
      <c r="E63" s="268" t="s">
        <v>243</v>
      </c>
      <c r="F63" s="269"/>
      <c r="G63" s="269"/>
    </row>
    <row r="64" spans="1:7" ht="13">
      <c r="A64" s="267"/>
      <c r="B64" s="268" t="s">
        <v>239</v>
      </c>
      <c r="C64" s="268" t="s">
        <v>244</v>
      </c>
      <c r="D64" s="270">
        <v>20</v>
      </c>
      <c r="E64" s="268" t="s">
        <v>245</v>
      </c>
      <c r="F64" s="269"/>
      <c r="G64" s="269"/>
    </row>
    <row r="65" spans="1:7" ht="13">
      <c r="A65" s="267"/>
      <c r="B65" s="268" t="s">
        <v>239</v>
      </c>
      <c r="C65" s="268" t="s">
        <v>246</v>
      </c>
      <c r="D65" s="271">
        <v>5000</v>
      </c>
      <c r="E65" s="268" t="s">
        <v>247</v>
      </c>
      <c r="F65" s="269"/>
      <c r="G65" s="269"/>
    </row>
    <row r="66" spans="1:7" ht="13">
      <c r="A66" s="267"/>
      <c r="B66" s="268" t="s">
        <v>239</v>
      </c>
      <c r="C66" s="268" t="s">
        <v>248</v>
      </c>
      <c r="D66" s="271">
        <v>25000</v>
      </c>
      <c r="E66" s="268" t="s">
        <v>249</v>
      </c>
      <c r="F66" s="269"/>
      <c r="G66" s="269"/>
    </row>
    <row r="67" spans="1:7" ht="13">
      <c r="A67" s="267"/>
      <c r="B67" s="268" t="s">
        <v>239</v>
      </c>
      <c r="C67" s="268" t="s">
        <v>250</v>
      </c>
      <c r="D67" s="271">
        <v>50000</v>
      </c>
      <c r="E67" s="268" t="s">
        <v>251</v>
      </c>
      <c r="F67" s="269"/>
      <c r="G67" s="269"/>
    </row>
    <row r="68" spans="1:7" ht="13">
      <c r="A68" s="267"/>
      <c r="B68" s="268" t="s">
        <v>239</v>
      </c>
      <c r="C68" s="268" t="s">
        <v>252</v>
      </c>
      <c r="D68" s="270">
        <v>100000</v>
      </c>
      <c r="E68" s="268" t="s">
        <v>247</v>
      </c>
      <c r="F68" s="269"/>
      <c r="G68" s="269"/>
    </row>
    <row r="69" spans="1:7" ht="13">
      <c r="A69" s="267"/>
      <c r="B69" s="268" t="s">
        <v>239</v>
      </c>
      <c r="C69" s="268" t="s">
        <v>253</v>
      </c>
      <c r="D69" s="270">
        <v>500000</v>
      </c>
      <c r="E69" s="268" t="s">
        <v>249</v>
      </c>
      <c r="F69" s="268" t="s">
        <v>254</v>
      </c>
      <c r="G69" s="269"/>
    </row>
    <row r="70" spans="1:7" ht="13">
      <c r="A70" s="267"/>
      <c r="B70" s="268" t="s">
        <v>239</v>
      </c>
      <c r="C70" s="268" t="s">
        <v>255</v>
      </c>
      <c r="D70" s="270">
        <v>1000000</v>
      </c>
      <c r="E70" s="268" t="s">
        <v>251</v>
      </c>
      <c r="F70" s="268" t="s">
        <v>256</v>
      </c>
      <c r="G70" s="269"/>
    </row>
    <row r="71" spans="1:7" ht="13">
      <c r="A71" s="267"/>
      <c r="B71" s="268" t="s">
        <v>239</v>
      </c>
      <c r="C71" s="268" t="s">
        <v>257</v>
      </c>
      <c r="D71" s="270">
        <v>0</v>
      </c>
      <c r="E71" s="269"/>
      <c r="F71" s="269"/>
      <c r="G71" s="269"/>
    </row>
    <row r="72" spans="1:7" ht="13">
      <c r="A72" s="267"/>
      <c r="B72" s="268" t="s">
        <v>239</v>
      </c>
      <c r="C72" s="268" t="s">
        <v>258</v>
      </c>
      <c r="D72" s="270">
        <v>1200000</v>
      </c>
      <c r="E72" s="269"/>
      <c r="F72" s="269"/>
      <c r="G72" s="269"/>
    </row>
    <row r="73" spans="1:7" ht="13">
      <c r="A73" s="267"/>
      <c r="B73" s="268" t="s">
        <v>239</v>
      </c>
      <c r="C73" s="268" t="s">
        <v>259</v>
      </c>
      <c r="D73" s="270">
        <v>-1000000</v>
      </c>
      <c r="E73" s="268" t="s">
        <v>260</v>
      </c>
      <c r="F73" s="269"/>
      <c r="G73" s="269"/>
    </row>
    <row r="74" spans="1:7" ht="13">
      <c r="A74" s="267"/>
      <c r="B74" s="268" t="s">
        <v>239</v>
      </c>
      <c r="C74" s="268" t="s">
        <v>261</v>
      </c>
      <c r="D74" s="270">
        <v>9000000</v>
      </c>
      <c r="E74" s="268" t="s">
        <v>262</v>
      </c>
      <c r="F74" s="269"/>
      <c r="G74" s="269"/>
    </row>
    <row r="75" spans="1:7" ht="13">
      <c r="A75" s="267"/>
      <c r="B75" s="268" t="s">
        <v>239</v>
      </c>
      <c r="C75" s="268" t="s">
        <v>263</v>
      </c>
      <c r="D75" s="270">
        <v>-1500000</v>
      </c>
      <c r="E75" s="268" t="s">
        <v>264</v>
      </c>
      <c r="F75" s="269"/>
      <c r="G75" s="269"/>
    </row>
    <row r="76" spans="1:7" ht="13">
      <c r="A76" s="267"/>
      <c r="B76" s="268" t="s">
        <v>239</v>
      </c>
      <c r="C76" s="268" t="s">
        <v>265</v>
      </c>
      <c r="D76" s="270">
        <v>12000000</v>
      </c>
      <c r="E76" s="268" t="s">
        <v>266</v>
      </c>
      <c r="F76" s="269"/>
      <c r="G76" s="269"/>
    </row>
    <row r="77" spans="1:7" ht="13">
      <c r="A77" s="267"/>
      <c r="B77" s="269"/>
      <c r="C77" s="269"/>
      <c r="D77" s="269"/>
      <c r="E77" s="269"/>
      <c r="F77" s="269"/>
      <c r="G77" s="269"/>
    </row>
    <row r="78" spans="1:7" ht="13">
      <c r="A78" s="267"/>
      <c r="B78" s="268" t="s">
        <v>267</v>
      </c>
      <c r="C78" s="269"/>
      <c r="D78" s="269"/>
      <c r="E78" s="269"/>
      <c r="F78" s="269"/>
      <c r="G78" s="269"/>
    </row>
    <row r="79" spans="1:7" ht="13">
      <c r="A79" s="267"/>
      <c r="B79" s="268" t="s">
        <v>268</v>
      </c>
      <c r="C79" s="268" t="s">
        <v>269</v>
      </c>
      <c r="D79" s="268">
        <v>0</v>
      </c>
      <c r="E79" s="268" t="s">
        <v>270</v>
      </c>
      <c r="F79" s="269"/>
      <c r="G79" s="269"/>
    </row>
    <row r="80" spans="1:7" ht="13">
      <c r="A80" s="267"/>
      <c r="B80" s="268" t="s">
        <v>271</v>
      </c>
      <c r="C80" s="268" t="s">
        <v>272</v>
      </c>
      <c r="D80" s="271">
        <v>5000</v>
      </c>
      <c r="E80" s="268" t="s">
        <v>270</v>
      </c>
      <c r="F80" s="269"/>
      <c r="G80" s="269"/>
    </row>
    <row r="81" spans="1:7" ht="13">
      <c r="A81" s="267"/>
      <c r="B81" s="268" t="s">
        <v>273</v>
      </c>
      <c r="C81" s="268" t="s">
        <v>274</v>
      </c>
      <c r="D81" s="271">
        <v>62500</v>
      </c>
      <c r="E81" s="268" t="s">
        <v>270</v>
      </c>
      <c r="F81" s="269"/>
      <c r="G81" s="269"/>
    </row>
    <row r="82" spans="1:7" ht="13">
      <c r="A82" s="267"/>
      <c r="B82" s="268" t="s">
        <v>275</v>
      </c>
      <c r="C82" s="268" t="s">
        <v>276</v>
      </c>
      <c r="D82" s="271">
        <v>100000</v>
      </c>
      <c r="E82" s="268" t="s">
        <v>270</v>
      </c>
      <c r="F82" s="269"/>
      <c r="G82" s="269"/>
    </row>
    <row r="83" spans="1:7" ht="13">
      <c r="A83" s="267"/>
      <c r="B83" s="268" t="s">
        <v>277</v>
      </c>
      <c r="C83" s="268" t="s">
        <v>278</v>
      </c>
      <c r="D83" s="271">
        <v>250000</v>
      </c>
      <c r="E83" s="268" t="s">
        <v>270</v>
      </c>
      <c r="F83" s="269"/>
      <c r="G83" s="269"/>
    </row>
    <row r="84" spans="1:7" ht="13">
      <c r="A84" s="267"/>
      <c r="B84" s="268" t="s">
        <v>279</v>
      </c>
      <c r="C84" s="268" t="s">
        <v>280</v>
      </c>
      <c r="D84" s="271">
        <v>300000</v>
      </c>
      <c r="E84" s="268" t="s">
        <v>270</v>
      </c>
      <c r="F84" s="269"/>
      <c r="G84" s="269"/>
    </row>
    <row r="85" spans="1:7" ht="13">
      <c r="A85" s="267"/>
      <c r="B85" s="268" t="s">
        <v>281</v>
      </c>
      <c r="C85" s="268" t="s">
        <v>282</v>
      </c>
      <c r="D85" s="271">
        <v>450000</v>
      </c>
      <c r="E85" s="268" t="s">
        <v>270</v>
      </c>
      <c r="F85" s="269"/>
      <c r="G85" s="269"/>
    </row>
    <row r="86" spans="1:7" ht="13">
      <c r="A86" s="267"/>
      <c r="B86" s="268" t="s">
        <v>283</v>
      </c>
      <c r="C86" s="268" t="s">
        <v>284</v>
      </c>
      <c r="D86" s="268">
        <v>0</v>
      </c>
      <c r="E86" s="268" t="s">
        <v>285</v>
      </c>
      <c r="F86" s="269"/>
      <c r="G86" s="269"/>
    </row>
    <row r="87" spans="1:7" ht="13">
      <c r="A87" s="267"/>
      <c r="B87" s="268" t="s">
        <v>286</v>
      </c>
      <c r="C87" s="268" t="s">
        <v>287</v>
      </c>
      <c r="D87" s="271">
        <v>60000</v>
      </c>
      <c r="E87" s="268" t="s">
        <v>285</v>
      </c>
      <c r="F87" s="269"/>
      <c r="G87" s="269"/>
    </row>
    <row r="88" spans="1:7" ht="13">
      <c r="A88" s="267"/>
      <c r="B88" s="268" t="s">
        <v>288</v>
      </c>
      <c r="C88" s="268" t="s">
        <v>289</v>
      </c>
      <c r="D88" s="271">
        <v>750000</v>
      </c>
      <c r="E88" s="268" t="s">
        <v>285</v>
      </c>
      <c r="F88" s="269"/>
      <c r="G88" s="269"/>
    </row>
    <row r="89" spans="1:7" ht="13">
      <c r="A89" s="267"/>
      <c r="B89" s="268" t="s">
        <v>290</v>
      </c>
      <c r="C89" s="268" t="s">
        <v>291</v>
      </c>
      <c r="D89" s="271">
        <v>1200000</v>
      </c>
      <c r="E89" s="268" t="s">
        <v>285</v>
      </c>
      <c r="F89" s="269"/>
      <c r="G89" s="269"/>
    </row>
    <row r="90" spans="1:7" ht="13">
      <c r="A90" s="267"/>
      <c r="B90" s="268" t="s">
        <v>292</v>
      </c>
      <c r="C90" s="268" t="s">
        <v>293</v>
      </c>
      <c r="D90" s="271">
        <v>3000000</v>
      </c>
      <c r="E90" s="268" t="s">
        <v>285</v>
      </c>
      <c r="F90" s="269"/>
      <c r="G90" s="269"/>
    </row>
    <row r="91" spans="1:7" ht="13">
      <c r="A91" s="267"/>
      <c r="B91" s="268" t="s">
        <v>294</v>
      </c>
      <c r="C91" s="268" t="s">
        <v>295</v>
      </c>
      <c r="D91" s="271">
        <v>3600000</v>
      </c>
      <c r="E91" s="268" t="s">
        <v>285</v>
      </c>
      <c r="F91" s="269"/>
      <c r="G91" s="269"/>
    </row>
    <row r="92" spans="1:7" ht="13">
      <c r="A92" s="267"/>
      <c r="B92" s="268" t="s">
        <v>296</v>
      </c>
      <c r="C92" s="268" t="s">
        <v>297</v>
      </c>
      <c r="D92" s="271">
        <v>5400000</v>
      </c>
      <c r="E92" s="268" t="s">
        <v>285</v>
      </c>
      <c r="F92" s="269"/>
      <c r="G92" s="269"/>
    </row>
    <row r="93" spans="1:7" ht="13">
      <c r="A93" s="267"/>
      <c r="B93" s="269"/>
      <c r="C93" s="269"/>
      <c r="D93" s="269"/>
      <c r="E93" s="269"/>
      <c r="F93" s="269"/>
      <c r="G93" s="269"/>
    </row>
    <row r="94" spans="1:7" ht="13">
      <c r="A94" s="267"/>
      <c r="B94" s="268" t="s">
        <v>298</v>
      </c>
      <c r="C94" s="268" t="s">
        <v>151</v>
      </c>
      <c r="D94" s="268" t="s">
        <v>152</v>
      </c>
      <c r="E94" s="268" t="s">
        <v>153</v>
      </c>
      <c r="F94" s="269"/>
      <c r="G94" s="269"/>
    </row>
    <row r="95" spans="1:7" ht="13">
      <c r="A95" s="267"/>
      <c r="B95" s="268" t="s">
        <v>121</v>
      </c>
      <c r="C95" s="268" t="s">
        <v>299</v>
      </c>
      <c r="D95" s="270">
        <v>4500000</v>
      </c>
      <c r="E95" s="269"/>
      <c r="F95" s="269"/>
      <c r="G95" s="269"/>
    </row>
    <row r="96" spans="1:7" ht="13">
      <c r="A96" s="267"/>
      <c r="B96" s="268" t="s">
        <v>121</v>
      </c>
      <c r="C96" s="268" t="s">
        <v>222</v>
      </c>
      <c r="D96" s="270">
        <v>-4462000</v>
      </c>
      <c r="E96" s="269"/>
      <c r="F96" s="269"/>
      <c r="G96" s="269"/>
    </row>
    <row r="97" spans="1:7" ht="13">
      <c r="A97" s="267"/>
      <c r="B97" s="268" t="s">
        <v>121</v>
      </c>
      <c r="C97" s="268" t="s">
        <v>75</v>
      </c>
      <c r="D97" s="270">
        <v>38000</v>
      </c>
      <c r="E97" s="269"/>
      <c r="F97" s="269"/>
      <c r="G97" s="269"/>
    </row>
    <row r="98" spans="1:7" ht="13">
      <c r="A98" s="267"/>
      <c r="B98" s="269"/>
      <c r="C98" s="269"/>
      <c r="D98" s="269"/>
      <c r="E98" s="269"/>
      <c r="F98" s="269"/>
      <c r="G98" s="269"/>
    </row>
    <row r="99" spans="1:7" ht="13">
      <c r="A99" s="267"/>
      <c r="B99" s="268" t="s">
        <v>298</v>
      </c>
      <c r="C99" s="268" t="s">
        <v>151</v>
      </c>
      <c r="D99" s="268" t="s">
        <v>152</v>
      </c>
      <c r="E99" s="268" t="s">
        <v>153</v>
      </c>
      <c r="F99" s="269"/>
      <c r="G99" s="269"/>
    </row>
    <row r="100" spans="1:7" ht="13">
      <c r="A100" s="267"/>
      <c r="B100" s="268" t="s">
        <v>122</v>
      </c>
      <c r="C100" s="268" t="s">
        <v>300</v>
      </c>
      <c r="D100" s="270">
        <v>38000</v>
      </c>
      <c r="E100" s="269"/>
      <c r="F100" s="269"/>
      <c r="G100" s="269"/>
    </row>
    <row r="101" spans="1:7" ht="13">
      <c r="A101" s="267"/>
      <c r="B101" s="268" t="s">
        <v>122</v>
      </c>
      <c r="C101" s="268" t="s">
        <v>301</v>
      </c>
      <c r="D101" s="270">
        <v>7500000</v>
      </c>
      <c r="E101" s="269"/>
      <c r="F101" s="269"/>
      <c r="G101" s="269"/>
    </row>
    <row r="102" spans="1:7" ht="13">
      <c r="A102" s="267"/>
      <c r="B102" s="268" t="s">
        <v>122</v>
      </c>
      <c r="C102" s="268" t="s">
        <v>302</v>
      </c>
      <c r="D102" s="270">
        <v>1200000</v>
      </c>
      <c r="E102" s="269"/>
      <c r="F102" s="269"/>
      <c r="G102" s="269"/>
    </row>
    <row r="103" spans="1:7" ht="13">
      <c r="A103" s="267"/>
      <c r="B103" s="268" t="s">
        <v>122</v>
      </c>
      <c r="C103" s="268" t="s">
        <v>303</v>
      </c>
      <c r="D103" s="270">
        <v>-3125000</v>
      </c>
      <c r="E103" s="269"/>
      <c r="F103" s="269"/>
      <c r="G103" s="269"/>
    </row>
    <row r="104" spans="1:7" ht="13">
      <c r="A104" s="267"/>
      <c r="B104" s="268" t="s">
        <v>122</v>
      </c>
      <c r="C104" s="268" t="s">
        <v>304</v>
      </c>
      <c r="D104" s="270">
        <v>-1000000</v>
      </c>
      <c r="E104" s="269"/>
      <c r="F104" s="269"/>
      <c r="G104" s="269"/>
    </row>
    <row r="105" spans="1:7" ht="13">
      <c r="A105" s="267"/>
      <c r="B105" s="268" t="s">
        <v>122</v>
      </c>
      <c r="C105" s="268" t="s">
        <v>305</v>
      </c>
      <c r="D105" s="270">
        <v>-4000000</v>
      </c>
      <c r="E105" s="269"/>
      <c r="F105" s="269"/>
      <c r="G105" s="269"/>
    </row>
    <row r="106" spans="1:7" ht="13">
      <c r="A106" s="267"/>
      <c r="B106" s="268" t="s">
        <v>122</v>
      </c>
      <c r="C106" s="268" t="s">
        <v>75</v>
      </c>
      <c r="D106" s="270">
        <v>613000</v>
      </c>
      <c r="E106" s="269"/>
      <c r="F106" s="269"/>
      <c r="G106" s="269"/>
    </row>
    <row r="107" spans="1:7" ht="13">
      <c r="A107" s="267"/>
      <c r="B107" s="269"/>
      <c r="C107" s="269"/>
      <c r="D107" s="269"/>
      <c r="E107" s="269"/>
      <c r="F107" s="269"/>
      <c r="G107" s="269"/>
    </row>
    <row r="108" spans="1:7" ht="13">
      <c r="A108" s="267"/>
      <c r="B108" s="268" t="s">
        <v>298</v>
      </c>
      <c r="C108" s="268" t="s">
        <v>151</v>
      </c>
      <c r="D108" s="268" t="s">
        <v>152</v>
      </c>
      <c r="E108" s="268" t="s">
        <v>153</v>
      </c>
      <c r="F108" s="269"/>
      <c r="G108" s="269"/>
    </row>
    <row r="109" spans="1:7" ht="13">
      <c r="A109" s="267"/>
      <c r="B109" s="268" t="s">
        <v>123</v>
      </c>
      <c r="C109" s="268" t="s">
        <v>306</v>
      </c>
      <c r="D109" s="270">
        <v>613000</v>
      </c>
      <c r="E109" s="269"/>
      <c r="F109" s="269"/>
      <c r="G109" s="269"/>
    </row>
    <row r="110" spans="1:7" ht="13">
      <c r="A110" s="267"/>
      <c r="B110" s="268" t="s">
        <v>123</v>
      </c>
      <c r="C110" s="268" t="s">
        <v>307</v>
      </c>
      <c r="D110" s="270">
        <v>4000000</v>
      </c>
      <c r="E110" s="269"/>
      <c r="F110" s="269"/>
      <c r="G110" s="269"/>
    </row>
    <row r="111" spans="1:7" ht="13">
      <c r="A111" s="267"/>
      <c r="B111" s="268" t="s">
        <v>123</v>
      </c>
      <c r="C111" s="268" t="s">
        <v>302</v>
      </c>
      <c r="D111" s="270">
        <v>9000000</v>
      </c>
      <c r="E111" s="269"/>
      <c r="F111" s="269"/>
      <c r="G111" s="269"/>
    </row>
    <row r="112" spans="1:7" ht="13">
      <c r="A112" s="267"/>
      <c r="B112" s="268" t="s">
        <v>123</v>
      </c>
      <c r="C112" s="268" t="s">
        <v>303</v>
      </c>
      <c r="D112" s="270">
        <v>-3781250</v>
      </c>
      <c r="E112" s="269"/>
      <c r="F112" s="269"/>
      <c r="G112" s="269"/>
    </row>
    <row r="113" spans="1:7" ht="13">
      <c r="A113" s="267"/>
      <c r="B113" s="268" t="s">
        <v>123</v>
      </c>
      <c r="C113" s="268" t="s">
        <v>304</v>
      </c>
      <c r="D113" s="270">
        <v>-1500000</v>
      </c>
      <c r="E113" s="269"/>
      <c r="F113" s="269"/>
      <c r="G113" s="269"/>
    </row>
    <row r="114" spans="1:7" ht="13">
      <c r="A114" s="267"/>
      <c r="B114" s="268" t="s">
        <v>123</v>
      </c>
      <c r="C114" s="268" t="s">
        <v>308</v>
      </c>
      <c r="D114" s="270">
        <v>-8000000</v>
      </c>
      <c r="E114" s="269"/>
      <c r="F114" s="269"/>
      <c r="G114" s="269"/>
    </row>
    <row r="115" spans="1:7" ht="13">
      <c r="A115" s="267"/>
      <c r="B115" s="268" t="s">
        <v>123</v>
      </c>
      <c r="C115" s="268" t="s">
        <v>309</v>
      </c>
      <c r="D115" s="270">
        <v>6000000</v>
      </c>
      <c r="E115" s="269"/>
      <c r="F115" s="269"/>
      <c r="G115" s="269"/>
    </row>
    <row r="116" spans="1:7" ht="13">
      <c r="A116" s="267"/>
      <c r="B116" s="268" t="s">
        <v>123</v>
      </c>
      <c r="C116" s="268" t="s">
        <v>310</v>
      </c>
      <c r="D116" s="270">
        <v>-3781250</v>
      </c>
      <c r="E116" s="269"/>
      <c r="F116" s="269"/>
      <c r="G116" s="269"/>
    </row>
    <row r="117" spans="1:7" ht="13">
      <c r="A117" s="267"/>
      <c r="B117" s="268" t="s">
        <v>123</v>
      </c>
      <c r="C117" s="268" t="s">
        <v>311</v>
      </c>
      <c r="D117" s="270">
        <v>-1500000</v>
      </c>
      <c r="E117" s="269"/>
      <c r="F117" s="269"/>
      <c r="G117" s="269"/>
    </row>
    <row r="118" spans="1:7" ht="13">
      <c r="A118" s="267"/>
      <c r="B118" s="268" t="s">
        <v>123</v>
      </c>
      <c r="C118" s="268" t="s">
        <v>75</v>
      </c>
      <c r="D118" s="270">
        <v>1050500</v>
      </c>
      <c r="E118" s="269"/>
      <c r="F118" s="269"/>
      <c r="G118" s="269"/>
    </row>
    <row r="119" spans="1:7" ht="13">
      <c r="A119" s="267"/>
      <c r="B119" s="269"/>
      <c r="C119" s="269"/>
      <c r="D119" s="269"/>
      <c r="E119" s="269"/>
      <c r="F119" s="269"/>
      <c r="G119" s="269"/>
    </row>
    <row r="120" spans="1:7" ht="13">
      <c r="A120" s="267"/>
      <c r="B120" s="268" t="s">
        <v>298</v>
      </c>
      <c r="C120" s="268" t="s">
        <v>151</v>
      </c>
      <c r="D120" s="268" t="s">
        <v>152</v>
      </c>
      <c r="E120" s="268" t="s">
        <v>153</v>
      </c>
      <c r="F120" s="269"/>
      <c r="G120" s="269"/>
    </row>
    <row r="121" spans="1:7" ht="13">
      <c r="A121" s="267"/>
      <c r="B121" s="268" t="s">
        <v>124</v>
      </c>
      <c r="C121" s="268" t="s">
        <v>312</v>
      </c>
      <c r="D121" s="270">
        <v>1050500</v>
      </c>
      <c r="E121" s="269"/>
      <c r="F121" s="269"/>
      <c r="G121" s="269"/>
    </row>
    <row r="122" spans="1:7" ht="13">
      <c r="A122" s="267"/>
      <c r="B122" s="268" t="s">
        <v>124</v>
      </c>
      <c r="C122" s="268" t="s">
        <v>302</v>
      </c>
      <c r="D122" s="270">
        <v>12000000</v>
      </c>
      <c r="E122" s="269"/>
      <c r="F122" s="269"/>
      <c r="G122" s="269"/>
    </row>
    <row r="123" spans="1:7" ht="13">
      <c r="A123" s="267"/>
      <c r="B123" s="268" t="s">
        <v>124</v>
      </c>
      <c r="C123" s="268" t="s">
        <v>302</v>
      </c>
      <c r="D123" s="270">
        <v>-4648437.5</v>
      </c>
      <c r="E123" s="269"/>
      <c r="F123" s="269"/>
      <c r="G123" s="269"/>
    </row>
    <row r="124" spans="1:7" ht="13">
      <c r="A124" s="267"/>
      <c r="B124" s="268" t="s">
        <v>124</v>
      </c>
      <c r="C124" s="268" t="s">
        <v>309</v>
      </c>
      <c r="D124" s="270">
        <v>12000000</v>
      </c>
      <c r="E124" s="269"/>
      <c r="F124" s="269"/>
      <c r="G124" s="269"/>
    </row>
    <row r="125" spans="1:7" ht="13">
      <c r="A125" s="267"/>
      <c r="B125" s="268" t="s">
        <v>124</v>
      </c>
      <c r="C125" s="268" t="s">
        <v>309</v>
      </c>
      <c r="D125" s="270">
        <v>-4648437.5</v>
      </c>
      <c r="E125" s="269"/>
      <c r="F125" s="269"/>
      <c r="G125" s="269"/>
    </row>
    <row r="126" spans="1:7" ht="13">
      <c r="A126" s="267"/>
      <c r="B126" s="268" t="s">
        <v>124</v>
      </c>
      <c r="C126" s="268" t="s">
        <v>311</v>
      </c>
      <c r="D126" s="270">
        <v>-1500000</v>
      </c>
      <c r="E126" s="269"/>
      <c r="F126" s="269"/>
      <c r="G126" s="269"/>
    </row>
    <row r="127" spans="1:7" ht="13">
      <c r="A127" s="267"/>
      <c r="B127" s="268" t="s">
        <v>124</v>
      </c>
      <c r="C127" s="268" t="s">
        <v>313</v>
      </c>
      <c r="D127" s="270">
        <v>12000000</v>
      </c>
      <c r="E127" s="269"/>
      <c r="F127" s="269"/>
      <c r="G127" s="269"/>
    </row>
    <row r="128" spans="1:7" ht="13">
      <c r="A128" s="267"/>
      <c r="B128" s="268" t="s">
        <v>124</v>
      </c>
      <c r="C128" s="268" t="s">
        <v>314</v>
      </c>
      <c r="D128" s="270">
        <v>-7562500</v>
      </c>
      <c r="E128" s="269"/>
      <c r="F128" s="269"/>
      <c r="G128" s="269"/>
    </row>
    <row r="129" spans="1:7" ht="13">
      <c r="A129" s="267"/>
      <c r="B129" s="268" t="s">
        <v>124</v>
      </c>
      <c r="C129" s="268" t="s">
        <v>315</v>
      </c>
      <c r="D129" s="270">
        <v>-3000000</v>
      </c>
      <c r="E129" s="269"/>
      <c r="F129" s="269"/>
      <c r="G129" s="269"/>
    </row>
    <row r="130" spans="1:7" ht="13">
      <c r="A130" s="267"/>
      <c r="B130" s="268" t="s">
        <v>124</v>
      </c>
      <c r="C130" s="268" t="s">
        <v>316</v>
      </c>
      <c r="D130" s="270">
        <v>-12000000</v>
      </c>
      <c r="E130" s="269"/>
      <c r="F130" s="269"/>
      <c r="G130" s="269"/>
    </row>
    <row r="131" spans="1:7" ht="13">
      <c r="A131" s="267"/>
      <c r="B131" s="268" t="s">
        <v>124</v>
      </c>
      <c r="C131" s="268" t="s">
        <v>75</v>
      </c>
      <c r="D131" s="270">
        <v>3691125</v>
      </c>
      <c r="E131" s="269"/>
      <c r="F131" s="269"/>
      <c r="G131" s="269"/>
    </row>
    <row r="132" spans="1:7" ht="13">
      <c r="A132" s="267"/>
      <c r="B132" s="269"/>
      <c r="C132" s="269"/>
      <c r="D132" s="269"/>
      <c r="E132" s="269"/>
      <c r="F132" s="269"/>
      <c r="G132" s="269"/>
    </row>
    <row r="133" spans="1:7" ht="13">
      <c r="A133" s="267"/>
      <c r="B133" s="268" t="s">
        <v>298</v>
      </c>
      <c r="C133" s="268" t="s">
        <v>151</v>
      </c>
      <c r="D133" s="268" t="s">
        <v>152</v>
      </c>
      <c r="E133" s="268" t="s">
        <v>153</v>
      </c>
      <c r="F133" s="269"/>
      <c r="G133" s="269"/>
    </row>
    <row r="134" spans="1:7" ht="13">
      <c r="A134" s="267"/>
      <c r="B134" s="268" t="s">
        <v>317</v>
      </c>
      <c r="C134" s="268" t="s">
        <v>318</v>
      </c>
      <c r="D134" s="270">
        <v>3691125</v>
      </c>
      <c r="E134" s="269"/>
      <c r="F134" s="269"/>
      <c r="G134" s="269"/>
    </row>
    <row r="135" spans="1:7" ht="13">
      <c r="A135" s="267"/>
      <c r="B135" s="268" t="s">
        <v>317</v>
      </c>
      <c r="C135" s="268" t="s">
        <v>302</v>
      </c>
      <c r="D135" s="270">
        <v>12000000</v>
      </c>
      <c r="E135" s="269"/>
      <c r="F135" s="269"/>
      <c r="G135" s="269"/>
    </row>
    <row r="136" spans="1:7" ht="13">
      <c r="A136" s="267"/>
      <c r="B136" s="268" t="s">
        <v>317</v>
      </c>
      <c r="C136" s="268" t="s">
        <v>302</v>
      </c>
      <c r="D136" s="270">
        <v>-4648437.5</v>
      </c>
      <c r="E136" s="269"/>
      <c r="F136" s="269"/>
      <c r="G136" s="269"/>
    </row>
    <row r="137" spans="1:7" ht="13">
      <c r="A137" s="267"/>
      <c r="B137" s="268" t="s">
        <v>317</v>
      </c>
      <c r="C137" s="268" t="s">
        <v>309</v>
      </c>
      <c r="D137" s="270">
        <v>12000000</v>
      </c>
      <c r="E137" s="269"/>
      <c r="F137" s="269"/>
      <c r="G137" s="269"/>
    </row>
    <row r="138" spans="1:7" ht="13">
      <c r="A138" s="267"/>
      <c r="B138" s="268" t="s">
        <v>317</v>
      </c>
      <c r="C138" s="268" t="s">
        <v>310</v>
      </c>
      <c r="D138" s="270">
        <v>-4648437.5</v>
      </c>
      <c r="E138" s="269"/>
      <c r="F138" s="269"/>
      <c r="G138" s="269"/>
    </row>
    <row r="139" spans="1:7" ht="13">
      <c r="A139" s="267"/>
      <c r="B139" s="268" t="s">
        <v>317</v>
      </c>
      <c r="C139" s="268" t="s">
        <v>313</v>
      </c>
      <c r="D139" s="270">
        <v>24000000</v>
      </c>
      <c r="E139" s="269"/>
      <c r="F139" s="269"/>
      <c r="G139" s="269"/>
    </row>
    <row r="140" spans="1:7" ht="13">
      <c r="A140" s="267"/>
      <c r="B140" s="268" t="s">
        <v>317</v>
      </c>
      <c r="C140" s="268" t="s">
        <v>314</v>
      </c>
      <c r="D140" s="270">
        <v>-9296875</v>
      </c>
      <c r="E140" s="269"/>
      <c r="F140" s="269"/>
      <c r="G140" s="269"/>
    </row>
    <row r="141" spans="1:7" ht="13">
      <c r="A141" s="267"/>
      <c r="B141" s="268" t="s">
        <v>317</v>
      </c>
      <c r="C141" s="268" t="s">
        <v>315</v>
      </c>
      <c r="D141" s="270">
        <v>-3000000</v>
      </c>
      <c r="E141" s="269"/>
      <c r="F141" s="269"/>
      <c r="G141" s="269"/>
    </row>
    <row r="142" spans="1:7" ht="13">
      <c r="A142" s="267"/>
      <c r="B142" s="268" t="s">
        <v>317</v>
      </c>
      <c r="C142" s="268" t="s">
        <v>319</v>
      </c>
      <c r="D142" s="270">
        <v>12000000</v>
      </c>
      <c r="E142" s="269"/>
      <c r="F142" s="269"/>
      <c r="G142" s="269"/>
    </row>
    <row r="143" spans="1:7" ht="13">
      <c r="A143" s="267"/>
      <c r="B143" s="268" t="s">
        <v>317</v>
      </c>
      <c r="C143" s="268" t="s">
        <v>320</v>
      </c>
      <c r="D143" s="270">
        <v>-7562500</v>
      </c>
      <c r="E143" s="269"/>
      <c r="F143" s="269"/>
      <c r="G143" s="269"/>
    </row>
    <row r="144" spans="1:7" ht="13">
      <c r="A144" s="267"/>
      <c r="B144" s="268" t="s">
        <v>317</v>
      </c>
      <c r="C144" s="268" t="s">
        <v>321</v>
      </c>
      <c r="D144" s="270">
        <v>-10000000</v>
      </c>
      <c r="E144" s="269"/>
      <c r="F144" s="269"/>
      <c r="G144" s="269"/>
    </row>
    <row r="145" spans="1:7" ht="13">
      <c r="A145" s="267"/>
      <c r="B145" s="268" t="s">
        <v>317</v>
      </c>
      <c r="C145" s="268" t="s">
        <v>322</v>
      </c>
      <c r="D145" s="270">
        <v>15000000</v>
      </c>
      <c r="E145" s="269"/>
      <c r="F145" s="269"/>
      <c r="G145" s="269"/>
    </row>
    <row r="146" spans="1:7" ht="13">
      <c r="A146" s="267"/>
      <c r="B146" s="268" t="s">
        <v>317</v>
      </c>
      <c r="C146" s="268" t="s">
        <v>19</v>
      </c>
      <c r="D146" s="270">
        <v>39534875</v>
      </c>
      <c r="E146" s="269"/>
      <c r="F146" s="269"/>
      <c r="G146" s="269"/>
    </row>
    <row r="147" spans="1:7" ht="13">
      <c r="A147" s="267"/>
      <c r="B147" s="269"/>
      <c r="C147" s="269"/>
      <c r="D147" s="269"/>
      <c r="E147" s="269"/>
      <c r="F147" s="269"/>
      <c r="G147" s="269"/>
    </row>
    <row r="148" spans="1:7" ht="13">
      <c r="A148" s="267"/>
      <c r="B148" s="268" t="s">
        <v>298</v>
      </c>
      <c r="C148" s="268" t="s">
        <v>151</v>
      </c>
      <c r="D148" s="268" t="s">
        <v>152</v>
      </c>
      <c r="E148" s="268" t="s">
        <v>153</v>
      </c>
      <c r="F148" s="269"/>
      <c r="G148" s="269"/>
    </row>
    <row r="149" spans="1:7" ht="13">
      <c r="A149" s="267"/>
      <c r="B149" s="268" t="s">
        <v>323</v>
      </c>
      <c r="C149" s="268" t="s">
        <v>324</v>
      </c>
      <c r="D149" s="270">
        <v>39534875</v>
      </c>
      <c r="E149" s="269"/>
      <c r="F149" s="269"/>
      <c r="G149" s="269"/>
    </row>
    <row r="150" spans="1:7" ht="13">
      <c r="A150" s="267"/>
      <c r="B150" s="268" t="s">
        <v>323</v>
      </c>
      <c r="C150" s="268" t="s">
        <v>325</v>
      </c>
      <c r="D150" s="270">
        <v>-48000000</v>
      </c>
      <c r="E150" s="269"/>
      <c r="F150" s="269"/>
      <c r="G150" s="269"/>
    </row>
    <row r="151" spans="1:7" ht="13">
      <c r="A151" s="267"/>
      <c r="B151" s="268" t="s">
        <v>323</v>
      </c>
      <c r="C151" s="268" t="s">
        <v>326</v>
      </c>
      <c r="D151" s="270">
        <v>72000000</v>
      </c>
      <c r="E151" s="269"/>
      <c r="F151" s="269"/>
      <c r="G151" s="269"/>
    </row>
    <row r="152" spans="1:7" ht="13">
      <c r="A152" s="267"/>
      <c r="B152" s="268" t="s">
        <v>323</v>
      </c>
      <c r="C152" s="268" t="s">
        <v>327</v>
      </c>
      <c r="D152" s="270">
        <v>-27890625</v>
      </c>
      <c r="E152" s="269"/>
      <c r="F152" s="269"/>
      <c r="G152" s="269"/>
    </row>
    <row r="153" spans="1:7" ht="13">
      <c r="A153" s="267"/>
      <c r="B153" s="268" t="s">
        <v>323</v>
      </c>
      <c r="C153" s="268" t="s">
        <v>328</v>
      </c>
      <c r="D153" s="270">
        <v>-3000000</v>
      </c>
      <c r="E153" s="269"/>
      <c r="F153" s="269"/>
      <c r="G153" s="269"/>
    </row>
    <row r="154" spans="1:7" ht="13">
      <c r="A154" s="267"/>
      <c r="B154" s="268" t="s">
        <v>323</v>
      </c>
      <c r="C154" s="268" t="s">
        <v>321</v>
      </c>
      <c r="D154" s="270">
        <v>-20000000</v>
      </c>
      <c r="E154" s="269"/>
      <c r="F154" s="269"/>
      <c r="G154" s="269"/>
    </row>
    <row r="155" spans="1:7" ht="13">
      <c r="A155" s="267"/>
      <c r="B155" s="268" t="s">
        <v>323</v>
      </c>
      <c r="C155" s="268" t="s">
        <v>322</v>
      </c>
      <c r="D155" s="270">
        <v>40000000</v>
      </c>
      <c r="E155" s="269"/>
      <c r="F155" s="269"/>
      <c r="G155" s="269"/>
    </row>
    <row r="156" spans="1:7" ht="13">
      <c r="A156" s="267"/>
      <c r="B156" s="268" t="s">
        <v>323</v>
      </c>
      <c r="C156" s="268" t="s">
        <v>19</v>
      </c>
      <c r="D156" s="270">
        <v>52644250</v>
      </c>
      <c r="E156" s="269"/>
      <c r="F156" s="269"/>
      <c r="G156" s="269"/>
    </row>
    <row r="157" spans="1:7" ht="13">
      <c r="A157" s="267"/>
      <c r="B157" s="269"/>
      <c r="C157" s="269"/>
      <c r="D157" s="269"/>
      <c r="E157" s="269"/>
      <c r="F157" s="269"/>
      <c r="G157" s="269"/>
    </row>
    <row r="158" spans="1:7" ht="13">
      <c r="A158" s="267"/>
      <c r="B158" s="268" t="s">
        <v>329</v>
      </c>
      <c r="C158" s="269"/>
      <c r="D158" s="269"/>
      <c r="E158" s="269"/>
      <c r="F158" s="269"/>
      <c r="G158" s="269"/>
    </row>
    <row r="159" spans="1:7" ht="13">
      <c r="A159" s="267"/>
      <c r="B159" s="268" t="s">
        <v>330</v>
      </c>
      <c r="C159" s="268" t="s">
        <v>331</v>
      </c>
      <c r="D159" s="268" t="s">
        <v>332</v>
      </c>
      <c r="E159" s="268" t="s">
        <v>333</v>
      </c>
      <c r="F159" s="268" t="s">
        <v>334</v>
      </c>
      <c r="G159" s="268" t="s">
        <v>153</v>
      </c>
    </row>
    <row r="160" spans="1:7" ht="13">
      <c r="A160" s="267"/>
      <c r="B160" s="268" t="s">
        <v>335</v>
      </c>
      <c r="C160" s="268" t="s">
        <v>336</v>
      </c>
      <c r="D160" s="268">
        <v>1</v>
      </c>
      <c r="E160" s="270">
        <v>150000</v>
      </c>
      <c r="F160" s="270">
        <v>150000</v>
      </c>
      <c r="G160" s="268" t="s">
        <v>337</v>
      </c>
    </row>
    <row r="161" spans="1:7" ht="13">
      <c r="A161" s="267"/>
      <c r="B161" s="268" t="s">
        <v>338</v>
      </c>
      <c r="C161" s="268" t="s">
        <v>339</v>
      </c>
      <c r="D161" s="268">
        <v>1</v>
      </c>
      <c r="E161" s="270">
        <v>130000</v>
      </c>
      <c r="F161" s="270">
        <v>130000</v>
      </c>
      <c r="G161" s="268" t="s">
        <v>340</v>
      </c>
    </row>
    <row r="162" spans="1:7" ht="13">
      <c r="A162" s="267"/>
      <c r="B162" s="268" t="s">
        <v>338</v>
      </c>
      <c r="C162" s="268" t="s">
        <v>341</v>
      </c>
      <c r="D162" s="268">
        <v>2</v>
      </c>
      <c r="E162" s="270">
        <v>90000</v>
      </c>
      <c r="F162" s="270">
        <v>180000</v>
      </c>
      <c r="G162" s="268" t="s">
        <v>342</v>
      </c>
    </row>
    <row r="163" spans="1:7" ht="13">
      <c r="A163" s="267"/>
      <c r="B163" s="268" t="s">
        <v>24</v>
      </c>
      <c r="C163" s="268" t="s">
        <v>343</v>
      </c>
      <c r="D163" s="268">
        <v>1</v>
      </c>
      <c r="E163" s="270">
        <v>70000</v>
      </c>
      <c r="F163" s="270">
        <v>70000</v>
      </c>
      <c r="G163" s="268" t="s">
        <v>344</v>
      </c>
    </row>
    <row r="164" spans="1:7" ht="13">
      <c r="A164" s="267"/>
      <c r="B164" s="268" t="s">
        <v>24</v>
      </c>
      <c r="C164" s="268" t="s">
        <v>345</v>
      </c>
      <c r="D164" s="268">
        <v>1</v>
      </c>
      <c r="E164" s="270">
        <v>65000</v>
      </c>
      <c r="F164" s="270">
        <v>65000</v>
      </c>
      <c r="G164" s="268" t="s">
        <v>346</v>
      </c>
    </row>
    <row r="165" spans="1:7" ht="13">
      <c r="A165" s="267"/>
      <c r="B165" s="268" t="s">
        <v>347</v>
      </c>
      <c r="C165" s="268" t="s">
        <v>348</v>
      </c>
      <c r="D165" s="268">
        <v>1</v>
      </c>
      <c r="E165" s="270">
        <v>90000</v>
      </c>
      <c r="F165" s="270">
        <v>90000</v>
      </c>
      <c r="G165" s="268" t="s">
        <v>349</v>
      </c>
    </row>
    <row r="166" spans="1:7" ht="13">
      <c r="A166" s="267"/>
      <c r="B166" s="268" t="s">
        <v>350</v>
      </c>
      <c r="C166" s="268" t="s">
        <v>351</v>
      </c>
      <c r="D166" s="268">
        <v>1</v>
      </c>
      <c r="E166" s="270">
        <v>60000</v>
      </c>
      <c r="F166" s="270">
        <v>60000</v>
      </c>
      <c r="G166" s="268" t="s">
        <v>352</v>
      </c>
    </row>
    <row r="167" spans="1:7" ht="13">
      <c r="A167" s="267"/>
      <c r="B167" s="268" t="s">
        <v>353</v>
      </c>
      <c r="C167" s="268" t="s">
        <v>354</v>
      </c>
      <c r="D167" s="268">
        <v>1</v>
      </c>
      <c r="E167" s="270">
        <v>85000</v>
      </c>
      <c r="F167" s="270">
        <v>85000</v>
      </c>
      <c r="G167" s="268" t="s">
        <v>355</v>
      </c>
    </row>
    <row r="168" spans="1:7" ht="13">
      <c r="A168" s="267"/>
      <c r="B168" s="268" t="s">
        <v>356</v>
      </c>
      <c r="C168" s="268" t="s">
        <v>357</v>
      </c>
      <c r="D168" s="268">
        <v>1</v>
      </c>
      <c r="E168" s="270">
        <v>80000</v>
      </c>
      <c r="F168" s="270">
        <v>80000</v>
      </c>
      <c r="G168" s="268" t="s">
        <v>358</v>
      </c>
    </row>
    <row r="169" spans="1:7" ht="13">
      <c r="A169" s="267"/>
      <c r="B169" s="269"/>
      <c r="C169" s="268" t="s">
        <v>360</v>
      </c>
      <c r="D169" s="269"/>
      <c r="E169" s="269"/>
      <c r="F169" s="270">
        <v>910000</v>
      </c>
      <c r="G169" s="268" t="s">
        <v>361</v>
      </c>
    </row>
    <row r="170" spans="1:7" ht="13">
      <c r="A170" s="267"/>
      <c r="B170" s="269"/>
      <c r="C170" s="268" t="s">
        <v>362</v>
      </c>
      <c r="D170" s="269"/>
      <c r="E170" s="269"/>
      <c r="F170" s="270">
        <v>435000</v>
      </c>
      <c r="G170" s="268" t="s">
        <v>363</v>
      </c>
    </row>
    <row r="171" spans="1:7" ht="13">
      <c r="A171" s="267"/>
      <c r="B171" s="269"/>
      <c r="C171" s="268" t="s">
        <v>364</v>
      </c>
      <c r="D171" s="269"/>
      <c r="E171" s="269"/>
      <c r="F171" s="270">
        <v>1250000</v>
      </c>
      <c r="G171" s="268" t="s">
        <v>365</v>
      </c>
    </row>
    <row r="172" spans="1:7" ht="13">
      <c r="A172" s="267"/>
      <c r="B172" s="269"/>
      <c r="C172" s="269"/>
      <c r="D172" s="269"/>
      <c r="E172" s="269"/>
      <c r="F172" s="269"/>
      <c r="G172" s="269"/>
    </row>
    <row r="173" spans="1:7" ht="13">
      <c r="A173" s="267"/>
      <c r="B173" s="268" t="s">
        <v>366</v>
      </c>
      <c r="C173" s="268" t="s">
        <v>367</v>
      </c>
      <c r="D173" s="268" t="s">
        <v>368</v>
      </c>
      <c r="E173" s="269"/>
      <c r="F173" s="269"/>
      <c r="G173" s="269"/>
    </row>
    <row r="174" spans="1:7" ht="13">
      <c r="A174" s="267"/>
      <c r="B174" s="268" t="s">
        <v>122</v>
      </c>
      <c r="C174" s="268" t="s">
        <v>369</v>
      </c>
      <c r="D174" s="270">
        <v>1875000</v>
      </c>
      <c r="E174" s="269"/>
      <c r="F174" s="269"/>
      <c r="G174" s="269"/>
    </row>
    <row r="175" spans="1:7" ht="13">
      <c r="A175" s="267"/>
      <c r="B175" s="268" t="s">
        <v>123</v>
      </c>
      <c r="C175" s="268" t="s">
        <v>370</v>
      </c>
      <c r="D175" s="270">
        <v>2343750</v>
      </c>
      <c r="E175" s="269"/>
      <c r="F175" s="269"/>
      <c r="G175" s="269"/>
    </row>
    <row r="176" spans="1:7" ht="13">
      <c r="A176" s="267"/>
      <c r="B176" s="268" t="s">
        <v>371</v>
      </c>
      <c r="C176" s="268" t="s">
        <v>372</v>
      </c>
      <c r="D176" s="270">
        <v>2929687.5</v>
      </c>
      <c r="E176" s="269"/>
      <c r="F176" s="269"/>
      <c r="G176" s="2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Model Assumptions</vt:lpstr>
      <vt:lpstr>Overall</vt:lpstr>
      <vt:lpstr>Financials</vt:lpstr>
      <vt:lpstr>Project Overview</vt:lpstr>
      <vt:lpstr>H2 Cost Assumptions</vt:lpstr>
      <vt:lpstr>H2 Production Costs</vt:lpstr>
      <vt:lpstr>Personnel</vt:lpstr>
      <vt:lpstr>Volumes at Electric Loads</vt:lpstr>
      <vt:lpstr>Facility AFE</vt:lpstr>
      <vt:lpstr>Valuation</vt:lpstr>
      <vt:lpstr>Addtl Detail</vt:lpstr>
      <vt:lpstr>Funding</vt:lpstr>
      <vt:lpstr>Gantt Chart</vt:lpstr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colby</cp:lastModifiedBy>
  <dcterms:created xsi:type="dcterms:W3CDTF">2025-05-22T02:45:08Z</dcterms:created>
  <dcterms:modified xsi:type="dcterms:W3CDTF">2025-05-22T02:45:08Z</dcterms:modified>
</cp:coreProperties>
</file>