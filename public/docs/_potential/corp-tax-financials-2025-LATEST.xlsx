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olby/internal_finances/"/>
    </mc:Choice>
  </mc:AlternateContent>
  <xr:revisionPtr revIDLastSave="0" documentId="13_ncr:1_{F8560E07-F0E2-4344-94C7-927F7C95757F}" xr6:coauthVersionLast="47" xr6:coauthVersionMax="47" xr10:uidLastSave="{00000000-0000-0000-0000-000000000000}"/>
  <bookViews>
    <workbookView xWindow="720" yWindow="500" windowWidth="28280" windowHeight="20040" tabRatio="500" xr2:uid="{00000000-000D-0000-FFFF-FFFF00000000}"/>
  </bookViews>
  <sheets>
    <sheet name="Summary" sheetId="1" r:id="rId1"/>
    <sheet name="Balance Sheet" sheetId="2" r:id="rId2"/>
    <sheet name="Income Statement" sheetId="3" r:id="rId3"/>
    <sheet name="Cash Flow" sheetId="4" r:id="rId4"/>
    <sheet name="Funding Sources" sheetId="5" r:id="rId5"/>
    <sheet name="Transaction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5" l="1"/>
  <c r="C16" i="5" s="1"/>
  <c r="C15" i="5"/>
  <c r="C14" i="5"/>
  <c r="C13" i="5"/>
  <c r="C12" i="5"/>
  <c r="C11" i="5"/>
  <c r="C10" i="5"/>
  <c r="C9" i="5"/>
  <c r="C8" i="5"/>
  <c r="C7" i="5"/>
  <c r="C6" i="5"/>
  <c r="C5" i="5"/>
  <c r="C17" i="5" s="1"/>
  <c r="B14" i="4"/>
  <c r="B13" i="4"/>
  <c r="D11" i="4"/>
  <c r="C11" i="4"/>
  <c r="E5" i="4"/>
  <c r="B6" i="4" s="1"/>
  <c r="E6" i="4" s="1"/>
  <c r="B7" i="4" s="1"/>
  <c r="E7" i="4" s="1"/>
  <c r="B8" i="4" s="1"/>
  <c r="E8" i="4" s="1"/>
  <c r="B9" i="4" s="1"/>
  <c r="E9" i="4" s="1"/>
  <c r="B10" i="4" s="1"/>
  <c r="E10" i="4" s="1"/>
  <c r="E11" i="4" s="1"/>
  <c r="B42" i="3"/>
  <c r="B44" i="3" s="1"/>
  <c r="B40" i="3"/>
  <c r="B34" i="3"/>
  <c r="B24" i="3"/>
  <c r="B15" i="3"/>
  <c r="B7" i="3"/>
  <c r="B21" i="2"/>
  <c r="B17" i="2"/>
  <c r="B23" i="2" s="1"/>
  <c r="B8" i="2"/>
  <c r="B12" i="2" s="1"/>
  <c r="B20" i="1"/>
  <c r="C18" i="1" s="1"/>
  <c r="C19" i="1"/>
  <c r="C17" i="1"/>
  <c r="C16" i="1"/>
  <c r="C15" i="1"/>
</calcChain>
</file>

<file path=xl/sharedStrings.xml><?xml version="1.0" encoding="utf-8"?>
<sst xmlns="http://schemas.openxmlformats.org/spreadsheetml/2006/main" count="932" uniqueCount="402">
  <si>
    <t>TOBE ENERGY CORP</t>
  </si>
  <si>
    <t>Internal Financial Statements — As of December 31, 2025</t>
  </si>
  <si>
    <t>Prepared for Cortado Ventures Audit</t>
  </si>
  <si>
    <t>KEY METRICS</t>
  </si>
  <si>
    <t>Cash on Hand (JPMorgan Chase ...0522)</t>
  </si>
  <si>
    <t>Net Loss (Jul–Dec 2025)</t>
  </si>
  <si>
    <t>Average Monthly Burn Rate</t>
  </si>
  <si>
    <t>Estimated Runway</t>
  </si>
  <si>
    <t>~10 months</t>
  </si>
  <si>
    <t>Total Pre-Seed Funding Raised</t>
  </si>
  <si>
    <t>Number of Investors</t>
  </si>
  <si>
    <t>Period Covered</t>
  </si>
  <si>
    <t>July 1 – December 31, 2025</t>
  </si>
  <si>
    <t>EXPENSE BREAKDOWN (Jul–Dec 2025)</t>
  </si>
  <si>
    <t>Payroll &amp; Benefits</t>
  </si>
  <si>
    <t>R&amp;D Materials &amp; Equipment</t>
  </si>
  <si>
    <t>Facilities &amp; Utilities</t>
  </si>
  <si>
    <t>Insurance</t>
  </si>
  <si>
    <t>Other Operating</t>
  </si>
  <si>
    <t>Total Operating Expenses</t>
  </si>
  <si>
    <t>MONTHLY CASH POSITION</t>
  </si>
  <si>
    <t>Jul 2025</t>
  </si>
  <si>
    <t>Aug 2025</t>
  </si>
  <si>
    <t>Sep 2025</t>
  </si>
  <si>
    <t>Oct 2025</t>
  </si>
  <si>
    <t>Nov 2025</t>
  </si>
  <si>
    <t>Dec 2025</t>
  </si>
  <si>
    <t>TOBE ENERGY CORP — Balance Sheet</t>
  </si>
  <si>
    <t>As of December 31, 2025</t>
  </si>
  <si>
    <t>Line Item</t>
  </si>
  <si>
    <t>Amount</t>
  </si>
  <si>
    <t>Notes</t>
  </si>
  <si>
    <t>ASSETS</t>
  </si>
  <si>
    <t>Cash — JPMorgan Chase (acct ...0522)</t>
  </si>
  <si>
    <t>Operating account</t>
  </si>
  <si>
    <t>Total Current Assets</t>
  </si>
  <si>
    <t>Fixed Assets (Estimated)</t>
  </si>
  <si>
    <t>Lab equipment, furniture</t>
  </si>
  <si>
    <t>TOTAL ASSETS</t>
  </si>
  <si>
    <t>LIABILITIES &amp; STOCKHOLDERS' EQUITY</t>
  </si>
  <si>
    <t>Credit Card Balance</t>
  </si>
  <si>
    <t>JPMorgan commercial card</t>
  </si>
  <si>
    <t>Total Current Liabilities</t>
  </si>
  <si>
    <t>Paid-in Capital (Seed Investment)</t>
  </si>
  <si>
    <t>Jul 2025 pre-seed round</t>
  </si>
  <si>
    <t>Retained Earnings (Accumulated Deficit)</t>
  </si>
  <si>
    <t>Jul–Dec 2025 net loss</t>
  </si>
  <si>
    <t>Total Stockholders' Equity</t>
  </si>
  <si>
    <t>TOTAL LIABILITIES &amp; EQUITY</t>
  </si>
  <si>
    <t>TOBE ENERGY CORP — Income Statement</t>
  </si>
  <si>
    <t>For the Period July 1 – December 31, 2025</t>
  </si>
  <si>
    <t>Category</t>
  </si>
  <si>
    <t>REVENUE</t>
  </si>
  <si>
    <t>Other Income (PayPal/JPM rebates)</t>
  </si>
  <si>
    <t>Total Revenue</t>
  </si>
  <si>
    <t>OPERATING EXPENSES</t>
  </si>
  <si>
    <t>Payroll — Deel Platform</t>
  </si>
  <si>
    <t>International contractors</t>
  </si>
  <si>
    <t>Payroll — Direct ACH</t>
  </si>
  <si>
    <t>US employees</t>
  </si>
  <si>
    <t>Workers' Compensation</t>
  </si>
  <si>
    <t>CompSource Mutual</t>
  </si>
  <si>
    <t>Healthcare</t>
  </si>
  <si>
    <t>Subtotal: Payroll &amp; Benefits</t>
  </si>
  <si>
    <t>General liability + D&amp;O</t>
  </si>
  <si>
    <t>Rent — Heritage</t>
  </si>
  <si>
    <t>3816 S Elwood, Tulsa</t>
  </si>
  <si>
    <t>Electric — OG&amp;E</t>
  </si>
  <si>
    <t>City Utilities</t>
  </si>
  <si>
    <t>Internet — Cox</t>
  </si>
  <si>
    <t>Waste Management</t>
  </si>
  <si>
    <t>Subtotal: Facilities &amp; Utilities</t>
  </si>
  <si>
    <t>Electronics/Components (Bank)</t>
  </si>
  <si>
    <t>PayPal/direct purchases</t>
  </si>
  <si>
    <t>R&amp;D Supplies (Credit Card)</t>
  </si>
  <si>
    <t>Amazon, McMaster-Carr, etc.</t>
  </si>
  <si>
    <t>CNC Equipment</t>
  </si>
  <si>
    <t>3D Printing</t>
  </si>
  <si>
    <t>Industrial Supplies</t>
  </si>
  <si>
    <t>McMaster-Carr, Grainger</t>
  </si>
  <si>
    <t>Lab Equipment</t>
  </si>
  <si>
    <t>Online Components (PayPal/eBay)</t>
  </si>
  <si>
    <t>DigiKey, Mouser, AliExpress</t>
  </si>
  <si>
    <t>Manufacturing Materials</t>
  </si>
  <si>
    <t>Subtotal: R&amp;D Materials &amp; Equipment</t>
  </si>
  <si>
    <t>Facility &amp; Office Supplies</t>
  </si>
  <si>
    <t>Vehicle &amp; Travel</t>
  </si>
  <si>
    <t>Toyota lease + fuel</t>
  </si>
  <si>
    <t>Telecom &amp; Software</t>
  </si>
  <si>
    <t>AT&amp;T, HubSpot, Zoom, etc.</t>
  </si>
  <si>
    <t>Electrical Work &amp; Other</t>
  </si>
  <si>
    <t>Contractor services</t>
  </si>
  <si>
    <t>Subtotal: Other Operating</t>
  </si>
  <si>
    <t>TOTAL OPERATING EXPENSES</t>
  </si>
  <si>
    <t>NET LOSS</t>
  </si>
  <si>
    <t>TOBE ENERGY CORP — Cash Flow Statement</t>
  </si>
  <si>
    <t>Monthly Summary: July – December 2025</t>
  </si>
  <si>
    <t>Month</t>
  </si>
  <si>
    <t>Starting Balance</t>
  </si>
  <si>
    <t>Inflows</t>
  </si>
  <si>
    <t>Outflows</t>
  </si>
  <si>
    <t>Ending Balance</t>
  </si>
  <si>
    <t>TOTAL</t>
  </si>
  <si>
    <t>Total Cash Burn (6 months)</t>
  </si>
  <si>
    <t>Average Monthly Burn</t>
  </si>
  <si>
    <t>TOBE ENERGY CORP — Pre-Seed Round Funding Sources</t>
  </si>
  <si>
    <t>Closed July 2025</t>
  </si>
  <si>
    <t>Investor</t>
  </si>
  <si>
    <t>% of Round</t>
  </si>
  <si>
    <t>Techstars Ventures 2022, L.P.</t>
  </si>
  <si>
    <t>Wave Function Ventures Fund I, LP</t>
  </si>
  <si>
    <t>Cortado Ventures Fund II</t>
  </si>
  <si>
    <t>Cortado Ventures Fund II SSBCI, LP</t>
  </si>
  <si>
    <t>Cortado Ventures Fund IIA, LP</t>
  </si>
  <si>
    <t>Scissortail Ventures Flight Fund I, LP</t>
  </si>
  <si>
    <t>Hurricane Ventures, LP</t>
  </si>
  <si>
    <t>Ryan Fathi LLC</t>
  </si>
  <si>
    <t>David Velasquez</t>
  </si>
  <si>
    <t>Jeff Moore</t>
  </si>
  <si>
    <t>Tai Cai</t>
  </si>
  <si>
    <t>Beck Kloss</t>
  </si>
  <si>
    <t>TOTAL PRE-SEED FUNDING</t>
  </si>
  <si>
    <t>TOBE ENERGY CORP — Bank Transactions (JPMorgan Chase ...0522)</t>
  </si>
  <si>
    <t>Through December 31, 2025</t>
  </si>
  <si>
    <t>Date</t>
  </si>
  <si>
    <t>Description</t>
  </si>
  <si>
    <t>Type</t>
  </si>
  <si>
    <t>Balance</t>
  </si>
  <si>
    <t>Jul 14, 2025</t>
  </si>
  <si>
    <t>ORIG CO NAME:RYAN FATHI LLC ORIG ID:9200502235 DESC DATE:250714 CO ENTRY DESCR:A</t>
  </si>
  <si>
    <t>ACH credit</t>
  </si>
  <si>
    <t>Jul 15, 2025</t>
  </si>
  <si>
    <t>REMOTE ONLINE DEPOSIT # 1</t>
  </si>
  <si>
    <t>Deposit</t>
  </si>
  <si>
    <t>Jul 17, 2025</t>
  </si>
  <si>
    <t>FEDWIRE CREDIT VIA: AVIDBANK/121143626 B/O: CORTADO VENTURES MANAGEMENT LLC OKLA</t>
  </si>
  <si>
    <t>Incoming wire transfer</t>
  </si>
  <si>
    <t>ORIG CO NAME:Carta e8758a6f-1 ORIG ID:PAYC156080 DESC DATE: CO ENTRY DESCR:EDI P</t>
  </si>
  <si>
    <t>Misc. credit</t>
  </si>
  <si>
    <t>FEDWIRE CREDIT VIA: FIRST CITIZENS BANK AND TRUST CO. (/121140399 B/O: TECHSTARS</t>
  </si>
  <si>
    <t>FEDWIRE CREDIT VIA: THE CITIZENS BANK OF EDMOND/103002251 B/O: 1/CORTADO VENTURE</t>
  </si>
  <si>
    <t>Jul 21, 2025</t>
  </si>
  <si>
    <t>FEDWIRE CREDIT VIA: REGENT BANK/103101356 B/O: 1/SCISSORTAIL VENTURES FLIGHT FUN</t>
  </si>
  <si>
    <t>Jul 22, 2025</t>
  </si>
  <si>
    <t xml:space="preserve">FEDWIRE CREDIT VIA: PIERMONT BANK/026015053 B/O: WAVE FUNCTION VENTURES FUND I, </t>
  </si>
  <si>
    <t>Jul 23, 2025</t>
  </si>
  <si>
    <t>FEDWIRE CREDIT VIA: GRASSHOPPER BANK, NATIONAL ASSOCIAT/026015024 B/O: GRASSHOPP</t>
  </si>
  <si>
    <t>Jul 29, 2025</t>
  </si>
  <si>
    <t>ONLINE DOMESTIC WIRE TRANSFER VIA: BK AMER NYC/026009593 A/C: APPLE INC AUSTIN T</t>
  </si>
  <si>
    <t>Outgoing wire transfer</t>
  </si>
  <si>
    <t>Jul 31, 2025</t>
  </si>
  <si>
    <t>ORIG CO NAME:MERCURY INS ORIG ID:F730737056 DESC DATE:000000 CO ENTRY DESCR:PAYM</t>
  </si>
  <si>
    <t>ACH debit</t>
  </si>
  <si>
    <t>ORIG CO NAME:FastStitch ORIG ID:0010933967 DESC DATE:250730 CO ENTRY DESCR:40572</t>
  </si>
  <si>
    <t>Aug 6, 2025</t>
  </si>
  <si>
    <t xml:space="preserve">ONLINE DOMESTIC WIRE TRANSFER A/C: SAGER ELECTRICAL SUPPLY CO INC MIDDLEBORO MA </t>
  </si>
  <si>
    <t>Aug 7, 2025</t>
  </si>
  <si>
    <t>ORIG CO NAME:PAYPAL ORIG ID:PAYPALSI77 DESC DATE:250806 CO ENTRY DESCR:INST XFER</t>
  </si>
  <si>
    <t>Misc. debit</t>
  </si>
  <si>
    <t>Aug 8, 2025</t>
  </si>
  <si>
    <t>ORIG CO NAME:PAYPAL ORIG ID:PAYPALSI77 DESC DATE:250807 CO ENTRY DESCR:INST XFER</t>
  </si>
  <si>
    <t xml:space="preserve">ORIG CO NAME:PAYPAL ORIG ID:PAYPALSD11 DESC DATE:250807 CO ENTRY DESCR:TRANSFER </t>
  </si>
  <si>
    <t>Aug 11, 2025</t>
  </si>
  <si>
    <t>ORIG CO NAME:PAYPAL ORIG ID:PAYPALSI77 DESC DATE:250808 CO ENTRY DESCR:INST XFER</t>
  </si>
  <si>
    <t>ONLINE DOMESTIC WIRE TRANSFER VIA: CITY NB OF FLA/066004367 A/C: DEREK FAHEY FOR</t>
  </si>
  <si>
    <t>Aug 12, 2025</t>
  </si>
  <si>
    <t>ORIG CO NAME:ATLAS.MD ORIG ID:1800948598 DESC DATE: CO ENTRY DESCR:ACCTVERIFYSEC</t>
  </si>
  <si>
    <t>Same-Day ACH Payroll Payment 11183616477 to ######6611</t>
  </si>
  <si>
    <t>ACH employee payment</t>
  </si>
  <si>
    <t>Same-Day ACH Payroll Payment 11183626770 to ######3501</t>
  </si>
  <si>
    <t>Same-Day ACH Payroll Payment 11183618283 to #####2510</t>
  </si>
  <si>
    <t>Same-Day ACH Payroll Payment 11183618512 to ######6056</t>
  </si>
  <si>
    <t>Aug 13, 2025</t>
  </si>
  <si>
    <t>ORIG CO NAME:PAYPAL ORIG ID:PAYPALSI77 DESC DATE:250812 CO ENTRY DESCR:INST XFER</t>
  </si>
  <si>
    <t>Aug 14, 2025</t>
  </si>
  <si>
    <t>Same-Day ACH Payroll Payment 11183863902 to ######6056</t>
  </si>
  <si>
    <t>ORIG CO NAME:ATLAS.MD ORIG ID:4270465600 DESC DATE: CO ENTRY DESCR:THE LITTLESEC</t>
  </si>
  <si>
    <t>Same-Day ACH Payroll Payment 11183863931 to ######3501</t>
  </si>
  <si>
    <t>Same-Day ACH Payroll Payment 11183869816 to #####2510</t>
  </si>
  <si>
    <t>Same-Day ACH Payroll Payment 11183869780 to ######6611</t>
  </si>
  <si>
    <t>Aug 15, 2025</t>
  </si>
  <si>
    <t>ORIG CO NAME:PAYPAL ORIG ID:PAYPALSI77 DESC DATE:250814 CO ENTRY DESCR:INST XFER</t>
  </si>
  <si>
    <t>Aug 18, 2025</t>
  </si>
  <si>
    <t>FEDWIRE CREDIT VIA: WELLS FARGO BANK, N.A./121000248 B/O: 1/DAVID VELASQUEZ DESI</t>
  </si>
  <si>
    <t>ORIG CO NAME:COMMERCIAL CARD ORIG ID:5100137900 DESC DATE: CO ENTRY DESCR:PAYMEN</t>
  </si>
  <si>
    <t>Aug 19, 2025</t>
  </si>
  <si>
    <t>ORIG CO NAME:OG&amp;E ORIG ID:1730382390 DESC DATE: CO ENTRY DESCR:ONLINE PAYSEC:WEB</t>
  </si>
  <si>
    <t>ORIG CO NAME:WWW.UI.COM ORIG ID:1800948598 DESC DATE: CO ENTRY DESCR:WWW.UI.COMS</t>
  </si>
  <si>
    <t>ORIG CO NAME:COX COMM OKC ORIG ID:1581620044 DESC DATE:081825 CO ENTRY DESCR:PUR</t>
  </si>
  <si>
    <t>Aug 21, 2025</t>
  </si>
  <si>
    <t>ORIG CO NAME:TOYOTA ACH LEASE ORIG ID:3953775816 DESC DATE: CO ENTRY DESCR:08202</t>
  </si>
  <si>
    <t>Aug 25, 2025</t>
  </si>
  <si>
    <t>ORIG CO NAME:COX COMM OKC ORIG ID:1581620044 DESC DATE:082225 CO ENTRY DESCR:PUR</t>
  </si>
  <si>
    <t>ORIG CO NAME:HUBSPOT INC. ORIG ID:8263863381 DESC DATE: CO ENTRY DESCR:J2625 RCU</t>
  </si>
  <si>
    <t>Aug 26, 2025</t>
  </si>
  <si>
    <t>Same-Day ACH Payment 11185277055 to Electrician (_######2816)</t>
  </si>
  <si>
    <t>ACH vendor payment</t>
  </si>
  <si>
    <t>Aug 27, 2025</t>
  </si>
  <si>
    <t>ORIG CO NAME:RICH &amp; CARTMILL ORIG ID:2472319830 DESC DATE:250826 CO ENTRY DESCR:</t>
  </si>
  <si>
    <t>ORIG CO NAME:ATT ORIG ID:9864031005 DESC DATE:082525 CO ENTRY DESCR:PAYMENT SEC:</t>
  </si>
  <si>
    <t>Aug 29, 2025</t>
  </si>
  <si>
    <t xml:space="preserve">Online RealTime payroll payment 11185887551 Payment Id REFERENCE#: 8185887551RX </t>
  </si>
  <si>
    <t>Basic Online Payroll Payment 11185876404 to ######6056</t>
  </si>
  <si>
    <t>Same-Day ACH Payroll Payment 11185876423 to ######3501</t>
  </si>
  <si>
    <t>Same-Day ACH Payroll Payment 11185887603 to ######6611</t>
  </si>
  <si>
    <t>Same-Day ACH Payment 11185876556 to Electrician (_######2816)</t>
  </si>
  <si>
    <t>Sep 2, 2025</t>
  </si>
  <si>
    <t>Online RealTime vendor payment 11186081117 Payment Id REFERENCE#: 8186081117RX t</t>
  </si>
  <si>
    <t>Same-Day ACH Payment 11186088038 to Heritage (_#######6895)</t>
  </si>
  <si>
    <t>ORIG CO NAME:ATHENA EA SERVIC ORIG ID:4270465600 DESC DATE: CO ENTRY DESCR:ATHEN</t>
  </si>
  <si>
    <t>ORIG CO NAME:ATLAS CRM ORIG ID:4270465600 DESC DATE: CO ENTRY DESCR:THE LITTLESE</t>
  </si>
  <si>
    <t>ORIG CO NAME:OKC ORIG ID:0000007041 DESC DATE:250831 CO ENTRY DESCR:UTILITY SEC:</t>
  </si>
  <si>
    <t>Same-Day ACH Payment 11186168401 to TobeRegional (_###2766)</t>
  </si>
  <si>
    <t>ORIG CO NAME:Deel ORIG ID:2715103183 DESC DATE: CO ENTRY DESCR:Deel SEC:CCD TRAC</t>
  </si>
  <si>
    <t>Sep 3, 2025</t>
  </si>
  <si>
    <t>Same-Day ACH Payment 11186359014 to CNC (_########0018)</t>
  </si>
  <si>
    <t>ORIG CO NAME:Deel, Inc. ORIG ID:1800948598 DESC DATE: CO ENTRY DESCR:Deel Inc. S</t>
  </si>
  <si>
    <t>ORIG CO NAME:Comp Source Mut ORIG ID:F800146791 DESC DATE:250901 CO ENTRY DESCR:</t>
  </si>
  <si>
    <t>ORIG CO NAME:MATTHEW D. STUMP ORIG ID:9215986202 DESC DATE:250903 CO ENTRY DESCR</t>
  </si>
  <si>
    <t>Sep 5, 2025</t>
  </si>
  <si>
    <t>Sep 10, 2025</t>
  </si>
  <si>
    <t>ORIG CO NAME:PAYPAL ORIG ID:PAYPALSI77 DESC DATE:250909 CO ENTRY DESCR:INST XFER</t>
  </si>
  <si>
    <t>Sep 12, 2025</t>
  </si>
  <si>
    <t>ORIG CO NAME:PAYPAL ORIG ID:PAYPALSI77 DESC DATE:250911 CO ENTRY DESCR:INST XFER</t>
  </si>
  <si>
    <t>Sep 15, 2025</t>
  </si>
  <si>
    <t>ORIG CO NAME:PAYPAL ORIG ID:PAYPALSI77 DESC DATE:250913 CO ENTRY DESCR:INST XFER</t>
  </si>
  <si>
    <t xml:space="preserve">Online RealTime payroll payment 11187795177 Payment Id REFERENCE#: 8187795177RX </t>
  </si>
  <si>
    <t>Same-Day ACH Payroll Payment 11187805648 to ######3501</t>
  </si>
  <si>
    <t>Same-Day ACH Payroll Payment 11187805654 to ######6611</t>
  </si>
  <si>
    <t xml:space="preserve">Online RealTime payroll payment 11187795263 Payment Id REFERENCE#: 8187795263RX </t>
  </si>
  <si>
    <t xml:space="preserve">Online RealTime payroll payment 11187795196 Payment Id REFERENCE#: 8187795196RX </t>
  </si>
  <si>
    <t>Sep 17, 2025</t>
  </si>
  <si>
    <t>ORIG CO NAME:PAYPAL ORIG ID:PAYPALSI77 DESC DATE:250916 CO ENTRY DESCR:INST XFER</t>
  </si>
  <si>
    <t>Sep 18, 2025</t>
  </si>
  <si>
    <t>ORIG CO NAME:PAYPAL ORIG ID:PAYPALSI77 DESC DATE:250917 CO ENTRY DESCR:INST XFER</t>
  </si>
  <si>
    <t>ORIG CO NAME:Comp Source Mut ORIG ID:F800146791 DESC DATE:250917 CO ENTRY DESCR:</t>
  </si>
  <si>
    <t>ORIG CO NAME:WASTE CONNECTION ORIG ID:9510013001 DESC DATE:SEP 25 CO ENTRY DESCR</t>
  </si>
  <si>
    <t>Sep 19, 2025</t>
  </si>
  <si>
    <t>ORIG CO NAME:ATHENA EA SERVIC ORIG ID:1800948598 DESC DATE: CO ENTRY DESCR:ATHEN</t>
  </si>
  <si>
    <t>Sep 22, 2025</t>
  </si>
  <si>
    <t>Sep 23, 2025</t>
  </si>
  <si>
    <t>ORIG CO NAME:TOYOTA ACH LEASE ORIG ID:3953775816 DESC DATE: CO ENTRY DESCR:09202</t>
  </si>
  <si>
    <t>Sep 24, 2025</t>
  </si>
  <si>
    <t>ORIG CO NAME:PAYPAL ORIG ID:PAYPALSI77 DESC DATE:250924 CO ENTRY DESCR:INST XFER</t>
  </si>
  <si>
    <t>Sep 25, 2025</t>
  </si>
  <si>
    <t>ORIG CO NAME:ATT ORIG ID:9864031004 DESC DATE:092425 CO ENTRY DESCR:PAYMENT SEC:</t>
  </si>
  <si>
    <t>Sep 26, 2025</t>
  </si>
  <si>
    <t>Sep 29, 2025</t>
  </si>
  <si>
    <t>ORIG CO NAME:HUBSPOT INC. ORIG ID:8263863381 DESC DATE: CO ENTRY DESCR:J2658 RCU</t>
  </si>
  <si>
    <t>ORIG CO NAME:PAYPAL ORIG ID:PAYPALSI77 DESC DATE:250929 CO ENTRY DESCR:INST XFER</t>
  </si>
  <si>
    <t>Sep 30, 2025</t>
  </si>
  <si>
    <t>ORIG CO NAME:OKC ORIG ID:0000007041 DESC DATE:250930 CO ENTRY DESCR:UTILITY SEC:</t>
  </si>
  <si>
    <t>Oct 1, 2025</t>
  </si>
  <si>
    <t>ORIG CO NAME:PAYPAL ORIG ID:PAYPALSI77 DESC DATE:250930 CO ENTRY DESCR:INST XFER</t>
  </si>
  <si>
    <t>Same-Day ACH Payment 11189841389 to Heritage (_#######6895)</t>
  </si>
  <si>
    <t>Oct 2, 2025</t>
  </si>
  <si>
    <t>ORIG CO NAME:JP MORGAN CHASE ORIG ID:36-0899825 DESC DATE:100125 CO ENTRY DESCR:</t>
  </si>
  <si>
    <t>ORIG CO NAME:ATLAS CRM ORIG ID:1800948598 DESC DATE: CO ENTRY DESCR:THE LITTLESE</t>
  </si>
  <si>
    <t>ORIG CO NAME:PAYPAL ORIG ID:PAYPALSI77 DESC DATE:251001 CO ENTRY DESCR:INST XFER</t>
  </si>
  <si>
    <t>Oct 3, 2025</t>
  </si>
  <si>
    <t>ORIG CO NAME:PAYPAL ORIG ID:PAYPALSI77 DESC DATE:251002 CO ENTRY DESCR:INST XFER</t>
  </si>
  <si>
    <t>Oct 6, 2025</t>
  </si>
  <si>
    <t>ORIG CO NAME:PAYPAL ORIG ID:PAYPALSI77 DESC DATE:251004 CO ENTRY DESCR:INST XFER</t>
  </si>
  <si>
    <t>ORIG CO NAME:PAYPAL ORIG ID:PAYPALSI77 DESC DATE:251006 CO ENTRY DESCR:INST XFER</t>
  </si>
  <si>
    <t>Oct 7, 2025</t>
  </si>
  <si>
    <t>Oct 8, 2025</t>
  </si>
  <si>
    <t>ORIG CO NAME:TOUCH-BASE LIMIT ORIG ID:770510487C DESC DATE: CO ENTRY DESCR:IAT P</t>
  </si>
  <si>
    <t>Oct 9, 2025</t>
  </si>
  <si>
    <t>ORIG CO NAME:PAYPAL ORIG ID:PAYPALSI77 DESC DATE:251008 CO ENTRY DESCR:INST XFER</t>
  </si>
  <si>
    <t>ORIG CO NAME:COX COMM OKC ORIG ID:1581620044 DESC DATE:100825 CO ENTRY DESCR:PUR</t>
  </si>
  <si>
    <t>Oct 10, 2025</t>
  </si>
  <si>
    <t>ONLINE INTERNATIONAL WIRE TRANSFER A/C: BANK OF CHINA LIMITED HEAD OFFICE BEIJIN</t>
  </si>
  <si>
    <t>Same-Day ACH Payroll Payment 11191221936 to ######6611</t>
  </si>
  <si>
    <t>ORIG CO NAME:PAYPAL ORIG ID:PAYPALSI77 DESC DATE:251010 CO ENTRY DESCR:INST XFER</t>
  </si>
  <si>
    <t>Oct 14, 2025</t>
  </si>
  <si>
    <t>ORIG CO NAME:PAYPAL ORIG ID:PAYPALSI77 DESC DATE:251013 CO ENTRY DESCR:INST XFER</t>
  </si>
  <si>
    <t>ORIG CO NAME:PAYPAL ORIG ID:PAYPALSI77 DESC DATE:251012 CO ENTRY DESCR:INST XFER</t>
  </si>
  <si>
    <t>Oct 16, 2025</t>
  </si>
  <si>
    <t>ORIG CO NAME:PAYPAL ORIG ID:PAYPALSI77 DESC DATE:251015 CO ENTRY DESCR:INST XFER</t>
  </si>
  <si>
    <t>Oct 17, 2025</t>
  </si>
  <si>
    <t>ORIG CO NAME:PAYPAL ORIG ID:PAYPALSI77 DESC DATE:251016 CO ENTRY DESCR:INST XFER</t>
  </si>
  <si>
    <t>Oct 20, 2025</t>
  </si>
  <si>
    <t>ORIG CO NAME:Comp Source Mut ORIG ID:F800146791 DESC DATE:251017 CO ENTRY DESCR:</t>
  </si>
  <si>
    <t>ORIG CO NAME:PAYPAL ORIG ID:PAYPALSI77 DESC DATE:251017 CO ENTRY DESCR:INST XFER</t>
  </si>
  <si>
    <t>ORIG CO NAME:WASTE CONNECTION ORIG ID:9510013001 DESC DATE:OCT 25 CO ENTRY DESCR</t>
  </si>
  <si>
    <t>Oct 21, 2025</t>
  </si>
  <si>
    <t>ORIG CO NAME:TOYOTA ACH LEASE ORIG ID:3953775816 DESC DATE: CO ENTRY DESCR:10202</t>
  </si>
  <si>
    <t>Oct 22, 2025</t>
  </si>
  <si>
    <t>ORIG CO NAME:PAYPAL ORIG ID:PAYPALSI77 DESC DATE:251021 CO ENTRY DESCR:INST XFER</t>
  </si>
  <si>
    <t>Oct 23, 2025</t>
  </si>
  <si>
    <t>ORIG CO NAME:PAYPAL ORIG ID:PAYPALSI77 DESC DATE:251022 CO ENTRY DESCR:INST XFER</t>
  </si>
  <si>
    <t>Oct 24, 2025</t>
  </si>
  <si>
    <t>ORIG CO NAME:PAYPAL ORIG ID:PAYPALSI77 DESC DATE:251024 CO ENTRY DESCR:INST XFER</t>
  </si>
  <si>
    <t>Oct 27, 2025</t>
  </si>
  <si>
    <t>ORIG CO NAME:ATT ORIG ID:9864031004 DESC DATE:102425 CO ENTRY DESCR:PAYMENT SEC:</t>
  </si>
  <si>
    <t>Oct 28, 2025</t>
  </si>
  <si>
    <t>ORIG CO NAME:PAYPAL ORIG ID:PAYPALSI77 DESC DATE:251028 CO ENTRY DESCR:INST XFER</t>
  </si>
  <si>
    <t>Oct 29, 2025</t>
  </si>
  <si>
    <t xml:space="preserve">ORIG CO NAME:PAYPAL ORIG ID:PAYPALSD11 DESC DATE:251028 CO ENTRY DESCR:TRANSFER </t>
  </si>
  <si>
    <t>Oct 30, 2025</t>
  </si>
  <si>
    <t>ORIG CO NAME:PAYPAL ORIG ID:PAYPALSI77 DESC DATE:251029 CO ENTRY DESCR:INST XFER</t>
  </si>
  <si>
    <t>ORIG CO NAME:HUBSPOT INC. ORIG ID:8263863381 DESC DATE: CO ENTRY DESCR:J2691 RCU</t>
  </si>
  <si>
    <t>Oct 31, 2025</t>
  </si>
  <si>
    <t>Nov 3, 2025</t>
  </si>
  <si>
    <t>ORIG CO NAME:ENVATO ORIG ID:770510487C DESC DATE: CO ENTRY DESCR:IAT PAYPALSEC:W</t>
  </si>
  <si>
    <t>Nov 4, 2025</t>
  </si>
  <si>
    <t>Same-Day ACH Payment 11194246739 to Heritage (_#######6895)</t>
  </si>
  <si>
    <t>Same-Day ACH Payroll Payment 11194236878 to ######6611</t>
  </si>
  <si>
    <t>ORIG CO NAME:JP MORGAN CHASE ORIG ID:36-0899825 DESC DATE:110325 CO ENTRY DESCR:</t>
  </si>
  <si>
    <t>Nov 5, 2025</t>
  </si>
  <si>
    <t>ORIG CO NAME:PAYPAL ORIG ID:PAYPALSI77 DESC DATE:251104 CO ENTRY DESCR:INST XFER</t>
  </si>
  <si>
    <t>Nov 6, 2025</t>
  </si>
  <si>
    <t>ORIG CO NAME:B. LENOIR-WELTER ORIG ID:770510487C DESC DATE: CO ENTRY DESCR:IAT P</t>
  </si>
  <si>
    <t>ORIG CO NAME:PAYPAL ORIG ID:PAYPALSI77 DESC DATE:251106 CO ENTRY DESCR:INST XFER</t>
  </si>
  <si>
    <t>Nov 7, 2025</t>
  </si>
  <si>
    <t>Nov 10, 2025</t>
  </si>
  <si>
    <t>ORIG CO NAME:PAYPAL ORIG ID:PAYPALSI77 DESC DATE:251110 CO ENTRY DESCR:INST XFER</t>
  </si>
  <si>
    <t>ORIG CO NAME:OKC ORIG ID:0000007041 DESC DATE:251110 CO ENTRY DESCR:UTILITY SEC:</t>
  </si>
  <si>
    <t>ORIG CO NAME:PAYPAL ORIG ID:PAYPALSI77 DESC DATE:251108 CO ENTRY DESCR:INST XFER</t>
  </si>
  <si>
    <t>ORIG CO NAME:PAYPAL ORIG ID:PAYPALSI77 DESC DATE:251107 CO ENTRY DESCR:INST XFER</t>
  </si>
  <si>
    <t>Nov 12, 2025</t>
  </si>
  <si>
    <t>ORIG CO NAME:COX COMM OKC ORIG ID:1581620044 DESC DATE:111025 CO ENTRY DESCR:PUR</t>
  </si>
  <si>
    <t>ORIG CO NAME:PAYPAL ORIG ID:PAYPALSI77 DESC DATE:251111 CO ENTRY DESCR:INST XFER</t>
  </si>
  <si>
    <t>Nov 13, 2025</t>
  </si>
  <si>
    <t>ORIG CO NAME:PAYPAL ORIG ID:PAYPALSI77 DESC DATE:251112 CO ENTRY DESCR:INST XFER</t>
  </si>
  <si>
    <t>Nov 14, 2025</t>
  </si>
  <si>
    <t>ORIG CO NAME:PAYPAL ORIG ID:PAYPALSI77 DESC DATE:251113 CO ENTRY DESCR:INST XFER</t>
  </si>
  <si>
    <t>Nov 17, 2025</t>
  </si>
  <si>
    <t>ORIG CO NAME:HUBSPOT INC. ORIG ID:8263863381 DESC DATE: CO ENTRY DESCR:J2708 RCU</t>
  </si>
  <si>
    <t>Nov 18, 2025</t>
  </si>
  <si>
    <t>ORIG CO NAME:PAYPAL ORIG ID:PAYPALSI77 DESC DATE:251117 CO ENTRY DESCR:INST XFER</t>
  </si>
  <si>
    <t>ORIG CO NAME:WASTE CONNECTION ORIG ID:9510013001 DESC DATE:NOV 25 CO ENTRY DESCR</t>
  </si>
  <si>
    <t>ORIG CO NAME:Comp Source Mut ORIG ID:F800146791 DESC DATE:251117 CO ENTRY DESCR:</t>
  </si>
  <si>
    <t>Nov 19, 2025</t>
  </si>
  <si>
    <t>Nov 20, 2025</t>
  </si>
  <si>
    <t>ORIG CO NAME:PAYPAL ORIG ID:PAYPALSI77 DESC DATE:251119 CO ENTRY DESCR:INST XFER</t>
  </si>
  <si>
    <t>Nov 21, 2025</t>
  </si>
  <si>
    <t>ORIG CO NAME:TOYOTA ACH LEASE ORIG ID:3953775816 DESC DATE: CO ENTRY DESCR:11202</t>
  </si>
  <si>
    <t>ORIG CO NAME:PAYPAL ORIG ID:PAYPALSI77 DESC DATE:251120 CO ENTRY DESCR:INST XFER</t>
  </si>
  <si>
    <t>Nov 24, 2025</t>
  </si>
  <si>
    <t xml:space="preserve">ORIG CO NAME:PAYPAL ORIG ID:PAYPALSD11 DESC DATE:251122 CO ENTRY DESCR:TRANSFER </t>
  </si>
  <si>
    <t>Nov 25, 2025</t>
  </si>
  <si>
    <t>ORIG CO NAME:PAYPAL ORIG ID:PAYPALSI77 DESC DATE:251124 CO ENTRY DESCR:INST XFER</t>
  </si>
  <si>
    <t>ORIG CO NAME:ATT ORIG ID:9864031004 DESC DATE:112425 CO ENTRY DESCR:PAYMENT SEC:</t>
  </si>
  <si>
    <t>ORIG CO NAME:PAYPAL ORIG ID:PAYPALSI77 DESC DATE:251125 CO ENTRY DESCR:INST XFER</t>
  </si>
  <si>
    <t>Nov 26, 2025</t>
  </si>
  <si>
    <t>Dec 1, 2025</t>
  </si>
  <si>
    <t>Same-Day ACH Payment 11197688732 to Heritage (_#######6895)</t>
  </si>
  <si>
    <t>Dec 2, 2025</t>
  </si>
  <si>
    <t>Online ACH Payment 11197872299 To Recruiter (_#####8692)</t>
  </si>
  <si>
    <t>ORIG CO NAME:JP MORGAN CHASE ORIG ID:36-0899825 DESC DATE:120125 CO ENTRY DESCR:</t>
  </si>
  <si>
    <t xml:space="preserve">Online RealTime payroll payment 11197868703 Payment Id REFERENCE#: 8197868703RX </t>
  </si>
  <si>
    <t>Dec 3, 2025</t>
  </si>
  <si>
    <t>ORIG CO NAME:PAYPAL ORIG ID:PAYPALSI77 DESC DATE:251202 CO ENTRY DESCR:INST XFER</t>
  </si>
  <si>
    <t>Dec 4, 2025</t>
  </si>
  <si>
    <t>ORIG CO NAME:PAYPAL ORIG ID:PAYPALSI77 DESC DATE:251204 CO ENTRY DESCR:INST XFER</t>
  </si>
  <si>
    <t>Dec 5, 2025</t>
  </si>
  <si>
    <t>BOOK TRANSFER CREDIT B/O: JPMORGAN CHASE BANK NA ELGIN IL 60124-7836 US REF: JPM</t>
  </si>
  <si>
    <t>Dec 8, 2025</t>
  </si>
  <si>
    <t>ORIG CO NAME:OKC ORIG ID:0000007041 DESC DATE:251208 CO ENTRY DESCR:UTILITY SEC:</t>
  </si>
  <si>
    <t>ORIG CO NAME:PAYPAL ORIG ID:PAYPALSI77 DESC DATE:251206 CO ENTRY DESCR:INST XFER</t>
  </si>
  <si>
    <t>ONLINE INTERNATIONAL WIRE TRANSFER A/C: FOREIGN CUR BUS ACCT BK 1 COLUMBUS NEWAR</t>
  </si>
  <si>
    <t>Dec 9, 2025</t>
  </si>
  <si>
    <t>ORIG CO NAME:PAYPAL ORIG ID:PAYPALSI77 DESC DATE:251208 CO ENTRY DESCR:INST XFER</t>
  </si>
  <si>
    <t>ORIG CO NAME:COX COMM OKC ORIG ID:1581620044 DESC DATE:120825 CO ENTRY DESCR:PUR</t>
  </si>
  <si>
    <t>Dec 10, 2025</t>
  </si>
  <si>
    <t>ORIG CO NAME:PAYPAL ORIG ID:PAYPALSI77 DESC DATE:251209 CO ENTRY DESCR:INST XFER</t>
  </si>
  <si>
    <t>Dec 11, 2025</t>
  </si>
  <si>
    <t>ORIG CO NAME:PAYPAL ORIG ID:PAYPALSI77 DESC DATE:251210 CO ENTRY DESCR:INST XFER</t>
  </si>
  <si>
    <t>Dec 12, 2025</t>
  </si>
  <si>
    <t>ORIG CO NAME:PAYPAL ORIG ID:PAYPALSI77 DESC DATE:251211 CO ENTRY DESCR:INST XFER</t>
  </si>
  <si>
    <t>ORIG CO NAME:PAYPAL ORIG ID:PAYPALSI77 DESC DATE: CO ENTRY DESCR:INST XFER SEC:W</t>
  </si>
  <si>
    <t xml:space="preserve">ORIG CO NAME:PAYPAL ORIG ID:PAYPALSD11 DESC DATE:251211 CO ENTRY DESCR:TRANSFER </t>
  </si>
  <si>
    <t>Dec 15, 2025</t>
  </si>
  <si>
    <t xml:space="preserve">ORIG CO NAME:PAYPAL ORIG ID:PAYPALSD11 DESC DATE:251212 CO ENTRY DESCR:TRANSFER </t>
  </si>
  <si>
    <t>ORIG CO NAME:PAYPAL ORIG ID:PAYPALSI77 DESC DATE:251212 CO ENTRY DESCR:INST XFER</t>
  </si>
  <si>
    <t>Dec 16, 2025</t>
  </si>
  <si>
    <t>ORIG CO NAME:HUBSPOT INC. ORIG ID:8263863381 DESC DATE: CO ENTRY DESCR:J2738 RCU</t>
  </si>
  <si>
    <t>ORIG CO NAME:PAYPAL ORIG ID:PAYPALSI77 DESC DATE:251215 CO ENTRY DESCR:INST XFER</t>
  </si>
  <si>
    <t>Dec 17, 2025</t>
  </si>
  <si>
    <t>ORIG CO NAME:PAYPAL ORIG ID:PAYPALSI77 DESC DATE:251216 CO ENTRY DESCR:INST XFER</t>
  </si>
  <si>
    <t>Online ACH Payment 11199874482 To RS (_####6744)</t>
  </si>
  <si>
    <t>Dec 18, 2025</t>
  </si>
  <si>
    <t>ORIG CO NAME:Comp Source Mut ORIG ID:F800146791 DESC DATE:251217 CO ENTRY DESCR:</t>
  </si>
  <si>
    <t>ORIG CO NAME:ADA MAZUREK ORIG ID:770510487C DESC DATE: CO ENTRY DESCR:IAT PAYPAL</t>
  </si>
  <si>
    <t>ORIG CO NAME:WASTE CONNECTION ORIG ID:9510013001 DESC DATE:DEC 25 CO ENTRY DESCR</t>
  </si>
  <si>
    <t>ORIG CO NAME:PAYPAL ORIG ID:PAYPALSI77 DESC DATE:251217 CO ENTRY DESCR:INST XFER</t>
  </si>
  <si>
    <t>Dec 19, 2025</t>
  </si>
  <si>
    <t>Dec 22, 2025</t>
  </si>
  <si>
    <t>ORIG CO NAME:PAYPAL ORIG ID:PAYPALSI77 DESC DATE:251220 CO ENTRY DESCR:INST XFER</t>
  </si>
  <si>
    <t>Dec 23, 2025</t>
  </si>
  <si>
    <t>ORIG CO NAME:TOYOTA ACH LEASE ORIG ID:3953775816 DESC DATE: CO ENTRY DESCR:12202</t>
  </si>
  <si>
    <t>ORIG CO NAME:PAYPAL ORIG ID:PAYPALSI77 DESC DATE:251223 CO ENTRY DESCR:INST XFER</t>
  </si>
  <si>
    <t>Dec 24, 2025</t>
  </si>
  <si>
    <t>Dec 26, 2025</t>
  </si>
  <si>
    <t>ORIG CO NAME:ATT ORIG ID:9864031004 DESC DATE:122425 CO ENTRY DESCR:PAYMENT SEC:</t>
  </si>
  <si>
    <t>Same-Day ACH Payroll Payment 11201108073 to ######6611</t>
  </si>
  <si>
    <t>ORIG CO NAME:PAYPAL ORIG ID:PAYPALSI77 DESC DATE:251226 CO ENTRY DESCR:INST XFER</t>
  </si>
  <si>
    <t>Dec 29, 2025</t>
  </si>
  <si>
    <t>Dec 31, 2025</t>
  </si>
  <si>
    <t>ORIG CO NAME:PAYPAL ORIG ID:PAYPALSI77 DESC DATE:251230 CO ENTRY DESCR:INST XFER</t>
  </si>
  <si>
    <t>Total Transactions: 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</si>
</sst>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.00;&quot;($&quot;#,##0.00\);\-"/>
    <numFmt numFmtId="166" formatCode="0.0%"/>
  </numFmts>
  <fonts count="13" x14ac:knownFonts="1">
    <font>
      <sz val="11"/>
      <color theme="1"/>
      <name val="Calibri"/>
      <family val="2"/>
      <charset val="1"/>
    </font>
    <font>
      <b/>
      <sz val="18"/>
      <color rgb="FF1B2A4A"/>
      <name val="Arial"/>
      <family val="2"/>
    </font>
    <font>
      <b/>
      <sz val="11"/>
      <color rgb="FF2D2D2D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2"/>
      <color rgb="FF1B2A4A"/>
      <name val="Arial"/>
      <family val="2"/>
    </font>
    <font>
      <sz val="10"/>
      <name val="Arial"/>
      <family val="2"/>
    </font>
    <font>
      <b/>
      <sz val="14"/>
      <color rgb="FF1B2A4A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1B2A4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8" fillId="0" borderId="0" xfId="0" applyFont="1"/>
    <xf numFmtId="3" fontId="6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164" fontId="6" fillId="0" borderId="1" xfId="0" applyNumberFormat="1" applyFont="1" applyBorder="1"/>
    <xf numFmtId="0" fontId="4" fillId="2" borderId="0" xfId="0" applyFont="1" applyFill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indent="1"/>
    </xf>
    <xf numFmtId="0" fontId="7" fillId="0" borderId="1" xfId="0" applyFont="1" applyBorder="1" applyAlignment="1">
      <alignment indent="1"/>
    </xf>
    <xf numFmtId="164" fontId="7" fillId="0" borderId="1" xfId="0" applyNumberFormat="1" applyFont="1" applyBorder="1"/>
    <xf numFmtId="166" fontId="7" fillId="0" borderId="1" xfId="0" applyNumberFormat="1" applyFont="1" applyBorder="1"/>
    <xf numFmtId="0" fontId="0" fillId="0" borderId="1" xfId="0" applyBorder="1"/>
    <xf numFmtId="0" fontId="5" fillId="0" borderId="2" xfId="0" applyFont="1" applyBorder="1"/>
    <xf numFmtId="164" fontId="5" fillId="0" borderId="2" xfId="0" applyNumberFormat="1" applyFont="1" applyBorder="1"/>
    <xf numFmtId="166" fontId="5" fillId="0" borderId="2" xfId="0" applyNumberFormat="1" applyFont="1" applyBorder="1"/>
    <xf numFmtId="0" fontId="0" fillId="0" borderId="2" xfId="0" applyBorder="1"/>
    <xf numFmtId="0" fontId="7" fillId="0" borderId="1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indent="1"/>
    </xf>
    <xf numFmtId="165" fontId="9" fillId="0" borderId="0" xfId="0" applyNumberFormat="1" applyFont="1"/>
    <xf numFmtId="0" fontId="10" fillId="0" borderId="0" xfId="0" applyFont="1"/>
    <xf numFmtId="165" fontId="11" fillId="0" borderId="2" xfId="0" applyNumberFormat="1" applyFont="1" applyBorder="1"/>
    <xf numFmtId="0" fontId="5" fillId="0" borderId="0" xfId="0" applyFont="1"/>
    <xf numFmtId="164" fontId="9" fillId="0" borderId="1" xfId="0" applyNumberFormat="1" applyFont="1" applyBorder="1"/>
    <xf numFmtId="164" fontId="5" fillId="0" borderId="0" xfId="0" applyNumberFormat="1" applyFont="1"/>
    <xf numFmtId="0" fontId="7" fillId="3" borderId="0" xfId="0" applyFont="1" applyFill="1"/>
    <xf numFmtId="0" fontId="12" fillId="3" borderId="0" xfId="0" applyFont="1" applyFill="1"/>
    <xf numFmtId="165" fontId="7" fillId="3" borderId="0" xfId="0" applyNumberFormat="1" applyFont="1" applyFill="1"/>
    <xf numFmtId="164" fontId="7" fillId="3" borderId="0" xfId="0" applyNumberFormat="1" applyFont="1" applyFill="1"/>
    <xf numFmtId="0" fontId="7" fillId="0" borderId="0" xfId="0" applyFont="1"/>
    <xf numFmtId="0" fontId="12" fillId="0" borderId="0" xfId="0" applyFont="1"/>
    <xf numFmtId="165" fontId="7" fillId="0" borderId="0" xfId="0" applyNumberFormat="1" applyFon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F17"/>
      <rgbColor rgb="FF666666"/>
      <rgbColor rgb="FF969696"/>
      <rgbColor rgb="FF1B2A4A"/>
      <rgbColor rgb="FF2E7D32"/>
      <rgbColor rgb="FF003300"/>
      <rgbColor rgb="FF333300"/>
      <rgbColor rgb="FF993300"/>
      <rgbColor rgb="FF993366"/>
      <rgbColor rgb="FF455A64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D28"/>
  <sheetViews>
    <sheetView tabSelected="1" zoomScaleNormal="100" workbookViewId="0">
      <pane ySplit="4" topLeftCell="A5" activePane="bottomLeft" state="frozen"/>
      <selection pane="bottomLeft" sqref="A1:D1"/>
    </sheetView>
  </sheetViews>
  <sheetFormatPr baseColWidth="10" defaultColWidth="8.6640625" defaultRowHeight="15" customHeight="1" x14ac:dyDescent="0.2"/>
  <cols>
    <col min="1" max="1" width="40" customWidth="1"/>
    <col min="2" max="2" width="22" customWidth="1"/>
    <col min="3" max="4" width="12" customWidth="1"/>
  </cols>
  <sheetData>
    <row r="1" spans="1:4" ht="23" x14ac:dyDescent="0.25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8" t="s">
        <v>2</v>
      </c>
      <c r="B3" s="8"/>
      <c r="C3" s="8"/>
      <c r="D3" s="8"/>
    </row>
    <row r="5" spans="1:4" ht="15" customHeight="1" x14ac:dyDescent="0.2">
      <c r="A5" s="7" t="s">
        <v>3</v>
      </c>
      <c r="B5" s="7"/>
      <c r="C5" s="7"/>
      <c r="D5" s="7"/>
    </row>
    <row r="6" spans="1:4" ht="16" x14ac:dyDescent="0.2">
      <c r="A6" s="12" t="s">
        <v>4</v>
      </c>
      <c r="B6" s="6">
        <v>1128115.5</v>
      </c>
      <c r="C6" s="6"/>
      <c r="D6" s="6"/>
    </row>
    <row r="7" spans="1:4" ht="16" x14ac:dyDescent="0.2">
      <c r="A7" s="12" t="s">
        <v>5</v>
      </c>
      <c r="B7" s="5">
        <v>-656884</v>
      </c>
      <c r="C7" s="5"/>
      <c r="D7" s="5"/>
    </row>
    <row r="8" spans="1:4" ht="16" x14ac:dyDescent="0.2">
      <c r="A8" s="12" t="s">
        <v>6</v>
      </c>
      <c r="B8" s="6">
        <v>109481</v>
      </c>
      <c r="C8" s="6"/>
      <c r="D8" s="6"/>
    </row>
    <row r="9" spans="1:4" ht="16" x14ac:dyDescent="0.2">
      <c r="A9" s="12" t="s">
        <v>7</v>
      </c>
      <c r="B9" s="4" t="s">
        <v>8</v>
      </c>
      <c r="C9" s="4"/>
      <c r="D9" s="4"/>
    </row>
    <row r="10" spans="1:4" ht="16" x14ac:dyDescent="0.2">
      <c r="A10" s="12" t="s">
        <v>9</v>
      </c>
      <c r="B10" s="6">
        <v>1825000</v>
      </c>
      <c r="C10" s="6"/>
      <c r="D10" s="6"/>
    </row>
    <row r="11" spans="1:4" ht="16" x14ac:dyDescent="0.2">
      <c r="A11" s="12" t="s">
        <v>10</v>
      </c>
      <c r="B11" s="3">
        <v>12</v>
      </c>
      <c r="C11" s="3"/>
      <c r="D11" s="3"/>
    </row>
    <row r="12" spans="1:4" ht="16" x14ac:dyDescent="0.2">
      <c r="A12" s="12" t="s">
        <v>11</v>
      </c>
      <c r="B12" s="4" t="s">
        <v>12</v>
      </c>
      <c r="C12" s="4"/>
      <c r="D12" s="4"/>
    </row>
    <row r="14" spans="1:4" ht="15" customHeight="1" x14ac:dyDescent="0.2">
      <c r="A14" s="7" t="s">
        <v>13</v>
      </c>
      <c r="B14" s="7"/>
      <c r="C14" s="7"/>
      <c r="D14" s="7"/>
    </row>
    <row r="15" spans="1:4" x14ac:dyDescent="0.2">
      <c r="A15" s="13" t="s">
        <v>14</v>
      </c>
      <c r="B15" s="14">
        <v>310282</v>
      </c>
      <c r="C15" s="15">
        <f>B15/B20</f>
        <v>0.43999398748716667</v>
      </c>
      <c r="D15" s="16"/>
    </row>
    <row r="16" spans="1:4" x14ac:dyDescent="0.2">
      <c r="A16" s="13" t="s">
        <v>15</v>
      </c>
      <c r="B16" s="14">
        <v>227373</v>
      </c>
      <c r="C16" s="15">
        <f>B16/B20</f>
        <v>0.32242525482277268</v>
      </c>
      <c r="D16" s="16"/>
    </row>
    <row r="17" spans="1:4" x14ac:dyDescent="0.2">
      <c r="A17" s="13" t="s">
        <v>16</v>
      </c>
      <c r="B17" s="14">
        <v>29125</v>
      </c>
      <c r="C17" s="15">
        <f>B17/B20</f>
        <v>4.1300574592028315E-2</v>
      </c>
      <c r="D17" s="16"/>
    </row>
    <row r="18" spans="1:4" x14ac:dyDescent="0.2">
      <c r="A18" s="13" t="s">
        <v>17</v>
      </c>
      <c r="B18" s="14">
        <v>20500</v>
      </c>
      <c r="C18" s="15">
        <f>B18/B20</f>
        <v>2.9069932330869717E-2</v>
      </c>
      <c r="D18" s="16"/>
    </row>
    <row r="19" spans="1:4" x14ac:dyDescent="0.2">
      <c r="A19" s="13" t="s">
        <v>18</v>
      </c>
      <c r="B19" s="14">
        <v>117916</v>
      </c>
      <c r="C19" s="15">
        <f>B19/B20</f>
        <v>0.16721025076716262</v>
      </c>
      <c r="D19" s="16"/>
    </row>
    <row r="20" spans="1:4" x14ac:dyDescent="0.2">
      <c r="A20" s="17" t="s">
        <v>19</v>
      </c>
      <c r="B20" s="18">
        <f>SUM(B15:B19)</f>
        <v>705196</v>
      </c>
      <c r="C20" s="19">
        <v>1</v>
      </c>
      <c r="D20" s="20"/>
    </row>
    <row r="22" spans="1:4" ht="15" customHeight="1" x14ac:dyDescent="0.2">
      <c r="A22" s="7" t="s">
        <v>20</v>
      </c>
      <c r="B22" s="7"/>
      <c r="C22" s="7"/>
      <c r="D22" s="7"/>
    </row>
    <row r="23" spans="1:4" x14ac:dyDescent="0.2">
      <c r="A23" s="21" t="s">
        <v>21</v>
      </c>
      <c r="B23" s="14">
        <v>1766831</v>
      </c>
      <c r="C23" s="16"/>
      <c r="D23" s="16"/>
    </row>
    <row r="24" spans="1:4" x14ac:dyDescent="0.2">
      <c r="A24" s="21" t="s">
        <v>22</v>
      </c>
      <c r="B24" s="14">
        <v>1604526</v>
      </c>
      <c r="C24" s="16"/>
      <c r="D24" s="16"/>
    </row>
    <row r="25" spans="1:4" x14ac:dyDescent="0.2">
      <c r="A25" s="21" t="s">
        <v>23</v>
      </c>
      <c r="B25" s="14">
        <v>1471470</v>
      </c>
      <c r="C25" s="16"/>
      <c r="D25" s="16"/>
    </row>
    <row r="26" spans="1:4" x14ac:dyDescent="0.2">
      <c r="A26" s="21" t="s">
        <v>24</v>
      </c>
      <c r="B26" s="14">
        <v>1351992</v>
      </c>
      <c r="C26" s="16"/>
      <c r="D26" s="16"/>
    </row>
    <row r="27" spans="1:4" x14ac:dyDescent="0.2">
      <c r="A27" s="21" t="s">
        <v>25</v>
      </c>
      <c r="B27" s="14">
        <v>1273173</v>
      </c>
      <c r="C27" s="16"/>
      <c r="D27" s="16"/>
    </row>
    <row r="28" spans="1:4" x14ac:dyDescent="0.2">
      <c r="A28" s="21" t="s">
        <v>26</v>
      </c>
      <c r="B28" s="14">
        <v>1128116</v>
      </c>
      <c r="C28" s="16"/>
      <c r="D28" s="16"/>
    </row>
  </sheetData>
  <mergeCells count="13">
    <mergeCell ref="B12:D12"/>
    <mergeCell ref="A14:D14"/>
    <mergeCell ref="A22:D22"/>
    <mergeCell ref="B7:D7"/>
    <mergeCell ref="B8:D8"/>
    <mergeCell ref="B9:D9"/>
    <mergeCell ref="B10:D10"/>
    <mergeCell ref="B11:D11"/>
    <mergeCell ref="A1:D1"/>
    <mergeCell ref="A2:D2"/>
    <mergeCell ref="A3:D3"/>
    <mergeCell ref="A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C23"/>
  <sheetViews>
    <sheetView zoomScaleNormal="100" workbookViewId="0">
      <pane ySplit="4" topLeftCell="A5" activePane="bottomLeft" state="frozen"/>
      <selection pane="bottomLeft" sqref="A1:C1"/>
    </sheetView>
  </sheetViews>
  <sheetFormatPr baseColWidth="10" defaultColWidth="8.6640625" defaultRowHeight="15" customHeight="1" x14ac:dyDescent="0.2"/>
  <cols>
    <col min="1" max="1" width="42" customWidth="1"/>
    <col min="2" max="2" width="22" customWidth="1"/>
    <col min="3" max="3" width="30" customWidth="1"/>
  </cols>
  <sheetData>
    <row r="1" spans="1:3" ht="18" x14ac:dyDescent="0.2">
      <c r="A1" s="2" t="s">
        <v>27</v>
      </c>
      <c r="B1" s="2"/>
      <c r="C1" s="2"/>
    </row>
    <row r="2" spans="1:3" x14ac:dyDescent="0.2">
      <c r="A2" s="1" t="s">
        <v>28</v>
      </c>
      <c r="B2" s="1"/>
      <c r="C2" s="1"/>
    </row>
    <row r="4" spans="1:3" x14ac:dyDescent="0.2">
      <c r="A4" s="11" t="s">
        <v>29</v>
      </c>
      <c r="B4" s="11" t="s">
        <v>30</v>
      </c>
      <c r="C4" s="11" t="s">
        <v>31</v>
      </c>
    </row>
    <row r="5" spans="1:3" x14ac:dyDescent="0.2">
      <c r="B5" s="22" t="s">
        <v>32</v>
      </c>
    </row>
    <row r="7" spans="1:3" x14ac:dyDescent="0.2">
      <c r="A7" s="23" t="s">
        <v>33</v>
      </c>
      <c r="B7" s="24">
        <v>1128115.5</v>
      </c>
      <c r="C7" s="25" t="s">
        <v>34</v>
      </c>
    </row>
    <row r="8" spans="1:3" x14ac:dyDescent="0.2">
      <c r="A8" s="17" t="s">
        <v>35</v>
      </c>
      <c r="B8" s="26">
        <f>B7</f>
        <v>1128115.5</v>
      </c>
      <c r="C8" s="20"/>
    </row>
    <row r="10" spans="1:3" x14ac:dyDescent="0.2">
      <c r="A10" s="23" t="s">
        <v>36</v>
      </c>
      <c r="B10" s="24">
        <v>30000</v>
      </c>
      <c r="C10" s="25" t="s">
        <v>37</v>
      </c>
    </row>
    <row r="12" spans="1:3" x14ac:dyDescent="0.2">
      <c r="A12" s="17" t="s">
        <v>38</v>
      </c>
      <c r="B12" s="26">
        <f>B8+B10</f>
        <v>1158115.5</v>
      </c>
      <c r="C12" s="20"/>
    </row>
    <row r="14" spans="1:3" x14ac:dyDescent="0.2">
      <c r="B14" s="22" t="s">
        <v>39</v>
      </c>
    </row>
    <row r="16" spans="1:3" x14ac:dyDescent="0.2">
      <c r="A16" s="23" t="s">
        <v>40</v>
      </c>
      <c r="B16" s="24">
        <v>52.32</v>
      </c>
      <c r="C16" s="25" t="s">
        <v>41</v>
      </c>
    </row>
    <row r="17" spans="1:3" x14ac:dyDescent="0.2">
      <c r="A17" s="17" t="s">
        <v>42</v>
      </c>
      <c r="B17" s="26">
        <f>B16</f>
        <v>52.32</v>
      </c>
      <c r="C17" s="20"/>
    </row>
    <row r="19" spans="1:3" x14ac:dyDescent="0.2">
      <c r="A19" s="23" t="s">
        <v>43</v>
      </c>
      <c r="B19" s="24">
        <v>1825000</v>
      </c>
      <c r="C19" s="25" t="s">
        <v>44</v>
      </c>
    </row>
    <row r="20" spans="1:3" x14ac:dyDescent="0.2">
      <c r="A20" s="23" t="s">
        <v>45</v>
      </c>
      <c r="B20" s="24">
        <v>-656884.5</v>
      </c>
      <c r="C20" s="25" t="s">
        <v>46</v>
      </c>
    </row>
    <row r="21" spans="1:3" x14ac:dyDescent="0.2">
      <c r="A21" s="17" t="s">
        <v>47</v>
      </c>
      <c r="B21" s="26">
        <f>B19+B20</f>
        <v>1168115.5</v>
      </c>
      <c r="C21" s="20"/>
    </row>
    <row r="23" spans="1:3" x14ac:dyDescent="0.2">
      <c r="A23" s="17" t="s">
        <v>48</v>
      </c>
      <c r="B23" s="26">
        <f>B17+B21</f>
        <v>1168167.82</v>
      </c>
      <c r="C23" s="20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C44"/>
  <sheetViews>
    <sheetView zoomScaleNormal="100" workbookViewId="0">
      <pane ySplit="4" topLeftCell="A5" activePane="bottomLeft" state="frozen"/>
      <selection pane="bottomLeft" sqref="A1:C1"/>
    </sheetView>
  </sheetViews>
  <sheetFormatPr baseColWidth="10" defaultColWidth="8.6640625" defaultRowHeight="15" customHeight="1" x14ac:dyDescent="0.2"/>
  <cols>
    <col min="1" max="1" width="42" customWidth="1"/>
    <col min="2" max="2" width="22" customWidth="1"/>
    <col min="3" max="3" width="35" customWidth="1"/>
  </cols>
  <sheetData>
    <row r="1" spans="1:3" ht="18" x14ac:dyDescent="0.2">
      <c r="A1" s="2" t="s">
        <v>49</v>
      </c>
      <c r="B1" s="2"/>
      <c r="C1" s="2"/>
    </row>
    <row r="2" spans="1:3" x14ac:dyDescent="0.2">
      <c r="A2" s="1" t="s">
        <v>50</v>
      </c>
      <c r="B2" s="1"/>
      <c r="C2" s="1"/>
    </row>
    <row r="4" spans="1:3" x14ac:dyDescent="0.2">
      <c r="A4" s="11" t="s">
        <v>51</v>
      </c>
      <c r="B4" s="11" t="s">
        <v>30</v>
      </c>
      <c r="C4" s="11" t="s">
        <v>31</v>
      </c>
    </row>
    <row r="5" spans="1:3" x14ac:dyDescent="0.2">
      <c r="A5" s="27" t="s">
        <v>52</v>
      </c>
    </row>
    <row r="6" spans="1:3" x14ac:dyDescent="0.2">
      <c r="A6" s="23" t="s">
        <v>53</v>
      </c>
      <c r="B6" s="24">
        <v>48312</v>
      </c>
    </row>
    <row r="7" spans="1:3" x14ac:dyDescent="0.2">
      <c r="A7" s="17" t="s">
        <v>54</v>
      </c>
      <c r="B7" s="26">
        <f>B6</f>
        <v>48312</v>
      </c>
      <c r="C7" s="20"/>
    </row>
    <row r="9" spans="1:3" x14ac:dyDescent="0.2">
      <c r="A9" s="27" t="s">
        <v>55</v>
      </c>
    </row>
    <row r="11" spans="1:3" x14ac:dyDescent="0.2">
      <c r="A11" s="23" t="s">
        <v>56</v>
      </c>
      <c r="B11" s="24">
        <v>166263</v>
      </c>
      <c r="C11" s="25" t="s">
        <v>57</v>
      </c>
    </row>
    <row r="12" spans="1:3" x14ac:dyDescent="0.2">
      <c r="A12" s="23" t="s">
        <v>58</v>
      </c>
      <c r="B12" s="24">
        <v>137663</v>
      </c>
      <c r="C12" s="25" t="s">
        <v>59</v>
      </c>
    </row>
    <row r="13" spans="1:3" x14ac:dyDescent="0.2">
      <c r="A13" s="23" t="s">
        <v>60</v>
      </c>
      <c r="B13" s="24">
        <v>4670</v>
      </c>
      <c r="C13" s="25" t="s">
        <v>61</v>
      </c>
    </row>
    <row r="14" spans="1:3" x14ac:dyDescent="0.2">
      <c r="A14" s="23" t="s">
        <v>62</v>
      </c>
      <c r="B14" s="24">
        <v>1686</v>
      </c>
    </row>
    <row r="15" spans="1:3" x14ac:dyDescent="0.2">
      <c r="A15" s="17" t="s">
        <v>63</v>
      </c>
      <c r="B15" s="26">
        <f>SUM(B11:B14)</f>
        <v>310282</v>
      </c>
      <c r="C15" s="20"/>
    </row>
    <row r="17" spans="1:3" x14ac:dyDescent="0.2">
      <c r="A17" s="23" t="s">
        <v>17</v>
      </c>
      <c r="B17" s="24">
        <v>20500</v>
      </c>
      <c r="C17" s="25" t="s">
        <v>64</v>
      </c>
    </row>
    <row r="19" spans="1:3" x14ac:dyDescent="0.2">
      <c r="A19" s="23" t="s">
        <v>65</v>
      </c>
      <c r="B19" s="24">
        <v>22000</v>
      </c>
      <c r="C19" s="25" t="s">
        <v>66</v>
      </c>
    </row>
    <row r="20" spans="1:3" x14ac:dyDescent="0.2">
      <c r="A20" s="23" t="s">
        <v>67</v>
      </c>
      <c r="B20" s="24">
        <v>5565</v>
      </c>
    </row>
    <row r="21" spans="1:3" x14ac:dyDescent="0.2">
      <c r="A21" s="23" t="s">
        <v>68</v>
      </c>
      <c r="B21" s="24">
        <v>344</v>
      </c>
    </row>
    <row r="22" spans="1:3" x14ac:dyDescent="0.2">
      <c r="A22" s="23" t="s">
        <v>69</v>
      </c>
      <c r="B22" s="24">
        <v>475</v>
      </c>
    </row>
    <row r="23" spans="1:3" x14ac:dyDescent="0.2">
      <c r="A23" s="23" t="s">
        <v>70</v>
      </c>
      <c r="B23" s="24">
        <v>741</v>
      </c>
    </row>
    <row r="24" spans="1:3" x14ac:dyDescent="0.2">
      <c r="A24" s="17" t="s">
        <v>71</v>
      </c>
      <c r="B24" s="26">
        <f>SUM(B19:B23)</f>
        <v>29125</v>
      </c>
      <c r="C24" s="20"/>
    </row>
    <row r="26" spans="1:3" x14ac:dyDescent="0.2">
      <c r="A26" s="23" t="s">
        <v>72</v>
      </c>
      <c r="B26" s="24">
        <v>40251</v>
      </c>
      <c r="C26" s="25" t="s">
        <v>73</v>
      </c>
    </row>
    <row r="27" spans="1:3" x14ac:dyDescent="0.2">
      <c r="A27" s="23" t="s">
        <v>74</v>
      </c>
      <c r="B27" s="24">
        <v>96193</v>
      </c>
      <c r="C27" s="25" t="s">
        <v>75</v>
      </c>
    </row>
    <row r="28" spans="1:3" x14ac:dyDescent="0.2">
      <c r="A28" s="23" t="s">
        <v>76</v>
      </c>
      <c r="B28" s="24">
        <v>7937</v>
      </c>
    </row>
    <row r="29" spans="1:3" x14ac:dyDescent="0.2">
      <c r="A29" s="23" t="s">
        <v>77</v>
      </c>
      <c r="B29" s="24">
        <v>8191</v>
      </c>
    </row>
    <row r="30" spans="1:3" x14ac:dyDescent="0.2">
      <c r="A30" s="23" t="s">
        <v>78</v>
      </c>
      <c r="B30" s="24">
        <v>12978</v>
      </c>
      <c r="C30" s="25" t="s">
        <v>79</v>
      </c>
    </row>
    <row r="31" spans="1:3" x14ac:dyDescent="0.2">
      <c r="A31" s="23" t="s">
        <v>80</v>
      </c>
      <c r="B31" s="24">
        <v>1896</v>
      </c>
    </row>
    <row r="32" spans="1:3" x14ac:dyDescent="0.2">
      <c r="A32" s="23" t="s">
        <v>81</v>
      </c>
      <c r="B32" s="24">
        <v>50147</v>
      </c>
      <c r="C32" s="25" t="s">
        <v>82</v>
      </c>
    </row>
    <row r="33" spans="1:3" x14ac:dyDescent="0.2">
      <c r="A33" s="23" t="s">
        <v>83</v>
      </c>
      <c r="B33" s="24">
        <v>9780</v>
      </c>
    </row>
    <row r="34" spans="1:3" x14ac:dyDescent="0.2">
      <c r="A34" s="17" t="s">
        <v>84</v>
      </c>
      <c r="B34" s="26">
        <f>SUM(B26:B33)</f>
        <v>227373</v>
      </c>
      <c r="C34" s="20"/>
    </row>
    <row r="36" spans="1:3" x14ac:dyDescent="0.2">
      <c r="A36" s="23" t="s">
        <v>85</v>
      </c>
      <c r="B36" s="24">
        <v>21553</v>
      </c>
    </row>
    <row r="37" spans="1:3" x14ac:dyDescent="0.2">
      <c r="A37" s="23" t="s">
        <v>86</v>
      </c>
      <c r="B37" s="24">
        <v>6861</v>
      </c>
      <c r="C37" s="25" t="s">
        <v>87</v>
      </c>
    </row>
    <row r="38" spans="1:3" x14ac:dyDescent="0.2">
      <c r="A38" s="23" t="s">
        <v>88</v>
      </c>
      <c r="B38" s="24">
        <v>11270</v>
      </c>
      <c r="C38" s="25" t="s">
        <v>89</v>
      </c>
    </row>
    <row r="39" spans="1:3" x14ac:dyDescent="0.2">
      <c r="A39" s="23" t="s">
        <v>90</v>
      </c>
      <c r="B39" s="24">
        <v>78232</v>
      </c>
      <c r="C39" s="25" t="s">
        <v>91</v>
      </c>
    </row>
    <row r="40" spans="1:3" x14ac:dyDescent="0.2">
      <c r="A40" s="17" t="s">
        <v>92</v>
      </c>
      <c r="B40" s="26">
        <f>SUM(B36:B39)</f>
        <v>117916</v>
      </c>
      <c r="C40" s="20"/>
    </row>
    <row r="42" spans="1:3" x14ac:dyDescent="0.2">
      <c r="A42" s="17" t="s">
        <v>93</v>
      </c>
      <c r="B42" s="26">
        <f>B15+B17+B24+B34+B40</f>
        <v>705196</v>
      </c>
      <c r="C42" s="20"/>
    </row>
    <row r="44" spans="1:3" x14ac:dyDescent="0.2">
      <c r="A44" s="17" t="s">
        <v>94</v>
      </c>
      <c r="B44" s="26">
        <f>B7-B42</f>
        <v>-656884</v>
      </c>
      <c r="C44" s="20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7F17"/>
  </sheetPr>
  <dimension ref="A1:E14"/>
  <sheetViews>
    <sheetView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5" customHeight="1" x14ac:dyDescent="0.2"/>
  <cols>
    <col min="1" max="5" width="22" customWidth="1"/>
  </cols>
  <sheetData>
    <row r="1" spans="1:5" ht="18" x14ac:dyDescent="0.2">
      <c r="A1" s="2" t="s">
        <v>95</v>
      </c>
      <c r="B1" s="2"/>
      <c r="C1" s="2"/>
      <c r="D1" s="2"/>
      <c r="E1" s="2"/>
    </row>
    <row r="2" spans="1:5" x14ac:dyDescent="0.2">
      <c r="A2" s="1" t="s">
        <v>96</v>
      </c>
      <c r="B2" s="1"/>
      <c r="C2" s="1"/>
      <c r="D2" s="1"/>
      <c r="E2" s="1"/>
    </row>
    <row r="4" spans="1:5" x14ac:dyDescent="0.2">
      <c r="A4" s="11" t="s">
        <v>97</v>
      </c>
      <c r="B4" s="11" t="s">
        <v>98</v>
      </c>
      <c r="C4" s="11" t="s">
        <v>99</v>
      </c>
      <c r="D4" s="11" t="s">
        <v>100</v>
      </c>
      <c r="E4" s="11" t="s">
        <v>101</v>
      </c>
    </row>
    <row r="5" spans="1:5" x14ac:dyDescent="0.2">
      <c r="A5" s="21" t="s">
        <v>21</v>
      </c>
      <c r="B5" s="28">
        <v>0</v>
      </c>
      <c r="C5" s="28">
        <v>1785000</v>
      </c>
      <c r="D5" s="28">
        <v>18169</v>
      </c>
      <c r="E5" s="14">
        <f t="shared" ref="E5:E10" si="0">B5+C5-D5</f>
        <v>1766831</v>
      </c>
    </row>
    <row r="6" spans="1:5" x14ac:dyDescent="0.2">
      <c r="A6" s="21" t="s">
        <v>22</v>
      </c>
      <c r="B6" s="14">
        <f>E5</f>
        <v>1766831</v>
      </c>
      <c r="C6" s="28">
        <v>15130</v>
      </c>
      <c r="D6" s="28">
        <v>177435</v>
      </c>
      <c r="E6" s="14">
        <f t="shared" si="0"/>
        <v>1604526</v>
      </c>
    </row>
    <row r="7" spans="1:5" x14ac:dyDescent="0.2">
      <c r="A7" s="21" t="s">
        <v>23</v>
      </c>
      <c r="B7" s="14">
        <f>E6</f>
        <v>1604526</v>
      </c>
      <c r="C7" s="28">
        <v>0</v>
      </c>
      <c r="D7" s="28">
        <v>133056</v>
      </c>
      <c r="E7" s="14">
        <f t="shared" si="0"/>
        <v>1471470</v>
      </c>
    </row>
    <row r="8" spans="1:5" x14ac:dyDescent="0.2">
      <c r="A8" s="21" t="s">
        <v>24</v>
      </c>
      <c r="B8" s="14">
        <f>E7</f>
        <v>1471470</v>
      </c>
      <c r="C8" s="28">
        <v>25433</v>
      </c>
      <c r="D8" s="28">
        <v>144911</v>
      </c>
      <c r="E8" s="14">
        <f t="shared" si="0"/>
        <v>1351992</v>
      </c>
    </row>
    <row r="9" spans="1:5" x14ac:dyDescent="0.2">
      <c r="A9" s="21" t="s">
        <v>25</v>
      </c>
      <c r="B9" s="14">
        <f>E8</f>
        <v>1351992</v>
      </c>
      <c r="C9" s="28">
        <v>3420</v>
      </c>
      <c r="D9" s="28">
        <v>82238</v>
      </c>
      <c r="E9" s="14">
        <f t="shared" si="0"/>
        <v>1273174</v>
      </c>
    </row>
    <row r="10" spans="1:5" x14ac:dyDescent="0.2">
      <c r="A10" s="21" t="s">
        <v>26</v>
      </c>
      <c r="B10" s="14">
        <f>E9</f>
        <v>1273174</v>
      </c>
      <c r="C10" s="28">
        <v>4329</v>
      </c>
      <c r="D10" s="28">
        <v>149386</v>
      </c>
      <c r="E10" s="14">
        <f t="shared" si="0"/>
        <v>1128117</v>
      </c>
    </row>
    <row r="11" spans="1:5" x14ac:dyDescent="0.2">
      <c r="A11" s="17" t="s">
        <v>102</v>
      </c>
      <c r="B11" s="20"/>
      <c r="C11" s="18">
        <f>SUM(C5:C10)</f>
        <v>1833312</v>
      </c>
      <c r="D11" s="18">
        <f>SUM(D5:D10)</f>
        <v>705195</v>
      </c>
      <c r="E11" s="18">
        <f>E10</f>
        <v>1128117</v>
      </c>
    </row>
    <row r="13" spans="1:5" x14ac:dyDescent="0.2">
      <c r="A13" s="27" t="s">
        <v>103</v>
      </c>
      <c r="B13" s="29">
        <f>D11-C11</f>
        <v>-1128117</v>
      </c>
    </row>
    <row r="14" spans="1:5" x14ac:dyDescent="0.2">
      <c r="A14" s="27" t="s">
        <v>104</v>
      </c>
      <c r="B14" s="29">
        <f>B13/6</f>
        <v>-188019.5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A1:C17"/>
  <sheetViews>
    <sheetView zoomScaleNormal="100" workbookViewId="0">
      <pane ySplit="4" topLeftCell="A5" activePane="bottomLeft" state="frozen"/>
      <selection pane="bottomLeft" sqref="A1:C1"/>
    </sheetView>
  </sheetViews>
  <sheetFormatPr baseColWidth="10" defaultColWidth="8.6640625" defaultRowHeight="15" customHeight="1" x14ac:dyDescent="0.2"/>
  <cols>
    <col min="1" max="1" width="42" customWidth="1"/>
    <col min="2" max="2" width="20" customWidth="1"/>
    <col min="3" max="3" width="14" customWidth="1"/>
  </cols>
  <sheetData>
    <row r="1" spans="1:3" ht="18" x14ac:dyDescent="0.2">
      <c r="A1" s="2" t="s">
        <v>105</v>
      </c>
      <c r="B1" s="2"/>
      <c r="C1" s="2"/>
    </row>
    <row r="2" spans="1:3" x14ac:dyDescent="0.2">
      <c r="A2" s="1" t="s">
        <v>106</v>
      </c>
      <c r="B2" s="1"/>
      <c r="C2" s="1"/>
    </row>
    <row r="4" spans="1:3" x14ac:dyDescent="0.2">
      <c r="A4" s="11" t="s">
        <v>107</v>
      </c>
      <c r="B4" s="11" t="s">
        <v>30</v>
      </c>
      <c r="C4" s="11" t="s">
        <v>108</v>
      </c>
    </row>
    <row r="5" spans="1:3" x14ac:dyDescent="0.2">
      <c r="A5" s="13" t="s">
        <v>109</v>
      </c>
      <c r="B5" s="28">
        <v>500000</v>
      </c>
      <c r="C5" s="15">
        <f>B5/B17</f>
        <v>0.27397260273972601</v>
      </c>
    </row>
    <row r="6" spans="1:3" x14ac:dyDescent="0.2">
      <c r="A6" s="13" t="s">
        <v>110</v>
      </c>
      <c r="B6" s="28">
        <v>350000</v>
      </c>
      <c r="C6" s="15">
        <f>B6/B17</f>
        <v>0.19178082191780821</v>
      </c>
    </row>
    <row r="7" spans="1:3" x14ac:dyDescent="0.2">
      <c r="A7" s="13" t="s">
        <v>111</v>
      </c>
      <c r="B7" s="28">
        <v>249960</v>
      </c>
      <c r="C7" s="15">
        <f>B7/B17</f>
        <v>0.13696438356164384</v>
      </c>
    </row>
    <row r="8" spans="1:3" x14ac:dyDescent="0.2">
      <c r="A8" s="13" t="s">
        <v>112</v>
      </c>
      <c r="B8" s="28">
        <v>200000</v>
      </c>
      <c r="C8" s="15">
        <f>B8/B17</f>
        <v>0.1095890410958904</v>
      </c>
    </row>
    <row r="9" spans="1:3" x14ac:dyDescent="0.2">
      <c r="A9" s="13" t="s">
        <v>113</v>
      </c>
      <c r="B9" s="28">
        <v>150040</v>
      </c>
      <c r="C9" s="15">
        <f>B9/B17</f>
        <v>8.2213698630136986E-2</v>
      </c>
    </row>
    <row r="10" spans="1:3" x14ac:dyDescent="0.2">
      <c r="A10" s="13" t="s">
        <v>114</v>
      </c>
      <c r="B10" s="28">
        <v>150000</v>
      </c>
      <c r="C10" s="15">
        <f>B10/B17</f>
        <v>8.2191780821917804E-2</v>
      </c>
    </row>
    <row r="11" spans="1:3" x14ac:dyDescent="0.2">
      <c r="A11" s="13" t="s">
        <v>115</v>
      </c>
      <c r="B11" s="28">
        <v>150000</v>
      </c>
      <c r="C11" s="15">
        <f>B11/B17</f>
        <v>8.2191780821917804E-2</v>
      </c>
    </row>
    <row r="12" spans="1:3" x14ac:dyDescent="0.2">
      <c r="A12" s="13" t="s">
        <v>116</v>
      </c>
      <c r="B12" s="28">
        <v>20000</v>
      </c>
      <c r="C12" s="15">
        <f>B12/B17</f>
        <v>1.0958904109589041E-2</v>
      </c>
    </row>
    <row r="13" spans="1:3" x14ac:dyDescent="0.2">
      <c r="A13" s="13" t="s">
        <v>117</v>
      </c>
      <c r="B13" s="28">
        <v>15000</v>
      </c>
      <c r="C13" s="15">
        <f>B13/B17</f>
        <v>8.21917808219178E-3</v>
      </c>
    </row>
    <row r="14" spans="1:3" x14ac:dyDescent="0.2">
      <c r="A14" s="13" t="s">
        <v>118</v>
      </c>
      <c r="B14" s="28">
        <v>25000</v>
      </c>
      <c r="C14" s="15">
        <f>B14/B17</f>
        <v>1.3698630136986301E-2</v>
      </c>
    </row>
    <row r="15" spans="1:3" x14ac:dyDescent="0.2">
      <c r="A15" s="13" t="s">
        <v>119</v>
      </c>
      <c r="B15" s="28">
        <v>10000</v>
      </c>
      <c r="C15" s="15">
        <f>B15/B17</f>
        <v>5.4794520547945206E-3</v>
      </c>
    </row>
    <row r="16" spans="1:3" x14ac:dyDescent="0.2">
      <c r="A16" s="13" t="s">
        <v>120</v>
      </c>
      <c r="B16" s="28">
        <v>5000</v>
      </c>
      <c r="C16" s="15">
        <f>B16/B17</f>
        <v>2.7397260273972603E-3</v>
      </c>
    </row>
    <row r="17" spans="1:3" x14ac:dyDescent="0.2">
      <c r="A17" s="17" t="s">
        <v>121</v>
      </c>
      <c r="B17" s="18">
        <f>SUM(B5:B16)</f>
        <v>1825000</v>
      </c>
      <c r="C17" s="19">
        <f>SUM(C5:C16)</f>
        <v>0.99999999999999989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55A64"/>
  </sheetPr>
  <dimension ref="A1:F270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customHeight="1" x14ac:dyDescent="0.2"/>
  <cols>
    <col min="1" max="1" width="14" customWidth="1"/>
    <col min="2" max="2" width="80" customWidth="1"/>
    <col min="3" max="3" width="22" customWidth="1"/>
    <col min="4" max="4" width="16" customWidth="1"/>
    <col min="5" max="5" width="18" customWidth="1"/>
  </cols>
  <sheetData>
    <row r="1" spans="1:6" ht="18" x14ac:dyDescent="0.2">
      <c r="A1" s="2" t="s">
        <v>122</v>
      </c>
      <c r="B1" s="2"/>
      <c r="C1" s="2"/>
      <c r="D1" s="2"/>
      <c r="E1" s="2"/>
      <c r="F1" s="2"/>
    </row>
    <row r="2" spans="1:6" x14ac:dyDescent="0.2">
      <c r="A2" s="1" t="s">
        <v>123</v>
      </c>
      <c r="B2" s="1"/>
      <c r="C2" s="1"/>
      <c r="D2" s="1"/>
      <c r="E2" s="1"/>
      <c r="F2" s="1"/>
    </row>
    <row r="4" spans="1:6" x14ac:dyDescent="0.2">
      <c r="A4" s="11" t="s">
        <v>124</v>
      </c>
      <c r="B4" s="11" t="s">
        <v>125</v>
      </c>
      <c r="C4" s="11" t="s">
        <v>126</v>
      </c>
      <c r="D4" s="11" t="s">
        <v>30</v>
      </c>
      <c r="E4" s="11" t="s">
        <v>127</v>
      </c>
    </row>
    <row r="5" spans="1:6" x14ac:dyDescent="0.2">
      <c r="A5" s="30" t="s">
        <v>128</v>
      </c>
      <c r="B5" s="31" t="s">
        <v>129</v>
      </c>
      <c r="C5" s="31" t="s">
        <v>130</v>
      </c>
      <c r="D5" s="32">
        <v>20000</v>
      </c>
      <c r="E5" s="33">
        <v>20000</v>
      </c>
    </row>
    <row r="6" spans="1:6" x14ac:dyDescent="0.2">
      <c r="A6" s="34" t="s">
        <v>131</v>
      </c>
      <c r="B6" s="35" t="s">
        <v>132</v>
      </c>
      <c r="C6" s="35" t="s">
        <v>133</v>
      </c>
      <c r="D6" s="36">
        <v>10000</v>
      </c>
      <c r="E6" s="37">
        <v>30000</v>
      </c>
    </row>
    <row r="7" spans="1:6" x14ac:dyDescent="0.2">
      <c r="A7" s="30" t="s">
        <v>134</v>
      </c>
      <c r="B7" s="31" t="s">
        <v>135</v>
      </c>
      <c r="C7" s="31" t="s">
        <v>136</v>
      </c>
      <c r="D7" s="32">
        <v>249960</v>
      </c>
      <c r="E7" s="33">
        <v>779960</v>
      </c>
    </row>
    <row r="8" spans="1:6" x14ac:dyDescent="0.2">
      <c r="A8" s="34" t="s">
        <v>134</v>
      </c>
      <c r="B8" s="35" t="s">
        <v>137</v>
      </c>
      <c r="C8" s="35" t="s">
        <v>138</v>
      </c>
      <c r="D8" s="36">
        <v>5000</v>
      </c>
      <c r="E8" s="37">
        <v>1135000</v>
      </c>
    </row>
    <row r="9" spans="1:6" x14ac:dyDescent="0.2">
      <c r="A9" s="30" t="s">
        <v>134</v>
      </c>
      <c r="B9" s="31" t="s">
        <v>139</v>
      </c>
      <c r="C9" s="31" t="s">
        <v>136</v>
      </c>
      <c r="D9" s="32">
        <v>500000</v>
      </c>
      <c r="E9" s="33">
        <v>530000</v>
      </c>
    </row>
    <row r="10" spans="1:6" x14ac:dyDescent="0.2">
      <c r="A10" s="34" t="s">
        <v>134</v>
      </c>
      <c r="B10" s="35" t="s">
        <v>140</v>
      </c>
      <c r="C10" s="35" t="s">
        <v>136</v>
      </c>
      <c r="D10" s="36">
        <v>200000</v>
      </c>
      <c r="E10" s="37">
        <v>979960</v>
      </c>
    </row>
    <row r="11" spans="1:6" x14ac:dyDescent="0.2">
      <c r="A11" s="30" t="s">
        <v>134</v>
      </c>
      <c r="B11" s="31" t="s">
        <v>135</v>
      </c>
      <c r="C11" s="31" t="s">
        <v>136</v>
      </c>
      <c r="D11" s="32">
        <v>150040</v>
      </c>
      <c r="E11" s="33">
        <v>1130000</v>
      </c>
    </row>
    <row r="12" spans="1:6" x14ac:dyDescent="0.2">
      <c r="A12" s="34" t="s">
        <v>141</v>
      </c>
      <c r="B12" s="35" t="s">
        <v>142</v>
      </c>
      <c r="C12" s="35" t="s">
        <v>136</v>
      </c>
      <c r="D12" s="36">
        <v>150000</v>
      </c>
      <c r="E12" s="37">
        <v>1285000</v>
      </c>
    </row>
    <row r="13" spans="1:6" x14ac:dyDescent="0.2">
      <c r="A13" s="30" t="s">
        <v>143</v>
      </c>
      <c r="B13" s="31" t="s">
        <v>144</v>
      </c>
      <c r="C13" s="31" t="s">
        <v>136</v>
      </c>
      <c r="D13" s="32">
        <v>350000</v>
      </c>
      <c r="E13" s="33">
        <v>1635000</v>
      </c>
    </row>
    <row r="14" spans="1:6" x14ac:dyDescent="0.2">
      <c r="A14" s="34" t="s">
        <v>145</v>
      </c>
      <c r="B14" s="35" t="s">
        <v>146</v>
      </c>
      <c r="C14" s="35" t="s">
        <v>136</v>
      </c>
      <c r="D14" s="36">
        <v>150000</v>
      </c>
      <c r="E14" s="37">
        <v>1785000</v>
      </c>
    </row>
    <row r="15" spans="1:6" x14ac:dyDescent="0.2">
      <c r="A15" s="30" t="s">
        <v>147</v>
      </c>
      <c r="B15" s="31" t="s">
        <v>148</v>
      </c>
      <c r="C15" s="31" t="s">
        <v>149</v>
      </c>
      <c r="D15" s="32">
        <v>-13836.58</v>
      </c>
      <c r="E15" s="33">
        <v>1771163.42</v>
      </c>
    </row>
    <row r="16" spans="1:6" x14ac:dyDescent="0.2">
      <c r="A16" s="34" t="s">
        <v>150</v>
      </c>
      <c r="B16" s="35" t="s">
        <v>151</v>
      </c>
      <c r="C16" s="35" t="s">
        <v>152</v>
      </c>
      <c r="D16" s="36">
        <v>-2818</v>
      </c>
      <c r="E16" s="37">
        <v>1768345.42</v>
      </c>
    </row>
    <row r="17" spans="1:5" x14ac:dyDescent="0.2">
      <c r="A17" s="30" t="s">
        <v>150</v>
      </c>
      <c r="B17" s="31" t="s">
        <v>153</v>
      </c>
      <c r="C17" s="31" t="s">
        <v>152</v>
      </c>
      <c r="D17" s="32">
        <v>-1514.86</v>
      </c>
      <c r="E17" s="33">
        <v>1766830.56</v>
      </c>
    </row>
    <row r="18" spans="1:5" x14ac:dyDescent="0.2">
      <c r="A18" s="34" t="s">
        <v>154</v>
      </c>
      <c r="B18" s="35" t="s">
        <v>155</v>
      </c>
      <c r="C18" s="35" t="s">
        <v>149</v>
      </c>
      <c r="D18" s="36">
        <v>-26414</v>
      </c>
      <c r="E18" s="37">
        <v>1740416.56</v>
      </c>
    </row>
    <row r="19" spans="1:5" x14ac:dyDescent="0.2">
      <c r="A19" s="30" t="s">
        <v>156</v>
      </c>
      <c r="B19" s="31" t="s">
        <v>157</v>
      </c>
      <c r="C19" s="31" t="s">
        <v>158</v>
      </c>
      <c r="D19" s="32">
        <v>-627.41999999999996</v>
      </c>
      <c r="E19" s="33">
        <v>1739789.14</v>
      </c>
    </row>
    <row r="20" spans="1:5" x14ac:dyDescent="0.2">
      <c r="A20" s="34" t="s">
        <v>156</v>
      </c>
      <c r="B20" s="35" t="s">
        <v>157</v>
      </c>
      <c r="C20" s="35" t="s">
        <v>158</v>
      </c>
      <c r="D20" s="36">
        <v>-198.61</v>
      </c>
      <c r="E20" s="37">
        <v>1739590.53</v>
      </c>
    </row>
    <row r="21" spans="1:5" x14ac:dyDescent="0.2">
      <c r="A21" s="30" t="s">
        <v>159</v>
      </c>
      <c r="B21" s="31" t="s">
        <v>160</v>
      </c>
      <c r="C21" s="31" t="s">
        <v>158</v>
      </c>
      <c r="D21" s="32">
        <v>-140.65</v>
      </c>
      <c r="E21" s="33">
        <v>1738343.1</v>
      </c>
    </row>
    <row r="22" spans="1:5" x14ac:dyDescent="0.2">
      <c r="A22" s="34" t="s">
        <v>159</v>
      </c>
      <c r="B22" s="35" t="s">
        <v>161</v>
      </c>
      <c r="C22" s="35" t="s">
        <v>138</v>
      </c>
      <c r="D22" s="36">
        <v>129.27000000000001</v>
      </c>
      <c r="E22" s="37">
        <v>1739719.8</v>
      </c>
    </row>
    <row r="23" spans="1:5" x14ac:dyDescent="0.2">
      <c r="A23" s="30" t="s">
        <v>159</v>
      </c>
      <c r="B23" s="31" t="s">
        <v>160</v>
      </c>
      <c r="C23" s="31" t="s">
        <v>158</v>
      </c>
      <c r="D23" s="32">
        <v>-1236.05</v>
      </c>
      <c r="E23" s="33">
        <v>1738483.75</v>
      </c>
    </row>
    <row r="24" spans="1:5" x14ac:dyDescent="0.2">
      <c r="A24" s="34" t="s">
        <v>162</v>
      </c>
      <c r="B24" s="35" t="s">
        <v>163</v>
      </c>
      <c r="C24" s="35" t="s">
        <v>158</v>
      </c>
      <c r="D24" s="36">
        <v>-923.26</v>
      </c>
      <c r="E24" s="37">
        <v>1737419.84</v>
      </c>
    </row>
    <row r="25" spans="1:5" x14ac:dyDescent="0.2">
      <c r="A25" s="30" t="s">
        <v>162</v>
      </c>
      <c r="B25" s="31" t="s">
        <v>164</v>
      </c>
      <c r="C25" s="31" t="s">
        <v>149</v>
      </c>
      <c r="D25" s="32">
        <v>-2750</v>
      </c>
      <c r="E25" s="33">
        <v>1734669.84</v>
      </c>
    </row>
    <row r="26" spans="1:5" x14ac:dyDescent="0.2">
      <c r="A26" s="34" t="s">
        <v>165</v>
      </c>
      <c r="B26" s="35" t="s">
        <v>166</v>
      </c>
      <c r="C26" s="35" t="s">
        <v>130</v>
      </c>
      <c r="D26" s="36">
        <v>0.2</v>
      </c>
      <c r="E26" s="37">
        <v>1734670.04</v>
      </c>
    </row>
    <row r="27" spans="1:5" x14ac:dyDescent="0.2">
      <c r="A27" s="30" t="s">
        <v>165</v>
      </c>
      <c r="B27" s="31" t="s">
        <v>166</v>
      </c>
      <c r="C27" s="31" t="s">
        <v>130</v>
      </c>
      <c r="D27" s="32">
        <v>0.06</v>
      </c>
      <c r="E27" s="33">
        <v>1734670.1</v>
      </c>
    </row>
    <row r="28" spans="1:5" x14ac:dyDescent="0.2">
      <c r="A28" s="34" t="s">
        <v>165</v>
      </c>
      <c r="B28" s="35" t="s">
        <v>166</v>
      </c>
      <c r="C28" s="35" t="s">
        <v>152</v>
      </c>
      <c r="D28" s="36">
        <v>-0.26</v>
      </c>
      <c r="E28" s="37">
        <v>1734669.84</v>
      </c>
    </row>
    <row r="29" spans="1:5" x14ac:dyDescent="0.2">
      <c r="A29" s="30" t="s">
        <v>165</v>
      </c>
      <c r="B29" s="31" t="s">
        <v>167</v>
      </c>
      <c r="C29" s="31" t="s">
        <v>168</v>
      </c>
      <c r="D29" s="32">
        <v>-0.03</v>
      </c>
      <c r="E29" s="33">
        <v>1734669.81</v>
      </c>
    </row>
    <row r="30" spans="1:5" x14ac:dyDescent="0.2">
      <c r="A30" s="34" t="s">
        <v>165</v>
      </c>
      <c r="B30" s="35" t="s">
        <v>169</v>
      </c>
      <c r="C30" s="35" t="s">
        <v>168</v>
      </c>
      <c r="D30" s="36">
        <v>-0.05</v>
      </c>
      <c r="E30" s="37">
        <v>1734669.76</v>
      </c>
    </row>
    <row r="31" spans="1:5" x14ac:dyDescent="0.2">
      <c r="A31" s="30" t="s">
        <v>165</v>
      </c>
      <c r="B31" s="31" t="s">
        <v>170</v>
      </c>
      <c r="C31" s="31" t="s">
        <v>168</v>
      </c>
      <c r="D31" s="32">
        <v>-0.05</v>
      </c>
      <c r="E31" s="33">
        <v>1734669.71</v>
      </c>
    </row>
    <row r="32" spans="1:5" x14ac:dyDescent="0.2">
      <c r="A32" s="34" t="s">
        <v>165</v>
      </c>
      <c r="B32" s="35" t="s">
        <v>171</v>
      </c>
      <c r="C32" s="35" t="s">
        <v>168</v>
      </c>
      <c r="D32" s="36">
        <v>-0.04</v>
      </c>
      <c r="E32" s="37">
        <v>1734669.67</v>
      </c>
    </row>
    <row r="33" spans="1:5" x14ac:dyDescent="0.2">
      <c r="A33" s="30" t="s">
        <v>172</v>
      </c>
      <c r="B33" s="31" t="s">
        <v>173</v>
      </c>
      <c r="C33" s="31" t="s">
        <v>158</v>
      </c>
      <c r="D33" s="32">
        <v>-590.09</v>
      </c>
      <c r="E33" s="33">
        <v>1734079.58</v>
      </c>
    </row>
    <row r="34" spans="1:5" x14ac:dyDescent="0.2">
      <c r="A34" s="34" t="s">
        <v>174</v>
      </c>
      <c r="B34" s="35" t="s">
        <v>175</v>
      </c>
      <c r="C34" s="35" t="s">
        <v>168</v>
      </c>
      <c r="D34" s="36">
        <v>-9208.33</v>
      </c>
      <c r="E34" s="37">
        <v>1681085.92</v>
      </c>
    </row>
    <row r="35" spans="1:5" x14ac:dyDescent="0.2">
      <c r="A35" s="30" t="s">
        <v>174</v>
      </c>
      <c r="B35" s="31" t="s">
        <v>176</v>
      </c>
      <c r="C35" s="31" t="s">
        <v>152</v>
      </c>
      <c r="D35" s="32">
        <v>-300</v>
      </c>
      <c r="E35" s="33">
        <v>1680785.92</v>
      </c>
    </row>
    <row r="36" spans="1:5" x14ac:dyDescent="0.2">
      <c r="A36" s="34" t="s">
        <v>174</v>
      </c>
      <c r="B36" s="35" t="s">
        <v>177</v>
      </c>
      <c r="C36" s="35" t="s">
        <v>168</v>
      </c>
      <c r="D36" s="36">
        <v>-9577</v>
      </c>
      <c r="E36" s="37">
        <v>1699502.58</v>
      </c>
    </row>
    <row r="37" spans="1:5" x14ac:dyDescent="0.2">
      <c r="A37" s="30" t="s">
        <v>174</v>
      </c>
      <c r="B37" s="31" t="s">
        <v>178</v>
      </c>
      <c r="C37" s="31" t="s">
        <v>168</v>
      </c>
      <c r="D37" s="32">
        <v>-9208.33</v>
      </c>
      <c r="E37" s="33">
        <v>1690294.25</v>
      </c>
    </row>
    <row r="38" spans="1:5" x14ac:dyDescent="0.2">
      <c r="A38" s="34" t="s">
        <v>174</v>
      </c>
      <c r="B38" s="35" t="s">
        <v>179</v>
      </c>
      <c r="C38" s="35" t="s">
        <v>168</v>
      </c>
      <c r="D38" s="36">
        <v>-25000</v>
      </c>
      <c r="E38" s="37">
        <v>1709079.58</v>
      </c>
    </row>
    <row r="39" spans="1:5" x14ac:dyDescent="0.2">
      <c r="A39" s="30" t="s">
        <v>180</v>
      </c>
      <c r="B39" s="31" t="s">
        <v>181</v>
      </c>
      <c r="C39" s="31" t="s">
        <v>158</v>
      </c>
      <c r="D39" s="32">
        <v>-245.25</v>
      </c>
      <c r="E39" s="33">
        <v>1680540.67</v>
      </c>
    </row>
    <row r="40" spans="1:5" x14ac:dyDescent="0.2">
      <c r="A40" s="34" t="s">
        <v>182</v>
      </c>
      <c r="B40" s="35" t="s">
        <v>183</v>
      </c>
      <c r="C40" s="35" t="s">
        <v>136</v>
      </c>
      <c r="D40" s="36">
        <v>15000</v>
      </c>
      <c r="E40" s="37">
        <v>1695540.67</v>
      </c>
    </row>
    <row r="41" spans="1:5" x14ac:dyDescent="0.2">
      <c r="A41" s="30" t="s">
        <v>182</v>
      </c>
      <c r="B41" s="31" t="s">
        <v>184</v>
      </c>
      <c r="C41" s="31" t="s">
        <v>152</v>
      </c>
      <c r="D41" s="32">
        <v>-10342.75</v>
      </c>
      <c r="E41" s="33">
        <v>1685197.92</v>
      </c>
    </row>
    <row r="42" spans="1:5" x14ac:dyDescent="0.2">
      <c r="A42" s="34" t="s">
        <v>185</v>
      </c>
      <c r="B42" s="35" t="s">
        <v>186</v>
      </c>
      <c r="C42" s="35" t="s">
        <v>152</v>
      </c>
      <c r="D42" s="36">
        <v>-3522.5</v>
      </c>
      <c r="E42" s="37">
        <v>1681675.42</v>
      </c>
    </row>
    <row r="43" spans="1:5" x14ac:dyDescent="0.2">
      <c r="A43" s="30" t="s">
        <v>185</v>
      </c>
      <c r="B43" s="31" t="s">
        <v>187</v>
      </c>
      <c r="C43" s="31" t="s">
        <v>158</v>
      </c>
      <c r="D43" s="32">
        <v>-1917.38</v>
      </c>
      <c r="E43" s="33">
        <v>1679758.04</v>
      </c>
    </row>
    <row r="44" spans="1:5" x14ac:dyDescent="0.2">
      <c r="A44" s="34" t="s">
        <v>185</v>
      </c>
      <c r="B44" s="35" t="s">
        <v>186</v>
      </c>
      <c r="C44" s="35" t="s">
        <v>152</v>
      </c>
      <c r="D44" s="36">
        <v>-232.5</v>
      </c>
      <c r="E44" s="37">
        <v>1679525.54</v>
      </c>
    </row>
    <row r="45" spans="1:5" x14ac:dyDescent="0.2">
      <c r="A45" s="30" t="s">
        <v>185</v>
      </c>
      <c r="B45" s="31" t="s">
        <v>188</v>
      </c>
      <c r="C45" s="31" t="s">
        <v>152</v>
      </c>
      <c r="D45" s="32">
        <v>-95</v>
      </c>
      <c r="E45" s="33">
        <v>1679430.54</v>
      </c>
    </row>
    <row r="46" spans="1:5" x14ac:dyDescent="0.2">
      <c r="A46" s="34" t="s">
        <v>189</v>
      </c>
      <c r="B46" s="35" t="s">
        <v>190</v>
      </c>
      <c r="C46" s="35" t="s">
        <v>152</v>
      </c>
      <c r="D46" s="36">
        <v>-1093.52</v>
      </c>
      <c r="E46" s="37">
        <v>1678337.02</v>
      </c>
    </row>
    <row r="47" spans="1:5" x14ac:dyDescent="0.2">
      <c r="A47" s="30" t="s">
        <v>191</v>
      </c>
      <c r="B47" s="31" t="s">
        <v>186</v>
      </c>
      <c r="C47" s="31" t="s">
        <v>152</v>
      </c>
      <c r="D47" s="32">
        <v>-157.19999999999999</v>
      </c>
      <c r="E47" s="33">
        <v>1678179.82</v>
      </c>
    </row>
    <row r="48" spans="1:5" x14ac:dyDescent="0.2">
      <c r="A48" s="34" t="s">
        <v>191</v>
      </c>
      <c r="B48" s="35" t="s">
        <v>192</v>
      </c>
      <c r="C48" s="35" t="s">
        <v>152</v>
      </c>
      <c r="D48" s="36">
        <v>-95</v>
      </c>
      <c r="E48" s="37">
        <v>1678084.82</v>
      </c>
    </row>
    <row r="49" spans="1:5" x14ac:dyDescent="0.2">
      <c r="A49" s="30" t="s">
        <v>191</v>
      </c>
      <c r="B49" s="31" t="s">
        <v>187</v>
      </c>
      <c r="C49" s="31" t="s">
        <v>158</v>
      </c>
      <c r="D49" s="32">
        <v>-1658.42</v>
      </c>
      <c r="E49" s="33">
        <v>1676426.4</v>
      </c>
    </row>
    <row r="50" spans="1:5" x14ac:dyDescent="0.2">
      <c r="A50" s="34" t="s">
        <v>191</v>
      </c>
      <c r="B50" s="35" t="s">
        <v>193</v>
      </c>
      <c r="C50" s="35" t="s">
        <v>152</v>
      </c>
      <c r="D50" s="36">
        <v>-250</v>
      </c>
      <c r="E50" s="37">
        <v>1676176.4</v>
      </c>
    </row>
    <row r="51" spans="1:5" x14ac:dyDescent="0.2">
      <c r="A51" s="30" t="s">
        <v>194</v>
      </c>
      <c r="B51" s="31" t="s">
        <v>195</v>
      </c>
      <c r="C51" s="31" t="s">
        <v>196</v>
      </c>
      <c r="D51" s="32">
        <v>-7000</v>
      </c>
      <c r="E51" s="33">
        <v>1669176.4</v>
      </c>
    </row>
    <row r="52" spans="1:5" x14ac:dyDescent="0.2">
      <c r="A52" s="34" t="s">
        <v>194</v>
      </c>
      <c r="B52" s="35" t="s">
        <v>184</v>
      </c>
      <c r="C52" s="35" t="s">
        <v>152</v>
      </c>
      <c r="D52" s="36">
        <v>-17357.7</v>
      </c>
      <c r="E52" s="37">
        <v>1651818.7</v>
      </c>
    </row>
    <row r="53" spans="1:5" x14ac:dyDescent="0.2">
      <c r="A53" s="30" t="s">
        <v>197</v>
      </c>
      <c r="B53" s="31" t="s">
        <v>198</v>
      </c>
      <c r="C53" s="31" t="s">
        <v>152</v>
      </c>
      <c r="D53" s="32">
        <v>-11806.97</v>
      </c>
      <c r="E53" s="33">
        <v>1640011.73</v>
      </c>
    </row>
    <row r="54" spans="1:5" x14ac:dyDescent="0.2">
      <c r="A54" s="34" t="s">
        <v>197</v>
      </c>
      <c r="B54" s="35" t="s">
        <v>199</v>
      </c>
      <c r="C54" s="35" t="s">
        <v>158</v>
      </c>
      <c r="D54" s="36">
        <v>-416.96</v>
      </c>
      <c r="E54" s="37">
        <v>1639594.77</v>
      </c>
    </row>
    <row r="55" spans="1:5" x14ac:dyDescent="0.2">
      <c r="A55" s="30" t="s">
        <v>200</v>
      </c>
      <c r="B55" s="31" t="s">
        <v>201</v>
      </c>
      <c r="C55" s="31" t="s">
        <v>196</v>
      </c>
      <c r="D55" s="32">
        <v>-3958.33</v>
      </c>
      <c r="E55" s="33">
        <v>1635523.89</v>
      </c>
    </row>
    <row r="56" spans="1:5" x14ac:dyDescent="0.2">
      <c r="A56" s="34" t="s">
        <v>200</v>
      </c>
      <c r="B56" s="35" t="s">
        <v>202</v>
      </c>
      <c r="C56" s="35" t="s">
        <v>168</v>
      </c>
      <c r="D56" s="36">
        <v>-3958.33</v>
      </c>
      <c r="E56" s="37">
        <v>1631565.56</v>
      </c>
    </row>
    <row r="57" spans="1:5" x14ac:dyDescent="0.2">
      <c r="A57" s="30" t="s">
        <v>200</v>
      </c>
      <c r="B57" s="31" t="s">
        <v>203</v>
      </c>
      <c r="C57" s="31" t="s">
        <v>168</v>
      </c>
      <c r="D57" s="32">
        <v>-4375</v>
      </c>
      <c r="E57" s="33">
        <v>1627190.56</v>
      </c>
    </row>
    <row r="58" spans="1:5" x14ac:dyDescent="0.2">
      <c r="A58" s="34" t="s">
        <v>200</v>
      </c>
      <c r="B58" s="35" t="s">
        <v>204</v>
      </c>
      <c r="C58" s="35" t="s">
        <v>168</v>
      </c>
      <c r="D58" s="36">
        <v>-22000</v>
      </c>
      <c r="E58" s="37">
        <v>1605190.56</v>
      </c>
    </row>
    <row r="59" spans="1:5" x14ac:dyDescent="0.2">
      <c r="A59" s="30" t="s">
        <v>200</v>
      </c>
      <c r="B59" s="31" t="s">
        <v>205</v>
      </c>
      <c r="C59" s="31" t="s">
        <v>196</v>
      </c>
      <c r="D59" s="32">
        <v>-665</v>
      </c>
      <c r="E59" s="33">
        <v>1604525.56</v>
      </c>
    </row>
    <row r="60" spans="1:5" x14ac:dyDescent="0.2">
      <c r="A60" s="34" t="s">
        <v>200</v>
      </c>
      <c r="B60" s="35" t="s">
        <v>186</v>
      </c>
      <c r="C60" s="35" t="s">
        <v>152</v>
      </c>
      <c r="D60" s="36">
        <v>-112.55</v>
      </c>
      <c r="E60" s="37">
        <v>1639482.22</v>
      </c>
    </row>
    <row r="61" spans="1:5" x14ac:dyDescent="0.2">
      <c r="A61" s="30" t="s">
        <v>206</v>
      </c>
      <c r="B61" s="31" t="s">
        <v>184</v>
      </c>
      <c r="C61" s="31" t="s">
        <v>152</v>
      </c>
      <c r="D61" s="32">
        <v>-2693.97</v>
      </c>
      <c r="E61" s="33">
        <v>1591010.36</v>
      </c>
    </row>
    <row r="62" spans="1:5" x14ac:dyDescent="0.2">
      <c r="A62" s="34" t="s">
        <v>206</v>
      </c>
      <c r="B62" s="35" t="s">
        <v>207</v>
      </c>
      <c r="C62" s="35" t="s">
        <v>196</v>
      </c>
      <c r="D62" s="36">
        <v>-571</v>
      </c>
      <c r="E62" s="37">
        <v>1603954.56</v>
      </c>
    </row>
    <row r="63" spans="1:5" x14ac:dyDescent="0.2">
      <c r="A63" s="30" t="s">
        <v>206</v>
      </c>
      <c r="B63" s="31" t="s">
        <v>208</v>
      </c>
      <c r="C63" s="31" t="s">
        <v>196</v>
      </c>
      <c r="D63" s="32">
        <v>-5500</v>
      </c>
      <c r="E63" s="33">
        <v>1598454.56</v>
      </c>
    </row>
    <row r="64" spans="1:5" x14ac:dyDescent="0.2">
      <c r="A64" s="34" t="s">
        <v>206</v>
      </c>
      <c r="B64" s="35" t="s">
        <v>209</v>
      </c>
      <c r="C64" s="35" t="s">
        <v>158</v>
      </c>
      <c r="D64" s="36">
        <v>-3000</v>
      </c>
      <c r="E64" s="37">
        <v>1595454.56</v>
      </c>
    </row>
    <row r="65" spans="1:5" x14ac:dyDescent="0.2">
      <c r="A65" s="30" t="s">
        <v>206</v>
      </c>
      <c r="B65" s="31" t="s">
        <v>210</v>
      </c>
      <c r="C65" s="31" t="s">
        <v>152</v>
      </c>
      <c r="D65" s="32">
        <v>-380</v>
      </c>
      <c r="E65" s="33">
        <v>1595074.5600000001</v>
      </c>
    </row>
    <row r="66" spans="1:5" x14ac:dyDescent="0.2">
      <c r="A66" s="34" t="s">
        <v>206</v>
      </c>
      <c r="B66" s="35" t="s">
        <v>211</v>
      </c>
      <c r="C66" s="35" t="s">
        <v>152</v>
      </c>
      <c r="D66" s="36">
        <v>-245.23</v>
      </c>
      <c r="E66" s="37">
        <v>1594829.33</v>
      </c>
    </row>
    <row r="67" spans="1:5" x14ac:dyDescent="0.2">
      <c r="A67" s="30" t="s">
        <v>206</v>
      </c>
      <c r="B67" s="31" t="s">
        <v>212</v>
      </c>
      <c r="C67" s="31" t="s">
        <v>196</v>
      </c>
      <c r="D67" s="32">
        <v>-1000</v>
      </c>
      <c r="E67" s="33">
        <v>1593829.33</v>
      </c>
    </row>
    <row r="68" spans="1:5" x14ac:dyDescent="0.2">
      <c r="A68" s="34" t="s">
        <v>206</v>
      </c>
      <c r="B68" s="35" t="s">
        <v>213</v>
      </c>
      <c r="C68" s="35" t="s">
        <v>158</v>
      </c>
      <c r="D68" s="36">
        <v>-125</v>
      </c>
      <c r="E68" s="37">
        <v>1593704.33</v>
      </c>
    </row>
    <row r="69" spans="1:5" x14ac:dyDescent="0.2">
      <c r="A69" s="30" t="s">
        <v>214</v>
      </c>
      <c r="B69" s="31" t="s">
        <v>215</v>
      </c>
      <c r="C69" s="31" t="s">
        <v>196</v>
      </c>
      <c r="D69" s="32">
        <v>-9506.92</v>
      </c>
      <c r="E69" s="33">
        <v>1570844.44</v>
      </c>
    </row>
    <row r="70" spans="1:5" x14ac:dyDescent="0.2">
      <c r="A70" s="34" t="s">
        <v>214</v>
      </c>
      <c r="B70" s="35" t="s">
        <v>216</v>
      </c>
      <c r="C70" s="35" t="s">
        <v>158</v>
      </c>
      <c r="D70" s="36">
        <v>-125</v>
      </c>
      <c r="E70" s="37">
        <v>1580351.36</v>
      </c>
    </row>
    <row r="71" spans="1:5" x14ac:dyDescent="0.2">
      <c r="A71" s="30" t="s">
        <v>214</v>
      </c>
      <c r="B71" s="31" t="s">
        <v>217</v>
      </c>
      <c r="C71" s="31" t="s">
        <v>152</v>
      </c>
      <c r="D71" s="32">
        <v>-1869</v>
      </c>
      <c r="E71" s="33">
        <v>1580476.36</v>
      </c>
    </row>
    <row r="72" spans="1:5" x14ac:dyDescent="0.2">
      <c r="A72" s="34" t="s">
        <v>214</v>
      </c>
      <c r="B72" s="35" t="s">
        <v>218</v>
      </c>
      <c r="C72" s="35" t="s">
        <v>152</v>
      </c>
      <c r="D72" s="36">
        <v>-8665</v>
      </c>
      <c r="E72" s="37">
        <v>1582345.36</v>
      </c>
    </row>
    <row r="73" spans="1:5" x14ac:dyDescent="0.2">
      <c r="A73" s="30" t="s">
        <v>219</v>
      </c>
      <c r="B73" s="31" t="s">
        <v>184</v>
      </c>
      <c r="C73" s="31" t="s">
        <v>152</v>
      </c>
      <c r="D73" s="32">
        <v>-16823.43</v>
      </c>
      <c r="E73" s="33">
        <v>1554021.01</v>
      </c>
    </row>
    <row r="74" spans="1:5" x14ac:dyDescent="0.2">
      <c r="A74" s="34" t="s">
        <v>220</v>
      </c>
      <c r="B74" s="35" t="s">
        <v>221</v>
      </c>
      <c r="C74" s="35" t="s">
        <v>158</v>
      </c>
      <c r="D74" s="36">
        <v>-2634.88</v>
      </c>
      <c r="E74" s="37">
        <v>1551386.13</v>
      </c>
    </row>
    <row r="75" spans="1:5" x14ac:dyDescent="0.2">
      <c r="A75" s="30" t="s">
        <v>222</v>
      </c>
      <c r="B75" s="31" t="s">
        <v>223</v>
      </c>
      <c r="C75" s="31" t="s">
        <v>158</v>
      </c>
      <c r="D75" s="32">
        <v>-1519.66</v>
      </c>
      <c r="E75" s="33">
        <v>1549866.47</v>
      </c>
    </row>
    <row r="76" spans="1:5" x14ac:dyDescent="0.2">
      <c r="A76" s="34" t="s">
        <v>222</v>
      </c>
      <c r="B76" s="35" t="s">
        <v>223</v>
      </c>
      <c r="C76" s="35" t="s">
        <v>158</v>
      </c>
      <c r="D76" s="36">
        <v>-650.66</v>
      </c>
      <c r="E76" s="37">
        <v>1549215.81</v>
      </c>
    </row>
    <row r="77" spans="1:5" x14ac:dyDescent="0.2">
      <c r="A77" s="30" t="s">
        <v>224</v>
      </c>
      <c r="B77" s="31" t="s">
        <v>225</v>
      </c>
      <c r="C77" s="31" t="s">
        <v>158</v>
      </c>
      <c r="D77" s="32">
        <v>-3339.08</v>
      </c>
      <c r="E77" s="33">
        <v>1545876.73</v>
      </c>
    </row>
    <row r="78" spans="1:5" x14ac:dyDescent="0.2">
      <c r="A78" s="34" t="s">
        <v>224</v>
      </c>
      <c r="B78" s="35" t="s">
        <v>226</v>
      </c>
      <c r="C78" s="35" t="s">
        <v>196</v>
      </c>
      <c r="D78" s="36">
        <v>-4208.33</v>
      </c>
      <c r="E78" s="37">
        <v>1541668.4</v>
      </c>
    </row>
    <row r="79" spans="1:5" x14ac:dyDescent="0.2">
      <c r="A79" s="30" t="s">
        <v>224</v>
      </c>
      <c r="B79" s="31" t="s">
        <v>227</v>
      </c>
      <c r="C79" s="31" t="s">
        <v>168</v>
      </c>
      <c r="D79" s="32">
        <v>-4625</v>
      </c>
      <c r="E79" s="33">
        <v>1532835.07</v>
      </c>
    </row>
    <row r="80" spans="1:5" x14ac:dyDescent="0.2">
      <c r="A80" s="34" t="s">
        <v>224</v>
      </c>
      <c r="B80" s="35" t="s">
        <v>228</v>
      </c>
      <c r="C80" s="35" t="s">
        <v>168</v>
      </c>
      <c r="D80" s="36">
        <v>-12500</v>
      </c>
      <c r="E80" s="37">
        <v>1520335.07</v>
      </c>
    </row>
    <row r="81" spans="1:5" x14ac:dyDescent="0.2">
      <c r="A81" s="30" t="s">
        <v>224</v>
      </c>
      <c r="B81" s="31" t="s">
        <v>229</v>
      </c>
      <c r="C81" s="31" t="s">
        <v>196</v>
      </c>
      <c r="D81" s="32">
        <v>-150</v>
      </c>
      <c r="E81" s="33">
        <v>1520185.07</v>
      </c>
    </row>
    <row r="82" spans="1:5" x14ac:dyDescent="0.2">
      <c r="A82" s="34" t="s">
        <v>224</v>
      </c>
      <c r="B82" s="35" t="s">
        <v>230</v>
      </c>
      <c r="C82" s="35" t="s">
        <v>196</v>
      </c>
      <c r="D82" s="36">
        <v>-4208.33</v>
      </c>
      <c r="E82" s="37">
        <v>1537460.07</v>
      </c>
    </row>
    <row r="83" spans="1:5" x14ac:dyDescent="0.2">
      <c r="A83" s="30" t="s">
        <v>231</v>
      </c>
      <c r="B83" s="31" t="s">
        <v>232</v>
      </c>
      <c r="C83" s="31" t="s">
        <v>158</v>
      </c>
      <c r="D83" s="32">
        <v>-93.18</v>
      </c>
      <c r="E83" s="33">
        <v>1520091.89</v>
      </c>
    </row>
    <row r="84" spans="1:5" x14ac:dyDescent="0.2">
      <c r="A84" s="34" t="s">
        <v>231</v>
      </c>
      <c r="B84" s="35" t="s">
        <v>184</v>
      </c>
      <c r="C84" s="35" t="s">
        <v>152</v>
      </c>
      <c r="D84" s="36">
        <v>-15024.75</v>
      </c>
      <c r="E84" s="37">
        <v>1505067.14</v>
      </c>
    </row>
    <row r="85" spans="1:5" x14ac:dyDescent="0.2">
      <c r="A85" s="30" t="s">
        <v>233</v>
      </c>
      <c r="B85" s="31" t="s">
        <v>234</v>
      </c>
      <c r="C85" s="31" t="s">
        <v>158</v>
      </c>
      <c r="D85" s="32">
        <v>-87.6</v>
      </c>
      <c r="E85" s="33">
        <v>1504004.27</v>
      </c>
    </row>
    <row r="86" spans="1:5" x14ac:dyDescent="0.2">
      <c r="A86" s="34" t="s">
        <v>233</v>
      </c>
      <c r="B86" s="35" t="s">
        <v>235</v>
      </c>
      <c r="C86" s="35" t="s">
        <v>152</v>
      </c>
      <c r="D86" s="36">
        <v>-718.98</v>
      </c>
      <c r="E86" s="37">
        <v>1504348.1599999999</v>
      </c>
    </row>
    <row r="87" spans="1:5" x14ac:dyDescent="0.2">
      <c r="A87" s="30" t="s">
        <v>233</v>
      </c>
      <c r="B87" s="31" t="s">
        <v>236</v>
      </c>
      <c r="C87" s="31" t="s">
        <v>152</v>
      </c>
      <c r="D87" s="32">
        <v>-256.29000000000002</v>
      </c>
      <c r="E87" s="33">
        <v>1504091.87</v>
      </c>
    </row>
    <row r="88" spans="1:5" x14ac:dyDescent="0.2">
      <c r="A88" s="34" t="s">
        <v>237</v>
      </c>
      <c r="B88" s="35" t="s">
        <v>238</v>
      </c>
      <c r="C88" s="35" t="s">
        <v>158</v>
      </c>
      <c r="D88" s="36">
        <v>-3000</v>
      </c>
      <c r="E88" s="37">
        <v>1501004.27</v>
      </c>
    </row>
    <row r="89" spans="1:5" x14ac:dyDescent="0.2">
      <c r="A89" s="30" t="s">
        <v>239</v>
      </c>
      <c r="B89" s="31" t="s">
        <v>186</v>
      </c>
      <c r="C89" s="31" t="s">
        <v>152</v>
      </c>
      <c r="D89" s="32">
        <v>-319.91000000000003</v>
      </c>
      <c r="E89" s="33">
        <v>1500684.36</v>
      </c>
    </row>
    <row r="90" spans="1:5" x14ac:dyDescent="0.2">
      <c r="A90" s="34" t="s">
        <v>240</v>
      </c>
      <c r="B90" s="35" t="s">
        <v>241</v>
      </c>
      <c r="C90" s="35" t="s">
        <v>152</v>
      </c>
      <c r="D90" s="36">
        <v>-1093.52</v>
      </c>
      <c r="E90" s="37">
        <v>1499590.84</v>
      </c>
    </row>
    <row r="91" spans="1:5" x14ac:dyDescent="0.2">
      <c r="A91" s="30" t="s">
        <v>242</v>
      </c>
      <c r="B91" s="31" t="s">
        <v>243</v>
      </c>
      <c r="C91" s="31" t="s">
        <v>158</v>
      </c>
      <c r="D91" s="32">
        <v>-37.68</v>
      </c>
      <c r="E91" s="33">
        <v>1499553.16</v>
      </c>
    </row>
    <row r="92" spans="1:5" x14ac:dyDescent="0.2">
      <c r="A92" s="34" t="s">
        <v>242</v>
      </c>
      <c r="B92" s="35" t="s">
        <v>243</v>
      </c>
      <c r="C92" s="35" t="s">
        <v>158</v>
      </c>
      <c r="D92" s="36">
        <v>-172.67</v>
      </c>
      <c r="E92" s="37">
        <v>1499380.49</v>
      </c>
    </row>
    <row r="93" spans="1:5" x14ac:dyDescent="0.2">
      <c r="A93" s="30" t="s">
        <v>244</v>
      </c>
      <c r="B93" s="31" t="s">
        <v>243</v>
      </c>
      <c r="C93" s="31" t="s">
        <v>158</v>
      </c>
      <c r="D93" s="32">
        <v>-582.98</v>
      </c>
      <c r="E93" s="33">
        <v>1498797.51</v>
      </c>
    </row>
    <row r="94" spans="1:5" x14ac:dyDescent="0.2">
      <c r="A94" s="34" t="s">
        <v>244</v>
      </c>
      <c r="B94" s="35" t="s">
        <v>245</v>
      </c>
      <c r="C94" s="35" t="s">
        <v>158</v>
      </c>
      <c r="D94" s="36">
        <v>-139.4</v>
      </c>
      <c r="E94" s="37">
        <v>1498658.11</v>
      </c>
    </row>
    <row r="95" spans="1:5" x14ac:dyDescent="0.2">
      <c r="A95" s="30" t="s">
        <v>244</v>
      </c>
      <c r="B95" s="31" t="s">
        <v>216</v>
      </c>
      <c r="C95" s="31" t="s">
        <v>158</v>
      </c>
      <c r="D95" s="32">
        <v>-65</v>
      </c>
      <c r="E95" s="33">
        <v>1498593.11</v>
      </c>
    </row>
    <row r="96" spans="1:5" x14ac:dyDescent="0.2">
      <c r="A96" s="34" t="s">
        <v>246</v>
      </c>
      <c r="B96" s="35" t="s">
        <v>186</v>
      </c>
      <c r="C96" s="35" t="s">
        <v>152</v>
      </c>
      <c r="D96" s="36">
        <v>-305.36</v>
      </c>
      <c r="E96" s="37">
        <v>1498287.75</v>
      </c>
    </row>
    <row r="97" spans="1:5" x14ac:dyDescent="0.2">
      <c r="A97" s="30" t="s">
        <v>247</v>
      </c>
      <c r="B97" s="31" t="s">
        <v>248</v>
      </c>
      <c r="C97" s="31" t="s">
        <v>152</v>
      </c>
      <c r="D97" s="32">
        <v>-250</v>
      </c>
      <c r="E97" s="33">
        <v>1498037.75</v>
      </c>
    </row>
    <row r="98" spans="1:5" x14ac:dyDescent="0.2">
      <c r="A98" s="34" t="s">
        <v>247</v>
      </c>
      <c r="B98" s="35" t="s">
        <v>213</v>
      </c>
      <c r="C98" s="35" t="s">
        <v>158</v>
      </c>
      <c r="D98" s="36">
        <v>-26317.24</v>
      </c>
      <c r="E98" s="37">
        <v>1471720.51</v>
      </c>
    </row>
    <row r="99" spans="1:5" x14ac:dyDescent="0.2">
      <c r="A99" s="30" t="s">
        <v>247</v>
      </c>
      <c r="B99" s="31" t="s">
        <v>249</v>
      </c>
      <c r="C99" s="31" t="s">
        <v>158</v>
      </c>
      <c r="D99" s="32">
        <v>-217.21</v>
      </c>
      <c r="E99" s="33">
        <v>1471503.3</v>
      </c>
    </row>
    <row r="100" spans="1:5" x14ac:dyDescent="0.2">
      <c r="A100" s="34" t="s">
        <v>250</v>
      </c>
      <c r="B100" s="35" t="s">
        <v>251</v>
      </c>
      <c r="C100" s="35" t="s">
        <v>152</v>
      </c>
      <c r="D100" s="36">
        <v>-34.229999999999997</v>
      </c>
      <c r="E100" s="37">
        <v>1471469.07</v>
      </c>
    </row>
    <row r="101" spans="1:5" x14ac:dyDescent="0.2">
      <c r="A101" s="30" t="s">
        <v>252</v>
      </c>
      <c r="B101" s="31" t="s">
        <v>253</v>
      </c>
      <c r="C101" s="31" t="s">
        <v>158</v>
      </c>
      <c r="D101" s="32">
        <v>-386.53</v>
      </c>
      <c r="E101" s="33">
        <v>1471082.54</v>
      </c>
    </row>
    <row r="102" spans="1:5" x14ac:dyDescent="0.2">
      <c r="A102" s="34" t="s">
        <v>252</v>
      </c>
      <c r="B102" s="35" t="s">
        <v>253</v>
      </c>
      <c r="C102" s="35" t="s">
        <v>158</v>
      </c>
      <c r="D102" s="36">
        <v>-312.49</v>
      </c>
      <c r="E102" s="37">
        <v>1470770.05</v>
      </c>
    </row>
    <row r="103" spans="1:5" x14ac:dyDescent="0.2">
      <c r="A103" s="30" t="s">
        <v>252</v>
      </c>
      <c r="B103" s="31" t="s">
        <v>254</v>
      </c>
      <c r="C103" s="31" t="s">
        <v>196</v>
      </c>
      <c r="D103" s="32">
        <v>-5500</v>
      </c>
      <c r="E103" s="33">
        <v>1465270.05</v>
      </c>
    </row>
    <row r="104" spans="1:5" x14ac:dyDescent="0.2">
      <c r="A104" s="34" t="s">
        <v>255</v>
      </c>
      <c r="B104" s="35" t="s">
        <v>256</v>
      </c>
      <c r="C104" s="35" t="s">
        <v>152</v>
      </c>
      <c r="D104" s="36">
        <v>-6712.06</v>
      </c>
      <c r="E104" s="37">
        <v>1482848.66</v>
      </c>
    </row>
    <row r="105" spans="1:5" x14ac:dyDescent="0.2">
      <c r="A105" s="30" t="s">
        <v>255</v>
      </c>
      <c r="B105" s="31" t="s">
        <v>132</v>
      </c>
      <c r="C105" s="31" t="s">
        <v>133</v>
      </c>
      <c r="D105" s="32">
        <v>25000</v>
      </c>
      <c r="E105" s="33">
        <v>1490270.05</v>
      </c>
    </row>
    <row r="106" spans="1:5" x14ac:dyDescent="0.2">
      <c r="A106" s="34" t="s">
        <v>255</v>
      </c>
      <c r="B106" s="35" t="s">
        <v>257</v>
      </c>
      <c r="C106" s="35" t="s">
        <v>152</v>
      </c>
      <c r="D106" s="36">
        <v>-380</v>
      </c>
      <c r="E106" s="37">
        <v>1489890.05</v>
      </c>
    </row>
    <row r="107" spans="1:5" x14ac:dyDescent="0.2">
      <c r="A107" s="30" t="s">
        <v>255</v>
      </c>
      <c r="B107" s="31" t="s">
        <v>258</v>
      </c>
      <c r="C107" s="31" t="s">
        <v>158</v>
      </c>
      <c r="D107" s="32">
        <v>-329.33</v>
      </c>
      <c r="E107" s="33">
        <v>1489560.72</v>
      </c>
    </row>
    <row r="108" spans="1:5" x14ac:dyDescent="0.2">
      <c r="A108" s="34" t="s">
        <v>259</v>
      </c>
      <c r="B108" s="35" t="s">
        <v>260</v>
      </c>
      <c r="C108" s="35" t="s">
        <v>158</v>
      </c>
      <c r="D108" s="36">
        <v>-892.33</v>
      </c>
      <c r="E108" s="37">
        <v>1481956.33</v>
      </c>
    </row>
    <row r="109" spans="1:5" x14ac:dyDescent="0.2">
      <c r="A109" s="30" t="s">
        <v>259</v>
      </c>
      <c r="B109" s="31" t="s">
        <v>184</v>
      </c>
      <c r="C109" s="31" t="s">
        <v>152</v>
      </c>
      <c r="D109" s="32">
        <v>-242.05</v>
      </c>
      <c r="E109" s="33">
        <v>1481714.28</v>
      </c>
    </row>
    <row r="110" spans="1:5" x14ac:dyDescent="0.2">
      <c r="A110" s="34" t="s">
        <v>261</v>
      </c>
      <c r="B110" s="35" t="s">
        <v>262</v>
      </c>
      <c r="C110" s="35" t="s">
        <v>158</v>
      </c>
      <c r="D110" s="36">
        <v>-45.96</v>
      </c>
      <c r="E110" s="37">
        <v>1481668.32</v>
      </c>
    </row>
    <row r="111" spans="1:5" x14ac:dyDescent="0.2">
      <c r="A111" s="30" t="s">
        <v>261</v>
      </c>
      <c r="B111" s="31" t="s">
        <v>263</v>
      </c>
      <c r="C111" s="31" t="s">
        <v>158</v>
      </c>
      <c r="D111" s="32">
        <v>-495.42</v>
      </c>
      <c r="E111" s="33">
        <v>1481172.9</v>
      </c>
    </row>
    <row r="112" spans="1:5" x14ac:dyDescent="0.2">
      <c r="A112" s="34" t="s">
        <v>261</v>
      </c>
      <c r="B112" s="35" t="s">
        <v>263</v>
      </c>
      <c r="C112" s="35" t="s">
        <v>158</v>
      </c>
      <c r="D112" s="36">
        <v>-409.44</v>
      </c>
      <c r="E112" s="37">
        <v>1480763.46</v>
      </c>
    </row>
    <row r="113" spans="1:5" x14ac:dyDescent="0.2">
      <c r="A113" s="30" t="s">
        <v>264</v>
      </c>
      <c r="B113" s="31" t="s">
        <v>263</v>
      </c>
      <c r="C113" s="31" t="s">
        <v>158</v>
      </c>
      <c r="D113" s="32">
        <v>-850.03</v>
      </c>
      <c r="E113" s="33">
        <v>1479913.43</v>
      </c>
    </row>
    <row r="114" spans="1:5" x14ac:dyDescent="0.2">
      <c r="A114" s="34" t="s">
        <v>265</v>
      </c>
      <c r="B114" s="35" t="s">
        <v>266</v>
      </c>
      <c r="C114" s="35" t="s">
        <v>158</v>
      </c>
      <c r="D114" s="36">
        <v>-195</v>
      </c>
      <c r="E114" s="37">
        <v>1479718.43</v>
      </c>
    </row>
    <row r="115" spans="1:5" x14ac:dyDescent="0.2">
      <c r="A115" s="30" t="s">
        <v>267</v>
      </c>
      <c r="B115" s="31" t="s">
        <v>213</v>
      </c>
      <c r="C115" s="31" t="s">
        <v>158</v>
      </c>
      <c r="D115" s="32">
        <v>-18956.080000000002</v>
      </c>
      <c r="E115" s="33">
        <v>1460375.83</v>
      </c>
    </row>
    <row r="116" spans="1:5" x14ac:dyDescent="0.2">
      <c r="A116" s="34" t="s">
        <v>267</v>
      </c>
      <c r="B116" s="35" t="s">
        <v>268</v>
      </c>
      <c r="C116" s="35" t="s">
        <v>158</v>
      </c>
      <c r="D116" s="36">
        <v>-244.75</v>
      </c>
      <c r="E116" s="37">
        <v>1479473.68</v>
      </c>
    </row>
    <row r="117" spans="1:5" x14ac:dyDescent="0.2">
      <c r="A117" s="30" t="s">
        <v>267</v>
      </c>
      <c r="B117" s="31" t="s">
        <v>269</v>
      </c>
      <c r="C117" s="31" t="s">
        <v>152</v>
      </c>
      <c r="D117" s="32">
        <v>-95</v>
      </c>
      <c r="E117" s="33">
        <v>1479378.68</v>
      </c>
    </row>
    <row r="118" spans="1:5" x14ac:dyDescent="0.2">
      <c r="A118" s="34" t="s">
        <v>267</v>
      </c>
      <c r="B118" s="35" t="s">
        <v>268</v>
      </c>
      <c r="C118" s="35" t="s">
        <v>158</v>
      </c>
      <c r="D118" s="36">
        <v>-46.77</v>
      </c>
      <c r="E118" s="37">
        <v>1479331.91</v>
      </c>
    </row>
    <row r="119" spans="1:5" x14ac:dyDescent="0.2">
      <c r="A119" s="30" t="s">
        <v>270</v>
      </c>
      <c r="B119" s="31" t="s">
        <v>271</v>
      </c>
      <c r="C119" s="31" t="s">
        <v>149</v>
      </c>
      <c r="D119" s="32">
        <v>-2750</v>
      </c>
      <c r="E119" s="33">
        <v>1457625.83</v>
      </c>
    </row>
    <row r="120" spans="1:5" x14ac:dyDescent="0.2">
      <c r="A120" s="34" t="s">
        <v>270</v>
      </c>
      <c r="B120" s="35" t="s">
        <v>272</v>
      </c>
      <c r="C120" s="35" t="s">
        <v>168</v>
      </c>
      <c r="D120" s="36">
        <v>-18760</v>
      </c>
      <c r="E120" s="37">
        <v>1438865.83</v>
      </c>
    </row>
    <row r="121" spans="1:5" x14ac:dyDescent="0.2">
      <c r="A121" s="30" t="s">
        <v>270</v>
      </c>
      <c r="B121" s="31" t="s">
        <v>273</v>
      </c>
      <c r="C121" s="31" t="s">
        <v>158</v>
      </c>
      <c r="D121" s="32">
        <v>-93.02</v>
      </c>
      <c r="E121" s="33">
        <v>1438772.81</v>
      </c>
    </row>
    <row r="122" spans="1:5" x14ac:dyDescent="0.2">
      <c r="A122" s="34" t="s">
        <v>274</v>
      </c>
      <c r="B122" s="35" t="s">
        <v>275</v>
      </c>
      <c r="C122" s="35" t="s">
        <v>158</v>
      </c>
      <c r="D122" s="36">
        <v>-199.45</v>
      </c>
      <c r="E122" s="37">
        <v>1436258.52</v>
      </c>
    </row>
    <row r="123" spans="1:5" x14ac:dyDescent="0.2">
      <c r="A123" s="30" t="s">
        <v>274</v>
      </c>
      <c r="B123" s="31" t="s">
        <v>276</v>
      </c>
      <c r="C123" s="31" t="s">
        <v>158</v>
      </c>
      <c r="D123" s="32">
        <v>-1691.21</v>
      </c>
      <c r="E123" s="33">
        <v>1437081.6000000001</v>
      </c>
    </row>
    <row r="124" spans="1:5" x14ac:dyDescent="0.2">
      <c r="A124" s="34" t="s">
        <v>274</v>
      </c>
      <c r="B124" s="35" t="s">
        <v>275</v>
      </c>
      <c r="C124" s="35" t="s">
        <v>158</v>
      </c>
      <c r="D124" s="36">
        <v>-623.63</v>
      </c>
      <c r="E124" s="37">
        <v>1436457.97</v>
      </c>
    </row>
    <row r="125" spans="1:5" x14ac:dyDescent="0.2">
      <c r="A125" s="30" t="s">
        <v>277</v>
      </c>
      <c r="B125" s="31" t="s">
        <v>278</v>
      </c>
      <c r="C125" s="31" t="s">
        <v>158</v>
      </c>
      <c r="D125" s="32">
        <v>-148.02000000000001</v>
      </c>
      <c r="E125" s="33">
        <v>1436110.5</v>
      </c>
    </row>
    <row r="126" spans="1:5" x14ac:dyDescent="0.2">
      <c r="A126" s="34" t="s">
        <v>279</v>
      </c>
      <c r="B126" s="35" t="s">
        <v>280</v>
      </c>
      <c r="C126" s="35" t="s">
        <v>158</v>
      </c>
      <c r="D126" s="36">
        <v>-281.25</v>
      </c>
      <c r="E126" s="37">
        <v>1435829.25</v>
      </c>
    </row>
    <row r="127" spans="1:5" x14ac:dyDescent="0.2">
      <c r="A127" s="30" t="s">
        <v>281</v>
      </c>
      <c r="B127" s="31" t="s">
        <v>282</v>
      </c>
      <c r="C127" s="31" t="s">
        <v>152</v>
      </c>
      <c r="D127" s="32">
        <v>-693.98</v>
      </c>
      <c r="E127" s="33">
        <v>1435135.27</v>
      </c>
    </row>
    <row r="128" spans="1:5" x14ac:dyDescent="0.2">
      <c r="A128" s="34" t="s">
        <v>281</v>
      </c>
      <c r="B128" s="35" t="s">
        <v>283</v>
      </c>
      <c r="C128" s="35" t="s">
        <v>158</v>
      </c>
      <c r="D128" s="36">
        <v>-403.6</v>
      </c>
      <c r="E128" s="37">
        <v>1434731.67</v>
      </c>
    </row>
    <row r="129" spans="1:5" x14ac:dyDescent="0.2">
      <c r="A129" s="30" t="s">
        <v>281</v>
      </c>
      <c r="B129" s="31" t="s">
        <v>284</v>
      </c>
      <c r="C129" s="31" t="s">
        <v>152</v>
      </c>
      <c r="D129" s="32">
        <v>-295</v>
      </c>
      <c r="E129" s="33">
        <v>1434436.67</v>
      </c>
    </row>
    <row r="130" spans="1:5" x14ac:dyDescent="0.2">
      <c r="A130" s="34" t="s">
        <v>281</v>
      </c>
      <c r="B130" s="35" t="s">
        <v>283</v>
      </c>
      <c r="C130" s="35" t="s">
        <v>158</v>
      </c>
      <c r="D130" s="36">
        <v>-116.82</v>
      </c>
      <c r="E130" s="37">
        <v>1434319.85</v>
      </c>
    </row>
    <row r="131" spans="1:5" x14ac:dyDescent="0.2">
      <c r="A131" s="30" t="s">
        <v>281</v>
      </c>
      <c r="B131" s="31" t="s">
        <v>238</v>
      </c>
      <c r="C131" s="31" t="s">
        <v>158</v>
      </c>
      <c r="D131" s="32">
        <v>-3000</v>
      </c>
      <c r="E131" s="33">
        <v>1431319.85</v>
      </c>
    </row>
    <row r="132" spans="1:5" x14ac:dyDescent="0.2">
      <c r="A132" s="34" t="s">
        <v>285</v>
      </c>
      <c r="B132" s="35" t="s">
        <v>286</v>
      </c>
      <c r="C132" s="35" t="s">
        <v>152</v>
      </c>
      <c r="D132" s="36">
        <v>-1093.52</v>
      </c>
      <c r="E132" s="37">
        <v>1430226.33</v>
      </c>
    </row>
    <row r="133" spans="1:5" x14ac:dyDescent="0.2">
      <c r="A133" s="30" t="s">
        <v>285</v>
      </c>
      <c r="B133" s="31" t="s">
        <v>164</v>
      </c>
      <c r="C133" s="31" t="s">
        <v>149</v>
      </c>
      <c r="D133" s="32">
        <v>-13100</v>
      </c>
      <c r="E133" s="33">
        <v>1417126.33</v>
      </c>
    </row>
    <row r="134" spans="1:5" x14ac:dyDescent="0.2">
      <c r="A134" s="34" t="s">
        <v>287</v>
      </c>
      <c r="B134" s="35" t="s">
        <v>288</v>
      </c>
      <c r="C134" s="35" t="s">
        <v>158</v>
      </c>
      <c r="D134" s="36">
        <v>-1180.75</v>
      </c>
      <c r="E134" s="37">
        <v>1415945.58</v>
      </c>
    </row>
    <row r="135" spans="1:5" x14ac:dyDescent="0.2">
      <c r="A135" s="30" t="s">
        <v>289</v>
      </c>
      <c r="B135" s="31" t="s">
        <v>290</v>
      </c>
      <c r="C135" s="31" t="s">
        <v>158</v>
      </c>
      <c r="D135" s="32">
        <v>-217.13</v>
      </c>
      <c r="E135" s="33">
        <v>1415728.45</v>
      </c>
    </row>
    <row r="136" spans="1:5" x14ac:dyDescent="0.2">
      <c r="A136" s="34" t="s">
        <v>289</v>
      </c>
      <c r="B136" s="35" t="s">
        <v>184</v>
      </c>
      <c r="C136" s="35" t="s">
        <v>152</v>
      </c>
      <c r="D136" s="36">
        <v>-20341.810000000001</v>
      </c>
      <c r="E136" s="37">
        <v>1395386.64</v>
      </c>
    </row>
    <row r="137" spans="1:5" x14ac:dyDescent="0.2">
      <c r="A137" s="30" t="s">
        <v>291</v>
      </c>
      <c r="B137" s="31" t="s">
        <v>292</v>
      </c>
      <c r="C137" s="31" t="s">
        <v>158</v>
      </c>
      <c r="D137" s="32">
        <v>-47.26</v>
      </c>
      <c r="E137" s="33">
        <v>1395339.38</v>
      </c>
    </row>
    <row r="138" spans="1:5" x14ac:dyDescent="0.2">
      <c r="A138" s="34" t="s">
        <v>291</v>
      </c>
      <c r="B138" s="35" t="s">
        <v>292</v>
      </c>
      <c r="C138" s="35" t="s">
        <v>158</v>
      </c>
      <c r="D138" s="36">
        <v>-156.41</v>
      </c>
      <c r="E138" s="37">
        <v>1395182.97</v>
      </c>
    </row>
    <row r="139" spans="1:5" x14ac:dyDescent="0.2">
      <c r="A139" s="30" t="s">
        <v>293</v>
      </c>
      <c r="B139" s="31" t="s">
        <v>216</v>
      </c>
      <c r="C139" s="31" t="s">
        <v>158</v>
      </c>
      <c r="D139" s="32">
        <v>-65</v>
      </c>
      <c r="E139" s="33">
        <v>1393123.22</v>
      </c>
    </row>
    <row r="140" spans="1:5" x14ac:dyDescent="0.2">
      <c r="A140" s="34" t="s">
        <v>293</v>
      </c>
      <c r="B140" s="35" t="s">
        <v>292</v>
      </c>
      <c r="C140" s="35" t="s">
        <v>158</v>
      </c>
      <c r="D140" s="36">
        <v>-576</v>
      </c>
      <c r="E140" s="37">
        <v>1393188.22</v>
      </c>
    </row>
    <row r="141" spans="1:5" x14ac:dyDescent="0.2">
      <c r="A141" s="30" t="s">
        <v>293</v>
      </c>
      <c r="B141" s="31" t="s">
        <v>292</v>
      </c>
      <c r="C141" s="31" t="s">
        <v>158</v>
      </c>
      <c r="D141" s="32">
        <v>-108.87</v>
      </c>
      <c r="E141" s="33">
        <v>1393764.22</v>
      </c>
    </row>
    <row r="142" spans="1:5" x14ac:dyDescent="0.2">
      <c r="A142" s="34" t="s">
        <v>293</v>
      </c>
      <c r="B142" s="35" t="s">
        <v>292</v>
      </c>
      <c r="C142" s="35" t="s">
        <v>158</v>
      </c>
      <c r="D142" s="36">
        <v>-698.91</v>
      </c>
      <c r="E142" s="37">
        <v>1394484.06</v>
      </c>
    </row>
    <row r="143" spans="1:5" x14ac:dyDescent="0.2">
      <c r="A143" s="30" t="s">
        <v>293</v>
      </c>
      <c r="B143" s="31" t="s">
        <v>292</v>
      </c>
      <c r="C143" s="31" t="s">
        <v>158</v>
      </c>
      <c r="D143" s="32">
        <v>-174.35</v>
      </c>
      <c r="E143" s="33">
        <v>1394009.91</v>
      </c>
    </row>
    <row r="144" spans="1:5" x14ac:dyDescent="0.2">
      <c r="A144" s="34" t="s">
        <v>293</v>
      </c>
      <c r="B144" s="35" t="s">
        <v>294</v>
      </c>
      <c r="C144" s="35" t="s">
        <v>158</v>
      </c>
      <c r="D144" s="36">
        <v>-299.8</v>
      </c>
      <c r="E144" s="37">
        <v>1394184.26</v>
      </c>
    </row>
    <row r="145" spans="1:5" x14ac:dyDescent="0.2">
      <c r="A145" s="30" t="s">
        <v>293</v>
      </c>
      <c r="B145" s="31" t="s">
        <v>292</v>
      </c>
      <c r="C145" s="31" t="s">
        <v>158</v>
      </c>
      <c r="D145" s="32">
        <v>-136.82</v>
      </c>
      <c r="E145" s="33">
        <v>1393873.09</v>
      </c>
    </row>
    <row r="146" spans="1:5" x14ac:dyDescent="0.2">
      <c r="A146" s="34" t="s">
        <v>295</v>
      </c>
      <c r="B146" s="35" t="s">
        <v>213</v>
      </c>
      <c r="C146" s="35" t="s">
        <v>158</v>
      </c>
      <c r="D146" s="36">
        <v>-19346.939999999999</v>
      </c>
      <c r="E146" s="37">
        <v>1373776.28</v>
      </c>
    </row>
    <row r="147" spans="1:5" x14ac:dyDescent="0.2">
      <c r="A147" s="30" t="s">
        <v>295</v>
      </c>
      <c r="B147" s="31" t="s">
        <v>296</v>
      </c>
      <c r="C147" s="31" t="s">
        <v>158</v>
      </c>
      <c r="D147" s="32">
        <v>-260.58</v>
      </c>
      <c r="E147" s="33">
        <v>1373515.7</v>
      </c>
    </row>
    <row r="148" spans="1:5" x14ac:dyDescent="0.2">
      <c r="A148" s="34" t="s">
        <v>297</v>
      </c>
      <c r="B148" s="35" t="s">
        <v>298</v>
      </c>
      <c r="C148" s="35" t="s">
        <v>138</v>
      </c>
      <c r="D148" s="36">
        <v>433.41</v>
      </c>
      <c r="E148" s="37">
        <v>1373949.11</v>
      </c>
    </row>
    <row r="149" spans="1:5" x14ac:dyDescent="0.2">
      <c r="A149" s="30" t="s">
        <v>297</v>
      </c>
      <c r="B149" s="31" t="s">
        <v>296</v>
      </c>
      <c r="C149" s="31" t="s">
        <v>158</v>
      </c>
      <c r="D149" s="32">
        <v>-523.72</v>
      </c>
      <c r="E149" s="33">
        <v>1373425.39</v>
      </c>
    </row>
    <row r="150" spans="1:5" x14ac:dyDescent="0.2">
      <c r="A150" s="34" t="s">
        <v>297</v>
      </c>
      <c r="B150" s="35" t="s">
        <v>296</v>
      </c>
      <c r="C150" s="35" t="s">
        <v>158</v>
      </c>
      <c r="D150" s="36">
        <v>-3.84</v>
      </c>
      <c r="E150" s="37">
        <v>1373421.55</v>
      </c>
    </row>
    <row r="151" spans="1:5" x14ac:dyDescent="0.2">
      <c r="A151" s="30" t="s">
        <v>297</v>
      </c>
      <c r="B151" s="31" t="s">
        <v>296</v>
      </c>
      <c r="C151" s="31" t="s">
        <v>158</v>
      </c>
      <c r="D151" s="32">
        <v>-1.35</v>
      </c>
      <c r="E151" s="33">
        <v>1373420.2</v>
      </c>
    </row>
    <row r="152" spans="1:5" x14ac:dyDescent="0.2">
      <c r="A152" s="34" t="s">
        <v>299</v>
      </c>
      <c r="B152" s="35" t="s">
        <v>300</v>
      </c>
      <c r="C152" s="35" t="s">
        <v>158</v>
      </c>
      <c r="D152" s="36">
        <v>-323.8</v>
      </c>
      <c r="E152" s="37">
        <v>1373096.4</v>
      </c>
    </row>
    <row r="153" spans="1:5" x14ac:dyDescent="0.2">
      <c r="A153" s="30" t="s">
        <v>299</v>
      </c>
      <c r="B153" s="31" t="s">
        <v>301</v>
      </c>
      <c r="C153" s="31" t="s">
        <v>152</v>
      </c>
      <c r="D153" s="32">
        <v>-250</v>
      </c>
      <c r="E153" s="33">
        <v>1372846.4</v>
      </c>
    </row>
    <row r="154" spans="1:5" x14ac:dyDescent="0.2">
      <c r="A154" s="34" t="s">
        <v>302</v>
      </c>
      <c r="B154" s="35" t="s">
        <v>184</v>
      </c>
      <c r="C154" s="35" t="s">
        <v>152</v>
      </c>
      <c r="D154" s="36">
        <v>-20855.330000000002</v>
      </c>
      <c r="E154" s="37">
        <v>1351991.07</v>
      </c>
    </row>
    <row r="155" spans="1:5" x14ac:dyDescent="0.2">
      <c r="A155" s="30" t="s">
        <v>303</v>
      </c>
      <c r="B155" s="31" t="s">
        <v>257</v>
      </c>
      <c r="C155" s="31" t="s">
        <v>152</v>
      </c>
      <c r="D155" s="32">
        <v>-380</v>
      </c>
      <c r="E155" s="33">
        <v>1351572.07</v>
      </c>
    </row>
    <row r="156" spans="1:5" x14ac:dyDescent="0.2">
      <c r="A156" s="34" t="s">
        <v>303</v>
      </c>
      <c r="B156" s="35" t="s">
        <v>304</v>
      </c>
      <c r="C156" s="35" t="s">
        <v>158</v>
      </c>
      <c r="D156" s="36">
        <v>-39</v>
      </c>
      <c r="E156" s="37">
        <v>1351952.07</v>
      </c>
    </row>
    <row r="157" spans="1:5" x14ac:dyDescent="0.2">
      <c r="A157" s="30" t="s">
        <v>305</v>
      </c>
      <c r="B157" s="31" t="s">
        <v>306</v>
      </c>
      <c r="C157" s="31" t="s">
        <v>196</v>
      </c>
      <c r="D157" s="32">
        <v>-5500</v>
      </c>
      <c r="E157" s="33">
        <v>1346072.07</v>
      </c>
    </row>
    <row r="158" spans="1:5" x14ac:dyDescent="0.2">
      <c r="A158" s="34" t="s">
        <v>305</v>
      </c>
      <c r="B158" s="35" t="s">
        <v>307</v>
      </c>
      <c r="C158" s="35" t="s">
        <v>168</v>
      </c>
      <c r="D158" s="36">
        <v>-11327</v>
      </c>
      <c r="E158" s="37">
        <v>1334745.07</v>
      </c>
    </row>
    <row r="159" spans="1:5" x14ac:dyDescent="0.2">
      <c r="A159" s="30" t="s">
        <v>305</v>
      </c>
      <c r="B159" s="31" t="s">
        <v>308</v>
      </c>
      <c r="C159" s="31" t="s">
        <v>152</v>
      </c>
      <c r="D159" s="32">
        <v>-1342.23</v>
      </c>
      <c r="E159" s="33">
        <v>1333402.8400000001</v>
      </c>
    </row>
    <row r="160" spans="1:5" x14ac:dyDescent="0.2">
      <c r="A160" s="34" t="s">
        <v>309</v>
      </c>
      <c r="B160" s="35" t="s">
        <v>310</v>
      </c>
      <c r="C160" s="35" t="s">
        <v>158</v>
      </c>
      <c r="D160" s="36">
        <v>-68.94</v>
      </c>
      <c r="E160" s="37">
        <v>1333333.8999999999</v>
      </c>
    </row>
    <row r="161" spans="1:5" x14ac:dyDescent="0.2">
      <c r="A161" s="30" t="s">
        <v>311</v>
      </c>
      <c r="B161" s="31" t="s">
        <v>312</v>
      </c>
      <c r="C161" s="31" t="s">
        <v>158</v>
      </c>
      <c r="D161" s="32">
        <v>-98</v>
      </c>
      <c r="E161" s="33">
        <v>1333235.8999999999</v>
      </c>
    </row>
    <row r="162" spans="1:5" x14ac:dyDescent="0.2">
      <c r="A162" s="34" t="s">
        <v>311</v>
      </c>
      <c r="B162" s="35" t="s">
        <v>313</v>
      </c>
      <c r="C162" s="35" t="s">
        <v>158</v>
      </c>
      <c r="D162" s="36">
        <v>-204.87</v>
      </c>
      <c r="E162" s="37">
        <v>1333031.03</v>
      </c>
    </row>
    <row r="163" spans="1:5" x14ac:dyDescent="0.2">
      <c r="A163" s="30" t="s">
        <v>314</v>
      </c>
      <c r="B163" s="31" t="s">
        <v>313</v>
      </c>
      <c r="C163" s="31" t="s">
        <v>158</v>
      </c>
      <c r="D163" s="32">
        <v>-69.569999999999993</v>
      </c>
      <c r="E163" s="33">
        <v>1332961.46</v>
      </c>
    </row>
    <row r="164" spans="1:5" x14ac:dyDescent="0.2">
      <c r="A164" s="34" t="s">
        <v>315</v>
      </c>
      <c r="B164" s="35" t="s">
        <v>316</v>
      </c>
      <c r="C164" s="35" t="s">
        <v>158</v>
      </c>
      <c r="D164" s="36">
        <v>-210</v>
      </c>
      <c r="E164" s="37">
        <v>1330875.73</v>
      </c>
    </row>
    <row r="165" spans="1:5" x14ac:dyDescent="0.2">
      <c r="A165" s="30" t="s">
        <v>315</v>
      </c>
      <c r="B165" s="31" t="s">
        <v>317</v>
      </c>
      <c r="C165" s="31" t="s">
        <v>152</v>
      </c>
      <c r="D165" s="32">
        <v>-34.229999999999997</v>
      </c>
      <c r="E165" s="33">
        <v>1331085.73</v>
      </c>
    </row>
    <row r="166" spans="1:5" x14ac:dyDescent="0.2">
      <c r="A166" s="34" t="s">
        <v>315</v>
      </c>
      <c r="B166" s="35" t="s">
        <v>318</v>
      </c>
      <c r="C166" s="35" t="s">
        <v>158</v>
      </c>
      <c r="D166" s="36">
        <v>-137.12</v>
      </c>
      <c r="E166" s="37">
        <v>1331119.96</v>
      </c>
    </row>
    <row r="167" spans="1:5" x14ac:dyDescent="0.2">
      <c r="A167" s="30" t="s">
        <v>315</v>
      </c>
      <c r="B167" s="31" t="s">
        <v>319</v>
      </c>
      <c r="C167" s="31" t="s">
        <v>158</v>
      </c>
      <c r="D167" s="32">
        <v>-35.79</v>
      </c>
      <c r="E167" s="33">
        <v>1331445.52</v>
      </c>
    </row>
    <row r="168" spans="1:5" x14ac:dyDescent="0.2">
      <c r="A168" s="34" t="s">
        <v>315</v>
      </c>
      <c r="B168" s="35" t="s">
        <v>319</v>
      </c>
      <c r="C168" s="35" t="s">
        <v>158</v>
      </c>
      <c r="D168" s="36">
        <v>-64.77</v>
      </c>
      <c r="E168" s="37">
        <v>1331481.31</v>
      </c>
    </row>
    <row r="169" spans="1:5" x14ac:dyDescent="0.2">
      <c r="A169" s="30" t="s">
        <v>315</v>
      </c>
      <c r="B169" s="31" t="s">
        <v>318</v>
      </c>
      <c r="C169" s="31" t="s">
        <v>158</v>
      </c>
      <c r="D169" s="32">
        <v>-188.44</v>
      </c>
      <c r="E169" s="33">
        <v>1331257.08</v>
      </c>
    </row>
    <row r="170" spans="1:5" x14ac:dyDescent="0.2">
      <c r="A170" s="34" t="s">
        <v>315</v>
      </c>
      <c r="B170" s="35" t="s">
        <v>186</v>
      </c>
      <c r="C170" s="35" t="s">
        <v>152</v>
      </c>
      <c r="D170" s="36">
        <v>-336.08</v>
      </c>
      <c r="E170" s="37">
        <v>1331811.81</v>
      </c>
    </row>
    <row r="171" spans="1:5" x14ac:dyDescent="0.2">
      <c r="A171" s="30" t="s">
        <v>315</v>
      </c>
      <c r="B171" s="31" t="s">
        <v>132</v>
      </c>
      <c r="C171" s="31" t="s">
        <v>133</v>
      </c>
      <c r="D171" s="32">
        <v>3333.33</v>
      </c>
      <c r="E171" s="33">
        <v>1336294.79</v>
      </c>
    </row>
    <row r="172" spans="1:5" x14ac:dyDescent="0.2">
      <c r="A172" s="34" t="s">
        <v>315</v>
      </c>
      <c r="B172" s="35" t="s">
        <v>319</v>
      </c>
      <c r="C172" s="35" t="s">
        <v>158</v>
      </c>
      <c r="D172" s="36">
        <v>-2172.5</v>
      </c>
      <c r="E172" s="37">
        <v>1334122.29</v>
      </c>
    </row>
    <row r="173" spans="1:5" x14ac:dyDescent="0.2">
      <c r="A173" s="30" t="s">
        <v>315</v>
      </c>
      <c r="B173" s="31" t="s">
        <v>186</v>
      </c>
      <c r="C173" s="31" t="s">
        <v>152</v>
      </c>
      <c r="D173" s="32">
        <v>-265.73</v>
      </c>
      <c r="E173" s="33">
        <v>1331546.08</v>
      </c>
    </row>
    <row r="174" spans="1:5" x14ac:dyDescent="0.2">
      <c r="A174" s="34" t="s">
        <v>315</v>
      </c>
      <c r="B174" s="35" t="s">
        <v>319</v>
      </c>
      <c r="C174" s="35" t="s">
        <v>158</v>
      </c>
      <c r="D174" s="36">
        <v>-450.21</v>
      </c>
      <c r="E174" s="37">
        <v>1332547.02</v>
      </c>
    </row>
    <row r="175" spans="1:5" x14ac:dyDescent="0.2">
      <c r="A175" s="30" t="s">
        <v>315</v>
      </c>
      <c r="B175" s="31" t="s">
        <v>319</v>
      </c>
      <c r="C175" s="31" t="s">
        <v>158</v>
      </c>
      <c r="D175" s="32">
        <v>-399.13</v>
      </c>
      <c r="E175" s="33">
        <v>1332147.8899999999</v>
      </c>
    </row>
    <row r="176" spans="1:5" x14ac:dyDescent="0.2">
      <c r="A176" s="34" t="s">
        <v>315</v>
      </c>
      <c r="B176" s="35" t="s">
        <v>319</v>
      </c>
      <c r="C176" s="35" t="s">
        <v>158</v>
      </c>
      <c r="D176" s="36">
        <v>-1125.06</v>
      </c>
      <c r="E176" s="37">
        <v>1332997.23</v>
      </c>
    </row>
    <row r="177" spans="1:5" x14ac:dyDescent="0.2">
      <c r="A177" s="30" t="s">
        <v>320</v>
      </c>
      <c r="B177" s="31" t="s">
        <v>321</v>
      </c>
      <c r="C177" s="31" t="s">
        <v>152</v>
      </c>
      <c r="D177" s="32">
        <v>-95</v>
      </c>
      <c r="E177" s="33">
        <v>1330780.73</v>
      </c>
    </row>
    <row r="178" spans="1:5" x14ac:dyDescent="0.2">
      <c r="A178" s="34" t="s">
        <v>320</v>
      </c>
      <c r="B178" s="35" t="s">
        <v>316</v>
      </c>
      <c r="C178" s="35" t="s">
        <v>158</v>
      </c>
      <c r="D178" s="36">
        <v>-50.36</v>
      </c>
      <c r="E178" s="37">
        <v>1330730.3700000001</v>
      </c>
    </row>
    <row r="179" spans="1:5" x14ac:dyDescent="0.2">
      <c r="A179" s="30" t="s">
        <v>320</v>
      </c>
      <c r="B179" s="31" t="s">
        <v>322</v>
      </c>
      <c r="C179" s="31" t="s">
        <v>158</v>
      </c>
      <c r="D179" s="32">
        <v>-297.8</v>
      </c>
      <c r="E179" s="33">
        <v>1330432.57</v>
      </c>
    </row>
    <row r="180" spans="1:5" x14ac:dyDescent="0.2">
      <c r="A180" s="34" t="s">
        <v>320</v>
      </c>
      <c r="B180" s="35" t="s">
        <v>213</v>
      </c>
      <c r="C180" s="35" t="s">
        <v>158</v>
      </c>
      <c r="D180" s="36">
        <v>-19346.939999999999</v>
      </c>
      <c r="E180" s="37">
        <v>1311085.6299999999</v>
      </c>
    </row>
    <row r="181" spans="1:5" x14ac:dyDescent="0.2">
      <c r="A181" s="30" t="s">
        <v>323</v>
      </c>
      <c r="B181" s="31" t="s">
        <v>324</v>
      </c>
      <c r="C181" s="31" t="s">
        <v>158</v>
      </c>
      <c r="D181" s="32">
        <v>-381.47</v>
      </c>
      <c r="E181" s="33">
        <v>1310704.1599999999</v>
      </c>
    </row>
    <row r="182" spans="1:5" x14ac:dyDescent="0.2">
      <c r="A182" s="34" t="s">
        <v>325</v>
      </c>
      <c r="B182" s="35" t="s">
        <v>326</v>
      </c>
      <c r="C182" s="35" t="s">
        <v>158</v>
      </c>
      <c r="D182" s="36">
        <v>-400.83</v>
      </c>
      <c r="E182" s="37">
        <v>1310303.33</v>
      </c>
    </row>
    <row r="183" spans="1:5" x14ac:dyDescent="0.2">
      <c r="A183" s="30" t="s">
        <v>327</v>
      </c>
      <c r="B183" s="31" t="s">
        <v>328</v>
      </c>
      <c r="C183" s="31" t="s">
        <v>152</v>
      </c>
      <c r="D183" s="32">
        <v>-250</v>
      </c>
      <c r="E183" s="33">
        <v>1310053.33</v>
      </c>
    </row>
    <row r="184" spans="1:5" x14ac:dyDescent="0.2">
      <c r="A184" s="34" t="s">
        <v>327</v>
      </c>
      <c r="B184" s="35" t="s">
        <v>213</v>
      </c>
      <c r="C184" s="35" t="s">
        <v>158</v>
      </c>
      <c r="D184" s="36">
        <v>-19346.939999999999</v>
      </c>
      <c r="E184" s="37">
        <v>1290706.3899999999</v>
      </c>
    </row>
    <row r="185" spans="1:5" x14ac:dyDescent="0.2">
      <c r="A185" s="30" t="s">
        <v>329</v>
      </c>
      <c r="B185" s="31" t="s">
        <v>330</v>
      </c>
      <c r="C185" s="31" t="s">
        <v>158</v>
      </c>
      <c r="D185" s="32">
        <v>-48.59</v>
      </c>
      <c r="E185" s="33">
        <v>1289868.83</v>
      </c>
    </row>
    <row r="186" spans="1:5" x14ac:dyDescent="0.2">
      <c r="A186" s="34" t="s">
        <v>329</v>
      </c>
      <c r="B186" s="35" t="s">
        <v>331</v>
      </c>
      <c r="C186" s="35" t="s">
        <v>152</v>
      </c>
      <c r="D186" s="36">
        <v>-95</v>
      </c>
      <c r="E186" s="37">
        <v>1289917.42</v>
      </c>
    </row>
    <row r="187" spans="1:5" x14ac:dyDescent="0.2">
      <c r="A187" s="30" t="s">
        <v>329</v>
      </c>
      <c r="B187" s="31" t="s">
        <v>332</v>
      </c>
      <c r="C187" s="31" t="s">
        <v>152</v>
      </c>
      <c r="D187" s="32">
        <v>-693.97</v>
      </c>
      <c r="E187" s="33">
        <v>1290012.42</v>
      </c>
    </row>
    <row r="188" spans="1:5" x14ac:dyDescent="0.2">
      <c r="A188" s="34" t="s">
        <v>333</v>
      </c>
      <c r="B188" s="35" t="s">
        <v>238</v>
      </c>
      <c r="C188" s="35" t="s">
        <v>158</v>
      </c>
      <c r="D188" s="36">
        <v>-3000</v>
      </c>
      <c r="E188" s="37">
        <v>1286868.83</v>
      </c>
    </row>
    <row r="189" spans="1:5" x14ac:dyDescent="0.2">
      <c r="A189" s="30" t="s">
        <v>334</v>
      </c>
      <c r="B189" s="31" t="s">
        <v>335</v>
      </c>
      <c r="C189" s="31" t="s">
        <v>158</v>
      </c>
      <c r="D189" s="32">
        <v>-162.94</v>
      </c>
      <c r="E189" s="33">
        <v>1286705.8899999999</v>
      </c>
    </row>
    <row r="190" spans="1:5" x14ac:dyDescent="0.2">
      <c r="A190" s="34" t="s">
        <v>336</v>
      </c>
      <c r="B190" s="35" t="s">
        <v>337</v>
      </c>
      <c r="C190" s="35" t="s">
        <v>152</v>
      </c>
      <c r="D190" s="36">
        <v>-1093.52</v>
      </c>
      <c r="E190" s="37">
        <v>1285612.3700000001</v>
      </c>
    </row>
    <row r="191" spans="1:5" x14ac:dyDescent="0.2">
      <c r="A191" s="30" t="s">
        <v>336</v>
      </c>
      <c r="B191" s="31" t="s">
        <v>338</v>
      </c>
      <c r="C191" s="31" t="s">
        <v>158</v>
      </c>
      <c r="D191" s="32">
        <v>-86.23</v>
      </c>
      <c r="E191" s="33">
        <v>1285526.1399999999</v>
      </c>
    </row>
    <row r="192" spans="1:5" x14ac:dyDescent="0.2">
      <c r="A192" s="34" t="s">
        <v>336</v>
      </c>
      <c r="B192" s="35" t="s">
        <v>338</v>
      </c>
      <c r="C192" s="35" t="s">
        <v>158</v>
      </c>
      <c r="D192" s="36">
        <v>-52.29</v>
      </c>
      <c r="E192" s="37">
        <v>1285473.8500000001</v>
      </c>
    </row>
    <row r="193" spans="1:5" x14ac:dyDescent="0.2">
      <c r="A193" s="30" t="s">
        <v>339</v>
      </c>
      <c r="B193" s="31" t="s">
        <v>340</v>
      </c>
      <c r="C193" s="31" t="s">
        <v>138</v>
      </c>
      <c r="D193" s="32">
        <v>86.23</v>
      </c>
      <c r="E193" s="33">
        <v>1285560.08</v>
      </c>
    </row>
    <row r="194" spans="1:5" x14ac:dyDescent="0.2">
      <c r="A194" s="34" t="s">
        <v>341</v>
      </c>
      <c r="B194" s="35" t="s">
        <v>342</v>
      </c>
      <c r="C194" s="35" t="s">
        <v>158</v>
      </c>
      <c r="D194" s="36">
        <v>-225.75</v>
      </c>
      <c r="E194" s="37">
        <v>1285334.33</v>
      </c>
    </row>
    <row r="195" spans="1:5" x14ac:dyDescent="0.2">
      <c r="A195" s="30" t="s">
        <v>341</v>
      </c>
      <c r="B195" s="31" t="s">
        <v>343</v>
      </c>
      <c r="C195" s="31" t="s">
        <v>158</v>
      </c>
      <c r="D195" s="32">
        <v>-209.04</v>
      </c>
      <c r="E195" s="33">
        <v>1285125.29</v>
      </c>
    </row>
    <row r="196" spans="1:5" x14ac:dyDescent="0.2">
      <c r="A196" s="34" t="s">
        <v>341</v>
      </c>
      <c r="B196" s="35" t="s">
        <v>342</v>
      </c>
      <c r="C196" s="35" t="s">
        <v>158</v>
      </c>
      <c r="D196" s="36">
        <v>-123.85</v>
      </c>
      <c r="E196" s="37">
        <v>1285001.44</v>
      </c>
    </row>
    <row r="197" spans="1:5" x14ac:dyDescent="0.2">
      <c r="A197" s="30" t="s">
        <v>341</v>
      </c>
      <c r="B197" s="31" t="s">
        <v>216</v>
      </c>
      <c r="C197" s="31" t="s">
        <v>158</v>
      </c>
      <c r="D197" s="32">
        <v>-65</v>
      </c>
      <c r="E197" s="33">
        <v>1284936.44</v>
      </c>
    </row>
    <row r="198" spans="1:5" x14ac:dyDescent="0.2">
      <c r="A198" s="34" t="s">
        <v>341</v>
      </c>
      <c r="B198" s="35" t="s">
        <v>342</v>
      </c>
      <c r="C198" s="35" t="s">
        <v>158</v>
      </c>
      <c r="D198" s="36">
        <v>-55</v>
      </c>
      <c r="E198" s="37">
        <v>1284881.44</v>
      </c>
    </row>
    <row r="199" spans="1:5" x14ac:dyDescent="0.2">
      <c r="A199" s="30" t="s">
        <v>341</v>
      </c>
      <c r="B199" s="31" t="s">
        <v>344</v>
      </c>
      <c r="C199" s="31" t="s">
        <v>158</v>
      </c>
      <c r="D199" s="32">
        <v>-1137.48</v>
      </c>
      <c r="E199" s="33">
        <v>1283743.96</v>
      </c>
    </row>
    <row r="200" spans="1:5" x14ac:dyDescent="0.2">
      <c r="A200" s="34" t="s">
        <v>341</v>
      </c>
      <c r="B200" s="35" t="s">
        <v>184</v>
      </c>
      <c r="C200" s="35" t="s">
        <v>152</v>
      </c>
      <c r="D200" s="36">
        <v>-10115.73</v>
      </c>
      <c r="E200" s="37">
        <v>1273628.23</v>
      </c>
    </row>
    <row r="201" spans="1:5" x14ac:dyDescent="0.2">
      <c r="A201" s="30" t="s">
        <v>345</v>
      </c>
      <c r="B201" s="31" t="s">
        <v>344</v>
      </c>
      <c r="C201" s="31" t="s">
        <v>158</v>
      </c>
      <c r="D201" s="32">
        <v>-16.05</v>
      </c>
      <c r="E201" s="33">
        <v>1273172.4099999999</v>
      </c>
    </row>
    <row r="202" spans="1:5" x14ac:dyDescent="0.2">
      <c r="A202" s="34" t="s">
        <v>345</v>
      </c>
      <c r="B202" s="35" t="s">
        <v>344</v>
      </c>
      <c r="C202" s="35" t="s">
        <v>158</v>
      </c>
      <c r="D202" s="36">
        <v>-42</v>
      </c>
      <c r="E202" s="37">
        <v>1273188.46</v>
      </c>
    </row>
    <row r="203" spans="1:5" x14ac:dyDescent="0.2">
      <c r="A203" s="30" t="s">
        <v>345</v>
      </c>
      <c r="B203" s="31" t="s">
        <v>186</v>
      </c>
      <c r="C203" s="31" t="s">
        <v>152</v>
      </c>
      <c r="D203" s="32">
        <v>-109.13</v>
      </c>
      <c r="E203" s="33">
        <v>1273314.77</v>
      </c>
    </row>
    <row r="204" spans="1:5" x14ac:dyDescent="0.2">
      <c r="A204" s="34" t="s">
        <v>345</v>
      </c>
      <c r="B204" s="35" t="s">
        <v>186</v>
      </c>
      <c r="C204" s="35" t="s">
        <v>152</v>
      </c>
      <c r="D204" s="36">
        <v>-204.33</v>
      </c>
      <c r="E204" s="37">
        <v>1273423.8999999999</v>
      </c>
    </row>
    <row r="205" spans="1:5" x14ac:dyDescent="0.2">
      <c r="A205" s="30" t="s">
        <v>345</v>
      </c>
      <c r="B205" s="31" t="s">
        <v>344</v>
      </c>
      <c r="C205" s="31" t="s">
        <v>158</v>
      </c>
      <c r="D205" s="32">
        <v>-84.31</v>
      </c>
      <c r="E205" s="33">
        <v>1273230.46</v>
      </c>
    </row>
    <row r="206" spans="1:5" x14ac:dyDescent="0.2">
      <c r="A206" s="34" t="s">
        <v>346</v>
      </c>
      <c r="B206" s="35" t="s">
        <v>304</v>
      </c>
      <c r="C206" s="35" t="s">
        <v>158</v>
      </c>
      <c r="D206" s="36">
        <v>-39</v>
      </c>
      <c r="E206" s="37">
        <v>1273133.4099999999</v>
      </c>
    </row>
    <row r="207" spans="1:5" x14ac:dyDescent="0.2">
      <c r="A207" s="30" t="s">
        <v>346</v>
      </c>
      <c r="B207" s="31" t="s">
        <v>347</v>
      </c>
      <c r="C207" s="31" t="s">
        <v>196</v>
      </c>
      <c r="D207" s="32">
        <v>-5500</v>
      </c>
      <c r="E207" s="33">
        <v>1267633.4099999999</v>
      </c>
    </row>
    <row r="208" spans="1:5" x14ac:dyDescent="0.2">
      <c r="A208" s="34" t="s">
        <v>346</v>
      </c>
      <c r="B208" s="35" t="s">
        <v>213</v>
      </c>
      <c r="C208" s="35" t="s">
        <v>158</v>
      </c>
      <c r="D208" s="36">
        <v>-65</v>
      </c>
      <c r="E208" s="37">
        <v>1267568.4099999999</v>
      </c>
    </row>
    <row r="209" spans="1:5" x14ac:dyDescent="0.2">
      <c r="A209" s="30" t="s">
        <v>346</v>
      </c>
      <c r="B209" s="31" t="s">
        <v>257</v>
      </c>
      <c r="C209" s="31" t="s">
        <v>152</v>
      </c>
      <c r="D209" s="32">
        <v>-546.4</v>
      </c>
      <c r="E209" s="33">
        <v>1267022.01</v>
      </c>
    </row>
    <row r="210" spans="1:5" x14ac:dyDescent="0.2">
      <c r="A210" s="34" t="s">
        <v>348</v>
      </c>
      <c r="B210" s="35" t="s">
        <v>349</v>
      </c>
      <c r="C210" s="35" t="s">
        <v>196</v>
      </c>
      <c r="D210" s="36">
        <v>-26000</v>
      </c>
      <c r="E210" s="37">
        <v>1240538.69</v>
      </c>
    </row>
    <row r="211" spans="1:5" x14ac:dyDescent="0.2">
      <c r="A211" s="30" t="s">
        <v>348</v>
      </c>
      <c r="B211" s="31" t="s">
        <v>350</v>
      </c>
      <c r="C211" s="31" t="s">
        <v>152</v>
      </c>
      <c r="D211" s="32">
        <v>-33.32</v>
      </c>
      <c r="E211" s="33">
        <v>1266988.69</v>
      </c>
    </row>
    <row r="212" spans="1:5" x14ac:dyDescent="0.2">
      <c r="A212" s="34" t="s">
        <v>348</v>
      </c>
      <c r="B212" s="35" t="s">
        <v>351</v>
      </c>
      <c r="C212" s="35" t="s">
        <v>196</v>
      </c>
      <c r="D212" s="36">
        <v>-450</v>
      </c>
      <c r="E212" s="37">
        <v>1266538.69</v>
      </c>
    </row>
    <row r="213" spans="1:5" x14ac:dyDescent="0.2">
      <c r="A213" s="30" t="s">
        <v>352</v>
      </c>
      <c r="B213" s="31" t="s">
        <v>353</v>
      </c>
      <c r="C213" s="31" t="s">
        <v>158</v>
      </c>
      <c r="D213" s="32">
        <v>-1651.67</v>
      </c>
      <c r="E213" s="33">
        <v>1238887.02</v>
      </c>
    </row>
    <row r="214" spans="1:5" x14ac:dyDescent="0.2">
      <c r="A214" s="34" t="s">
        <v>352</v>
      </c>
      <c r="B214" s="35" t="s">
        <v>184</v>
      </c>
      <c r="C214" s="35" t="s">
        <v>152</v>
      </c>
      <c r="D214" s="36">
        <v>-734.67</v>
      </c>
      <c r="E214" s="37">
        <v>1238152.3500000001</v>
      </c>
    </row>
    <row r="215" spans="1:5" x14ac:dyDescent="0.2">
      <c r="A215" s="30" t="s">
        <v>354</v>
      </c>
      <c r="B215" s="31" t="s">
        <v>355</v>
      </c>
      <c r="C215" s="31" t="s">
        <v>158</v>
      </c>
      <c r="D215" s="32">
        <v>-3531.59</v>
      </c>
      <c r="E215" s="33">
        <v>1234620.76</v>
      </c>
    </row>
    <row r="216" spans="1:5" x14ac:dyDescent="0.2">
      <c r="A216" s="34" t="s">
        <v>354</v>
      </c>
      <c r="B216" s="35" t="s">
        <v>213</v>
      </c>
      <c r="C216" s="35" t="s">
        <v>158</v>
      </c>
      <c r="D216" s="36">
        <v>-28826.75</v>
      </c>
      <c r="E216" s="37">
        <v>1205794.01</v>
      </c>
    </row>
    <row r="217" spans="1:5" x14ac:dyDescent="0.2">
      <c r="A217" s="30" t="s">
        <v>356</v>
      </c>
      <c r="B217" s="31" t="s">
        <v>357</v>
      </c>
      <c r="C217" s="31" t="s">
        <v>136</v>
      </c>
      <c r="D217" s="32">
        <v>1676.04</v>
      </c>
      <c r="E217" s="33">
        <v>1207470.05</v>
      </c>
    </row>
    <row r="218" spans="1:5" x14ac:dyDescent="0.2">
      <c r="A218" s="34" t="s">
        <v>356</v>
      </c>
      <c r="B218" s="35" t="s">
        <v>355</v>
      </c>
      <c r="C218" s="35" t="s">
        <v>158</v>
      </c>
      <c r="D218" s="36">
        <v>-578.47</v>
      </c>
      <c r="E218" s="37">
        <v>1206891.58</v>
      </c>
    </row>
    <row r="219" spans="1:5" x14ac:dyDescent="0.2">
      <c r="A219" s="30" t="s">
        <v>356</v>
      </c>
      <c r="B219" s="31" t="s">
        <v>355</v>
      </c>
      <c r="C219" s="31" t="s">
        <v>158</v>
      </c>
      <c r="D219" s="32">
        <v>-68.94</v>
      </c>
      <c r="E219" s="33">
        <v>1206822.6399999999</v>
      </c>
    </row>
    <row r="220" spans="1:5" x14ac:dyDescent="0.2">
      <c r="A220" s="34" t="s">
        <v>358</v>
      </c>
      <c r="B220" s="35" t="s">
        <v>359</v>
      </c>
      <c r="C220" s="35" t="s">
        <v>152</v>
      </c>
      <c r="D220" s="36">
        <v>-30.05</v>
      </c>
      <c r="E220" s="37">
        <v>1203890.6299999999</v>
      </c>
    </row>
    <row r="221" spans="1:5" x14ac:dyDescent="0.2">
      <c r="A221" s="30" t="s">
        <v>358</v>
      </c>
      <c r="B221" s="31" t="s">
        <v>360</v>
      </c>
      <c r="C221" s="31" t="s">
        <v>158</v>
      </c>
      <c r="D221" s="32">
        <v>-16.96</v>
      </c>
      <c r="E221" s="33">
        <v>1206805.68</v>
      </c>
    </row>
    <row r="222" spans="1:5" x14ac:dyDescent="0.2">
      <c r="A222" s="34" t="s">
        <v>358</v>
      </c>
      <c r="B222" s="35" t="s">
        <v>361</v>
      </c>
      <c r="C222" s="35" t="s">
        <v>149</v>
      </c>
      <c r="D222" s="36">
        <v>-2885</v>
      </c>
      <c r="E222" s="37">
        <v>1203920.68</v>
      </c>
    </row>
    <row r="223" spans="1:5" x14ac:dyDescent="0.2">
      <c r="A223" s="30" t="s">
        <v>362</v>
      </c>
      <c r="B223" s="31" t="s">
        <v>363</v>
      </c>
      <c r="C223" s="31" t="s">
        <v>158</v>
      </c>
      <c r="D223" s="32">
        <v>-2356.54</v>
      </c>
      <c r="E223" s="33">
        <v>1201534.0900000001</v>
      </c>
    </row>
    <row r="224" spans="1:5" x14ac:dyDescent="0.2">
      <c r="A224" s="34" t="s">
        <v>362</v>
      </c>
      <c r="B224" s="35" t="s">
        <v>363</v>
      </c>
      <c r="C224" s="35" t="s">
        <v>158</v>
      </c>
      <c r="D224" s="36">
        <v>-520.29</v>
      </c>
      <c r="E224" s="37">
        <v>1201013.8</v>
      </c>
    </row>
    <row r="225" spans="1:5" x14ac:dyDescent="0.2">
      <c r="A225" s="30" t="s">
        <v>362</v>
      </c>
      <c r="B225" s="31" t="s">
        <v>364</v>
      </c>
      <c r="C225" s="31" t="s">
        <v>152</v>
      </c>
      <c r="D225" s="32">
        <v>-95</v>
      </c>
      <c r="E225" s="33">
        <v>1200918.8</v>
      </c>
    </row>
    <row r="226" spans="1:5" x14ac:dyDescent="0.2">
      <c r="A226" s="34" t="s">
        <v>365</v>
      </c>
      <c r="B226" s="35" t="s">
        <v>366</v>
      </c>
      <c r="C226" s="35" t="s">
        <v>158</v>
      </c>
      <c r="D226" s="36">
        <v>-666.53</v>
      </c>
      <c r="E226" s="37">
        <v>1200252.27</v>
      </c>
    </row>
    <row r="227" spans="1:5" x14ac:dyDescent="0.2">
      <c r="A227" s="30" t="s">
        <v>365</v>
      </c>
      <c r="B227" s="31" t="s">
        <v>366</v>
      </c>
      <c r="C227" s="31" t="s">
        <v>158</v>
      </c>
      <c r="D227" s="32">
        <v>-296.61</v>
      </c>
      <c r="E227" s="33">
        <v>1199955.6599999999</v>
      </c>
    </row>
    <row r="228" spans="1:5" x14ac:dyDescent="0.2">
      <c r="A228" s="34" t="s">
        <v>367</v>
      </c>
      <c r="B228" s="35" t="s">
        <v>368</v>
      </c>
      <c r="C228" s="35" t="s">
        <v>158</v>
      </c>
      <c r="D228" s="36">
        <v>-424.71</v>
      </c>
      <c r="E228" s="37">
        <v>1199530.95</v>
      </c>
    </row>
    <row r="229" spans="1:5" x14ac:dyDescent="0.2">
      <c r="A229" s="30" t="s">
        <v>367</v>
      </c>
      <c r="B229" s="31" t="s">
        <v>368</v>
      </c>
      <c r="C229" s="31" t="s">
        <v>158</v>
      </c>
      <c r="D229" s="32">
        <v>-336.45</v>
      </c>
      <c r="E229" s="33">
        <v>1199194.5</v>
      </c>
    </row>
    <row r="230" spans="1:5" x14ac:dyDescent="0.2">
      <c r="A230" s="34" t="s">
        <v>367</v>
      </c>
      <c r="B230" s="35" t="s">
        <v>368</v>
      </c>
      <c r="C230" s="35" t="s">
        <v>158</v>
      </c>
      <c r="D230" s="36">
        <v>-312</v>
      </c>
      <c r="E230" s="37">
        <v>1198882.5</v>
      </c>
    </row>
    <row r="231" spans="1:5" x14ac:dyDescent="0.2">
      <c r="A231" s="30" t="s">
        <v>367</v>
      </c>
      <c r="B231" s="31" t="s">
        <v>368</v>
      </c>
      <c r="C231" s="31" t="s">
        <v>158</v>
      </c>
      <c r="D231" s="32">
        <v>-129.01</v>
      </c>
      <c r="E231" s="33">
        <v>1198753.49</v>
      </c>
    </row>
    <row r="232" spans="1:5" x14ac:dyDescent="0.2">
      <c r="A232" s="34" t="s">
        <v>367</v>
      </c>
      <c r="B232" s="35" t="s">
        <v>368</v>
      </c>
      <c r="C232" s="35" t="s">
        <v>158</v>
      </c>
      <c r="D232" s="36">
        <v>-80.959999999999994</v>
      </c>
      <c r="E232" s="37">
        <v>1198672.53</v>
      </c>
    </row>
    <row r="233" spans="1:5" x14ac:dyDescent="0.2">
      <c r="A233" s="30" t="s">
        <v>367</v>
      </c>
      <c r="B233" s="31" t="s">
        <v>368</v>
      </c>
      <c r="C233" s="31" t="s">
        <v>158</v>
      </c>
      <c r="D233" s="32">
        <v>-13.92</v>
      </c>
      <c r="E233" s="33">
        <v>1198658.6100000001</v>
      </c>
    </row>
    <row r="234" spans="1:5" x14ac:dyDescent="0.2">
      <c r="A234" s="34" t="s">
        <v>369</v>
      </c>
      <c r="B234" s="35" t="s">
        <v>370</v>
      </c>
      <c r="C234" s="35" t="s">
        <v>158</v>
      </c>
      <c r="D234" s="36">
        <v>-24.5</v>
      </c>
      <c r="E234" s="37">
        <v>1197586.01</v>
      </c>
    </row>
    <row r="235" spans="1:5" x14ac:dyDescent="0.2">
      <c r="A235" s="30" t="s">
        <v>369</v>
      </c>
      <c r="B235" s="31" t="s">
        <v>371</v>
      </c>
      <c r="C235" s="31" t="s">
        <v>158</v>
      </c>
      <c r="D235" s="32">
        <v>-38.020000000000003</v>
      </c>
      <c r="E235" s="33">
        <v>1197610.51</v>
      </c>
    </row>
    <row r="236" spans="1:5" x14ac:dyDescent="0.2">
      <c r="A236" s="34" t="s">
        <v>369</v>
      </c>
      <c r="B236" s="35" t="s">
        <v>370</v>
      </c>
      <c r="C236" s="35" t="s">
        <v>158</v>
      </c>
      <c r="D236" s="36">
        <v>-170.78</v>
      </c>
      <c r="E236" s="37">
        <v>1197648.53</v>
      </c>
    </row>
    <row r="237" spans="1:5" x14ac:dyDescent="0.2">
      <c r="A237" s="30" t="s">
        <v>369</v>
      </c>
      <c r="B237" s="31" t="s">
        <v>370</v>
      </c>
      <c r="C237" s="31" t="s">
        <v>158</v>
      </c>
      <c r="D237" s="32">
        <v>-605.92999999999995</v>
      </c>
      <c r="E237" s="33">
        <v>1198349.29</v>
      </c>
    </row>
    <row r="238" spans="1:5" x14ac:dyDescent="0.2">
      <c r="A238" s="34" t="s">
        <v>369</v>
      </c>
      <c r="B238" s="35" t="s">
        <v>370</v>
      </c>
      <c r="C238" s="35" t="s">
        <v>158</v>
      </c>
      <c r="D238" s="36">
        <v>-315.49</v>
      </c>
      <c r="E238" s="37">
        <v>1198033.8</v>
      </c>
    </row>
    <row r="239" spans="1:5" x14ac:dyDescent="0.2">
      <c r="A239" s="30" t="s">
        <v>369</v>
      </c>
      <c r="B239" s="31" t="s">
        <v>372</v>
      </c>
      <c r="C239" s="31" t="s">
        <v>138</v>
      </c>
      <c r="D239" s="32">
        <v>17.579999999999998</v>
      </c>
      <c r="E239" s="33">
        <v>1198955.22</v>
      </c>
    </row>
    <row r="240" spans="1:5" x14ac:dyDescent="0.2">
      <c r="A240" s="34" t="s">
        <v>369</v>
      </c>
      <c r="B240" s="35" t="s">
        <v>372</v>
      </c>
      <c r="C240" s="35" t="s">
        <v>138</v>
      </c>
      <c r="D240" s="36">
        <v>279.02999999999997</v>
      </c>
      <c r="E240" s="37">
        <v>1198937.6399999999</v>
      </c>
    </row>
    <row r="241" spans="1:5" x14ac:dyDescent="0.2">
      <c r="A241" s="30" t="s">
        <v>369</v>
      </c>
      <c r="B241" s="31" t="s">
        <v>370</v>
      </c>
      <c r="C241" s="31" t="s">
        <v>158</v>
      </c>
      <c r="D241" s="32">
        <v>-214.49</v>
      </c>
      <c r="E241" s="33">
        <v>1197819.31</v>
      </c>
    </row>
    <row r="242" spans="1:5" x14ac:dyDescent="0.2">
      <c r="A242" s="34" t="s">
        <v>373</v>
      </c>
      <c r="B242" s="35" t="s">
        <v>374</v>
      </c>
      <c r="C242" s="35" t="s">
        <v>138</v>
      </c>
      <c r="D242" s="36">
        <v>2356.54</v>
      </c>
      <c r="E242" s="37">
        <v>1199942.55</v>
      </c>
    </row>
    <row r="243" spans="1:5" x14ac:dyDescent="0.2">
      <c r="A243" s="30" t="s">
        <v>373</v>
      </c>
      <c r="B243" s="31" t="s">
        <v>375</v>
      </c>
      <c r="C243" s="31" t="s">
        <v>158</v>
      </c>
      <c r="D243" s="32">
        <v>-407.26</v>
      </c>
      <c r="E243" s="33">
        <v>1199535.29</v>
      </c>
    </row>
    <row r="244" spans="1:5" x14ac:dyDescent="0.2">
      <c r="A244" s="34" t="s">
        <v>376</v>
      </c>
      <c r="B244" s="35" t="s">
        <v>377</v>
      </c>
      <c r="C244" s="35" t="s">
        <v>152</v>
      </c>
      <c r="D244" s="36">
        <v>-250</v>
      </c>
      <c r="E244" s="37">
        <v>1199285.29</v>
      </c>
    </row>
    <row r="245" spans="1:5" x14ac:dyDescent="0.2">
      <c r="A245" s="30" t="s">
        <v>376</v>
      </c>
      <c r="B245" s="31" t="s">
        <v>378</v>
      </c>
      <c r="C245" s="31" t="s">
        <v>158</v>
      </c>
      <c r="D245" s="32">
        <v>-52.29</v>
      </c>
      <c r="E245" s="33">
        <v>1199233</v>
      </c>
    </row>
    <row r="246" spans="1:5" x14ac:dyDescent="0.2">
      <c r="A246" s="34" t="s">
        <v>379</v>
      </c>
      <c r="B246" s="35" t="s">
        <v>216</v>
      </c>
      <c r="C246" s="35" t="s">
        <v>158</v>
      </c>
      <c r="D246" s="36">
        <v>-505</v>
      </c>
      <c r="E246" s="37">
        <v>1198728</v>
      </c>
    </row>
    <row r="247" spans="1:5" x14ac:dyDescent="0.2">
      <c r="A247" s="30" t="s">
        <v>379</v>
      </c>
      <c r="B247" s="31" t="s">
        <v>380</v>
      </c>
      <c r="C247" s="31" t="s">
        <v>158</v>
      </c>
      <c r="D247" s="32">
        <v>-135.88999999999999</v>
      </c>
      <c r="E247" s="33">
        <v>1198592.1100000001</v>
      </c>
    </row>
    <row r="248" spans="1:5" x14ac:dyDescent="0.2">
      <c r="A248" s="34" t="s">
        <v>379</v>
      </c>
      <c r="B248" s="35" t="s">
        <v>380</v>
      </c>
      <c r="C248" s="35" t="s">
        <v>158</v>
      </c>
      <c r="D248" s="36">
        <v>-46.91</v>
      </c>
      <c r="E248" s="37">
        <v>1198545.2</v>
      </c>
    </row>
    <row r="249" spans="1:5" x14ac:dyDescent="0.2">
      <c r="A249" s="30" t="s">
        <v>379</v>
      </c>
      <c r="B249" s="31" t="s">
        <v>381</v>
      </c>
      <c r="C249" s="31" t="s">
        <v>196</v>
      </c>
      <c r="D249" s="32">
        <v>-12744.42</v>
      </c>
      <c r="E249" s="33">
        <v>1185800.78</v>
      </c>
    </row>
    <row r="250" spans="1:5" x14ac:dyDescent="0.2">
      <c r="A250" s="34" t="s">
        <v>382</v>
      </c>
      <c r="B250" s="35" t="s">
        <v>383</v>
      </c>
      <c r="C250" s="35" t="s">
        <v>152</v>
      </c>
      <c r="D250" s="36">
        <v>-693.97</v>
      </c>
      <c r="E250" s="37">
        <v>1185106.81</v>
      </c>
    </row>
    <row r="251" spans="1:5" x14ac:dyDescent="0.2">
      <c r="A251" s="30" t="s">
        <v>382</v>
      </c>
      <c r="B251" s="31" t="s">
        <v>384</v>
      </c>
      <c r="C251" s="31" t="s">
        <v>158</v>
      </c>
      <c r="D251" s="32">
        <v>-300</v>
      </c>
      <c r="E251" s="33">
        <v>1184806.81</v>
      </c>
    </row>
    <row r="252" spans="1:5" x14ac:dyDescent="0.2">
      <c r="A252" s="34" t="s">
        <v>382</v>
      </c>
      <c r="B252" s="35" t="s">
        <v>385</v>
      </c>
      <c r="C252" s="35" t="s">
        <v>152</v>
      </c>
      <c r="D252" s="36">
        <v>-95</v>
      </c>
      <c r="E252" s="37">
        <v>1184711.81</v>
      </c>
    </row>
    <row r="253" spans="1:5" x14ac:dyDescent="0.2">
      <c r="A253" s="30" t="s">
        <v>382</v>
      </c>
      <c r="B253" s="31" t="s">
        <v>386</v>
      </c>
      <c r="C253" s="31" t="s">
        <v>158</v>
      </c>
      <c r="D253" s="32">
        <v>-22.77</v>
      </c>
      <c r="E253" s="33">
        <v>1184689.04</v>
      </c>
    </row>
    <row r="254" spans="1:5" x14ac:dyDescent="0.2">
      <c r="A254" s="34" t="s">
        <v>387</v>
      </c>
      <c r="B254" s="35" t="s">
        <v>238</v>
      </c>
      <c r="C254" s="35" t="s">
        <v>158</v>
      </c>
      <c r="D254" s="36">
        <v>-3000</v>
      </c>
      <c r="E254" s="37">
        <v>1181689.04</v>
      </c>
    </row>
    <row r="255" spans="1:5" x14ac:dyDescent="0.2">
      <c r="A255" s="30" t="s">
        <v>388</v>
      </c>
      <c r="B255" s="31" t="s">
        <v>213</v>
      </c>
      <c r="C255" s="31" t="s">
        <v>158</v>
      </c>
      <c r="D255" s="32">
        <v>-32977.050000000003</v>
      </c>
      <c r="E255" s="33">
        <v>1148491.81</v>
      </c>
    </row>
    <row r="256" spans="1:5" x14ac:dyDescent="0.2">
      <c r="A256" s="34" t="s">
        <v>388</v>
      </c>
      <c r="B256" s="35" t="s">
        <v>389</v>
      </c>
      <c r="C256" s="35" t="s">
        <v>158</v>
      </c>
      <c r="D256" s="36">
        <v>-220.18</v>
      </c>
      <c r="E256" s="37">
        <v>1181468.8600000001</v>
      </c>
    </row>
    <row r="257" spans="1:5" x14ac:dyDescent="0.2">
      <c r="A257" s="30" t="s">
        <v>390</v>
      </c>
      <c r="B257" s="31" t="s">
        <v>391</v>
      </c>
      <c r="C257" s="31" t="s">
        <v>152</v>
      </c>
      <c r="D257" s="32">
        <v>-1093.52</v>
      </c>
      <c r="E257" s="33">
        <v>1147398.29</v>
      </c>
    </row>
    <row r="258" spans="1:5" x14ac:dyDescent="0.2">
      <c r="A258" s="34" t="s">
        <v>390</v>
      </c>
      <c r="B258" s="35" t="s">
        <v>392</v>
      </c>
      <c r="C258" s="35" t="s">
        <v>158</v>
      </c>
      <c r="D258" s="36">
        <v>-135.66999999999999</v>
      </c>
      <c r="E258" s="37">
        <v>1147262.6200000001</v>
      </c>
    </row>
    <row r="259" spans="1:5" x14ac:dyDescent="0.2">
      <c r="A259" s="30" t="s">
        <v>393</v>
      </c>
      <c r="B259" s="31" t="s">
        <v>392</v>
      </c>
      <c r="C259" s="31" t="s">
        <v>158</v>
      </c>
      <c r="D259" s="32">
        <v>-765.8</v>
      </c>
      <c r="E259" s="33">
        <v>1146496.82</v>
      </c>
    </row>
    <row r="260" spans="1:5" x14ac:dyDescent="0.2">
      <c r="A260" s="34" t="s">
        <v>393</v>
      </c>
      <c r="B260" s="35" t="s">
        <v>371</v>
      </c>
      <c r="C260" s="35" t="s">
        <v>158</v>
      </c>
      <c r="D260" s="36">
        <v>-646.41</v>
      </c>
      <c r="E260" s="37">
        <v>1145850.4099999999</v>
      </c>
    </row>
    <row r="261" spans="1:5" x14ac:dyDescent="0.2">
      <c r="A261" s="30" t="s">
        <v>394</v>
      </c>
      <c r="B261" s="31" t="s">
        <v>395</v>
      </c>
      <c r="C261" s="31" t="s">
        <v>158</v>
      </c>
      <c r="D261" s="32">
        <v>-211.64</v>
      </c>
      <c r="E261" s="33">
        <v>1145638.77</v>
      </c>
    </row>
    <row r="262" spans="1:5" x14ac:dyDescent="0.2">
      <c r="A262" s="34" t="s">
        <v>394</v>
      </c>
      <c r="B262" s="35" t="s">
        <v>216</v>
      </c>
      <c r="C262" s="35" t="s">
        <v>158</v>
      </c>
      <c r="D262" s="36">
        <v>-65</v>
      </c>
      <c r="E262" s="37">
        <v>1145573.77</v>
      </c>
    </row>
    <row r="263" spans="1:5" x14ac:dyDescent="0.2">
      <c r="A263" s="30" t="s">
        <v>394</v>
      </c>
      <c r="B263" s="31" t="s">
        <v>396</v>
      </c>
      <c r="C263" s="31" t="s">
        <v>168</v>
      </c>
      <c r="D263" s="32">
        <v>-7124</v>
      </c>
      <c r="E263" s="33">
        <v>1138449.77</v>
      </c>
    </row>
    <row r="264" spans="1:5" x14ac:dyDescent="0.2">
      <c r="A264" s="34" t="s">
        <v>394</v>
      </c>
      <c r="B264" s="35" t="s">
        <v>397</v>
      </c>
      <c r="C264" s="35" t="s">
        <v>158</v>
      </c>
      <c r="D264" s="36">
        <v>-835.29</v>
      </c>
      <c r="E264" s="37">
        <v>1137614.48</v>
      </c>
    </row>
    <row r="265" spans="1:5" x14ac:dyDescent="0.2">
      <c r="A265" s="30" t="s">
        <v>398</v>
      </c>
      <c r="B265" s="31" t="s">
        <v>397</v>
      </c>
      <c r="C265" s="31" t="s">
        <v>158</v>
      </c>
      <c r="D265" s="32">
        <v>-254.5</v>
      </c>
      <c r="E265" s="33">
        <v>1137359.98</v>
      </c>
    </row>
    <row r="266" spans="1:5" x14ac:dyDescent="0.2">
      <c r="A266" s="34" t="s">
        <v>399</v>
      </c>
      <c r="B266" s="35" t="s">
        <v>400</v>
      </c>
      <c r="C266" s="35" t="s">
        <v>158</v>
      </c>
      <c r="D266" s="36">
        <v>-109.35</v>
      </c>
      <c r="E266" s="37">
        <v>1137250.6299999999</v>
      </c>
    </row>
    <row r="267" spans="1:5" x14ac:dyDescent="0.2">
      <c r="A267" s="30" t="s">
        <v>399</v>
      </c>
      <c r="B267" s="31" t="s">
        <v>213</v>
      </c>
      <c r="C267" s="31" t="s">
        <v>158</v>
      </c>
      <c r="D267" s="32">
        <v>-65</v>
      </c>
      <c r="E267" s="33">
        <v>1137185.6299999999</v>
      </c>
    </row>
    <row r="268" spans="1:5" x14ac:dyDescent="0.2">
      <c r="A268" s="34" t="s">
        <v>399</v>
      </c>
      <c r="B268" s="35" t="s">
        <v>184</v>
      </c>
      <c r="C268" s="35" t="s">
        <v>152</v>
      </c>
      <c r="D268" s="36">
        <v>-9070.1299999999992</v>
      </c>
      <c r="E268" s="37">
        <v>1128115.5</v>
      </c>
    </row>
    <row r="270" spans="1:5" x14ac:dyDescent="0.2">
      <c r="A270" s="27" t="s">
        <v>401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Balance Sheet</vt:lpstr>
      <vt:lpstr>Income Statement</vt:lpstr>
      <vt:lpstr>Cash Flow</vt:lpstr>
      <vt:lpstr>Funding Sources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Colby DeWeese</cp:lastModifiedBy>
  <cp:revision>0</cp:revision>
  <dcterms:created xsi:type="dcterms:W3CDTF">2026-03-09T15:49:15Z</dcterms:created>
  <dcterms:modified xsi:type="dcterms:W3CDTF">2026-03-09T16:19:48Z</dcterms:modified>
  <dc:language>en-US</dc:language>
</cp:coreProperties>
</file>