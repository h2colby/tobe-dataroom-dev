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be/Dropbox/Tobe.Energy/Shared Data Rooms/Staging_TEC_DATA_ROOM/ENG - Engineering Documents/"/>
    </mc:Choice>
  </mc:AlternateContent>
  <xr:revisionPtr revIDLastSave="0" documentId="13_ncr:1_{DAA4A455-5D85-D347-B7A6-15EF73BD348C}" xr6:coauthVersionLast="47" xr6:coauthVersionMax="47" xr10:uidLastSave="{00000000-0000-0000-0000-000000000000}"/>
  <bookViews>
    <workbookView xWindow="29400" yWindow="1620" windowWidth="32000" windowHeight="16680" xr2:uid="{92987D71-A1B2-284E-82B6-7B6D463A3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G28" i="1"/>
  <c r="C5" i="1"/>
  <c r="G30" i="1"/>
  <c r="G29" i="1"/>
  <c r="C7" i="1"/>
  <c r="C8" i="1" s="1"/>
  <c r="G31" i="1"/>
  <c r="E27" i="1"/>
  <c r="D27" i="1"/>
  <c r="C27" i="1"/>
  <c r="C10" i="1" l="1"/>
  <c r="F27" i="1"/>
  <c r="G27" i="1" s="1"/>
  <c r="C12" i="1" l="1"/>
  <c r="C15" i="1" s="1"/>
  <c r="C11" i="1"/>
  <c r="C13" i="1"/>
  <c r="C9" i="1"/>
  <c r="H27" i="1" l="1"/>
</calcChain>
</file>

<file path=xl/sharedStrings.xml><?xml version="1.0" encoding="utf-8"?>
<sst xmlns="http://schemas.openxmlformats.org/spreadsheetml/2006/main" count="54" uniqueCount="45">
  <si>
    <t>W</t>
  </si>
  <si>
    <t>BTU/lb</t>
  </si>
  <si>
    <t>LPM</t>
  </si>
  <si>
    <t>Lower Heating Value</t>
  </si>
  <si>
    <t>Higher Heating Value</t>
  </si>
  <si>
    <t>Test Duration</t>
  </si>
  <si>
    <t>Hours</t>
  </si>
  <si>
    <t>Hydrogen Properties</t>
  </si>
  <si>
    <t>kg/hr</t>
  </si>
  <si>
    <t>Gasoline Equivalent</t>
  </si>
  <si>
    <t>kg gasoline / kg h2</t>
  </si>
  <si>
    <t>Calc. Total Vol. Flow</t>
  </si>
  <si>
    <t>Liters</t>
  </si>
  <si>
    <t>kg</t>
  </si>
  <si>
    <t>Density at RT &amp; 2atm</t>
  </si>
  <si>
    <t>g/l</t>
  </si>
  <si>
    <t>RT &amp; 2atm</t>
  </si>
  <si>
    <t>Calc. Total Mass Flow RT, 2atm</t>
  </si>
  <si>
    <t>Avg. Calc Mass Flow RT, 2atm</t>
  </si>
  <si>
    <t>Avg. Vol. Flow (Visual)</t>
  </si>
  <si>
    <t>Summary of Testing</t>
  </si>
  <si>
    <t>Test Duration (hours)</t>
  </si>
  <si>
    <t>Calc. Eff. (%) LHV</t>
  </si>
  <si>
    <t>Daily Production Rate (kg/day)</t>
  </si>
  <si>
    <t>Calc Total Mass Produced during Test</t>
  </si>
  <si>
    <t>*by analog measurement, flowmeter</t>
  </si>
  <si>
    <t xml:space="preserve">Calc. Eff. @ MP </t>
  </si>
  <si>
    <t>MJ/kg</t>
  </si>
  <si>
    <t>Energy</t>
  </si>
  <si>
    <t>MJ</t>
  </si>
  <si>
    <t>Calculated Energy LHV</t>
  </si>
  <si>
    <t>Calculated Energy HHV</t>
  </si>
  <si>
    <t>Density at Operating Conditions</t>
  </si>
  <si>
    <t>Calc. Total Mass Flow Op Cond</t>
  </si>
  <si>
    <t>Avg. Calc Mass Flow Op Cond</t>
  </si>
  <si>
    <t>@ 25.3 psig and 28℃</t>
  </si>
  <si>
    <t>Avg. Volumetric Flow Measurement (LPM)</t>
  </si>
  <si>
    <t>g/l @ 25.3 psig and 28℃</t>
  </si>
  <si>
    <t>Hydrogen Production Efficiency Testing Variable TDS</t>
  </si>
  <si>
    <t>6kW Low TDS</t>
  </si>
  <si>
    <t>6kW High TDS</t>
  </si>
  <si>
    <t>15kW Low TDS</t>
  </si>
  <si>
    <t>15kW High TDS</t>
  </si>
  <si>
    <t>Average Power Input</t>
  </si>
  <si>
    <t>Average Power Input (Watts)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</si>
</sst>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0.00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165" fontId="0" fillId="0" borderId="0" xfId="1" applyNumberFormat="1" applyFont="1" applyAlignment="1">
      <alignment horizontal="right" vertical="top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0" borderId="6" xfId="0" applyBorder="1"/>
    <xf numFmtId="0" fontId="0" fillId="4" borderId="0" xfId="0" applyFill="1"/>
    <xf numFmtId="0" fontId="0" fillId="0" borderId="5" xfId="0" applyBorder="1" applyAlignment="1">
      <alignment wrapText="1"/>
    </xf>
    <xf numFmtId="0" fontId="0" fillId="0" borderId="0" xfId="0" quotePrefix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10" fontId="0" fillId="3" borderId="11" xfId="2" applyNumberFormat="1" applyFont="1" applyFill="1" applyBorder="1"/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 vertical="top"/>
    </xf>
    <xf numFmtId="10" fontId="0" fillId="0" borderId="0" xfId="2" applyNumberFormat="1" applyFont="1" applyAlignment="1">
      <alignment horizontal="center"/>
    </xf>
    <xf numFmtId="1" fontId="0" fillId="0" borderId="0" xfId="0" applyNumberFormat="1"/>
    <xf numFmtId="166" fontId="2" fillId="0" borderId="0" xfId="0" applyNumberFormat="1" applyFont="1"/>
    <xf numFmtId="166" fontId="0" fillId="0" borderId="0" xfId="0" applyNumberFormat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3E59-5E80-FF42-9333-9648561636D9}">
  <dimension ref="B1:R32"/>
  <sheetViews>
    <sheetView showGridLines="0" tabSelected="1" topLeftCell="A5" workbookViewId="0">
      <selection activeCell="J23" sqref="J23"/>
    </sheetView>
  </sheetViews>
  <sheetFormatPr baseColWidth="10" defaultRowHeight="16" x14ac:dyDescent="0.2"/>
  <cols>
    <col min="1" max="1" width="7.1640625" customWidth="1"/>
    <col min="2" max="2" width="26.6640625" bestFit="1" customWidth="1"/>
    <col min="3" max="3" width="14.83203125" customWidth="1"/>
    <col min="4" max="4" width="16.6640625" customWidth="1"/>
    <col min="5" max="5" width="17.6640625" customWidth="1"/>
    <col min="6" max="6" width="19" customWidth="1"/>
    <col min="7" max="7" width="14.6640625" customWidth="1"/>
    <col min="8" max="8" width="15.83203125" customWidth="1"/>
    <col min="9" max="10" width="11.6640625" bestFit="1" customWidth="1"/>
    <col min="11" max="11" width="21.6640625" customWidth="1"/>
    <col min="12" max="12" width="16.5" customWidth="1"/>
    <col min="13" max="14" width="14" customWidth="1"/>
    <col min="15" max="15" width="17.6640625" customWidth="1"/>
    <col min="16" max="16" width="26" customWidth="1"/>
    <col min="17" max="17" width="16.33203125" customWidth="1"/>
    <col min="18" max="18" width="15.5" customWidth="1"/>
  </cols>
  <sheetData>
    <row r="1" spans="2:18" ht="17" thickBot="1" x14ac:dyDescent="0.25"/>
    <row r="2" spans="2:18" ht="17" thickBot="1" x14ac:dyDescent="0.25">
      <c r="B2" s="31" t="s">
        <v>38</v>
      </c>
      <c r="C2" s="32"/>
      <c r="D2" s="32"/>
      <c r="E2" s="32"/>
      <c r="F2" s="32"/>
      <c r="G2" s="33"/>
    </row>
    <row r="3" spans="2:18" x14ac:dyDescent="0.2">
      <c r="B3" s="5" t="s">
        <v>43</v>
      </c>
      <c r="C3" s="6">
        <v>6012</v>
      </c>
      <c r="D3" s="7" t="s">
        <v>0</v>
      </c>
      <c r="E3" s="7"/>
      <c r="F3" s="7"/>
      <c r="G3" s="8"/>
    </row>
    <row r="4" spans="2:18" x14ac:dyDescent="0.2">
      <c r="B4" s="9" t="s">
        <v>5</v>
      </c>
      <c r="C4" s="10">
        <v>6</v>
      </c>
      <c r="D4" t="s">
        <v>6</v>
      </c>
      <c r="G4" s="11"/>
    </row>
    <row r="5" spans="2:18" x14ac:dyDescent="0.2">
      <c r="B5" s="9" t="s">
        <v>28</v>
      </c>
      <c r="C5">
        <f>C3*C4*0.0036</f>
        <v>129.85919999999999</v>
      </c>
      <c r="D5" t="s">
        <v>29</v>
      </c>
      <c r="G5" s="11"/>
    </row>
    <row r="6" spans="2:18" x14ac:dyDescent="0.2">
      <c r="B6" s="9" t="s">
        <v>19</v>
      </c>
      <c r="C6" s="10">
        <v>9.8000000000000007</v>
      </c>
      <c r="D6" t="s">
        <v>2</v>
      </c>
      <c r="E6" t="s">
        <v>25</v>
      </c>
      <c r="G6" s="11"/>
    </row>
    <row r="7" spans="2:18" x14ac:dyDescent="0.2">
      <c r="B7" s="9" t="s">
        <v>11</v>
      </c>
      <c r="C7">
        <f>C6*C4*60</f>
        <v>3528.0000000000005</v>
      </c>
      <c r="D7" t="s">
        <v>12</v>
      </c>
      <c r="G7" s="11"/>
    </row>
    <row r="8" spans="2:18" x14ac:dyDescent="0.2">
      <c r="B8" s="9" t="s">
        <v>17</v>
      </c>
      <c r="C8" s="12">
        <f>(C7*C22)/1000</f>
        <v>0.58070880000000014</v>
      </c>
      <c r="D8" t="s">
        <v>13</v>
      </c>
      <c r="E8" t="s">
        <v>16</v>
      </c>
      <c r="G8" s="11"/>
    </row>
    <row r="9" spans="2:18" ht="17" x14ac:dyDescent="0.2">
      <c r="B9" s="13" t="s">
        <v>18</v>
      </c>
      <c r="C9" s="1">
        <f>C8/C4</f>
        <v>9.6784800000000018E-2</v>
      </c>
      <c r="D9" s="1" t="s">
        <v>8</v>
      </c>
      <c r="E9" s="1" t="s">
        <v>16</v>
      </c>
      <c r="G9" s="11"/>
    </row>
    <row r="10" spans="2:18" x14ac:dyDescent="0.2">
      <c r="B10" s="9" t="s">
        <v>33</v>
      </c>
      <c r="C10" s="12">
        <f>(C7*C23)/1000</f>
        <v>0.78315919214400009</v>
      </c>
      <c r="D10" t="s">
        <v>13</v>
      </c>
      <c r="E10" s="14" t="s">
        <v>35</v>
      </c>
      <c r="G10" s="11"/>
    </row>
    <row r="11" spans="2:18" s="1" customFormat="1" x14ac:dyDescent="0.2">
      <c r="B11" s="9" t="s">
        <v>34</v>
      </c>
      <c r="C11">
        <f>C10/C4</f>
        <v>0.13052653202400002</v>
      </c>
      <c r="D11" t="s">
        <v>8</v>
      </c>
      <c r="E11" s="14" t="s">
        <v>35</v>
      </c>
      <c r="G11" s="15"/>
      <c r="P11"/>
      <c r="Q11"/>
      <c r="R11"/>
    </row>
    <row r="12" spans="2:18" ht="17" customHeight="1" x14ac:dyDescent="0.2">
      <c r="B12" s="9" t="s">
        <v>30</v>
      </c>
      <c r="C12">
        <f>C10*C20</f>
        <v>93.979103057280014</v>
      </c>
      <c r="G12" s="11"/>
    </row>
    <row r="13" spans="2:18" ht="17" thickBot="1" x14ac:dyDescent="0.25">
      <c r="B13" s="16" t="s">
        <v>31</v>
      </c>
      <c r="C13" s="17">
        <f>C10*C21</f>
        <v>111.20860528444801</v>
      </c>
      <c r="D13" s="17"/>
      <c r="E13" s="17"/>
      <c r="F13" s="17"/>
      <c r="G13" s="18"/>
    </row>
    <row r="14" spans="2:18" ht="17" thickBot="1" x14ac:dyDescent="0.25">
      <c r="P14" s="1"/>
      <c r="Q14" s="1"/>
      <c r="R14" s="1"/>
    </row>
    <row r="15" spans="2:18" ht="17" thickBot="1" x14ac:dyDescent="0.25">
      <c r="B15" s="19" t="s">
        <v>26</v>
      </c>
      <c r="C15" s="20">
        <f>C12/C5</f>
        <v>0.72370000013306734</v>
      </c>
    </row>
    <row r="16" spans="2:18" ht="17" customHeight="1" thickBot="1" x14ac:dyDescent="0.25"/>
    <row r="17" spans="2:16" ht="17" thickBot="1" x14ac:dyDescent="0.25">
      <c r="B17" s="31" t="s">
        <v>7</v>
      </c>
      <c r="C17" s="32"/>
      <c r="D17" s="32"/>
      <c r="E17" s="33"/>
    </row>
    <row r="18" spans="2:16" x14ac:dyDescent="0.2">
      <c r="B18" s="9" t="s">
        <v>3</v>
      </c>
      <c r="C18">
        <v>52217</v>
      </c>
      <c r="D18" t="s">
        <v>1</v>
      </c>
      <c r="E18" s="11"/>
    </row>
    <row r="19" spans="2:16" x14ac:dyDescent="0.2">
      <c r="B19" s="9" t="s">
        <v>4</v>
      </c>
      <c r="C19">
        <v>60941</v>
      </c>
      <c r="D19" t="s">
        <v>1</v>
      </c>
      <c r="E19" s="11"/>
    </row>
    <row r="20" spans="2:16" x14ac:dyDescent="0.2">
      <c r="B20" s="9" t="s">
        <v>3</v>
      </c>
      <c r="C20" s="28">
        <v>120</v>
      </c>
      <c r="D20" t="s">
        <v>27</v>
      </c>
      <c r="E20" s="11"/>
    </row>
    <row r="21" spans="2:16" x14ac:dyDescent="0.2">
      <c r="B21" s="9" t="s">
        <v>4</v>
      </c>
      <c r="C21" s="28">
        <v>142</v>
      </c>
      <c r="D21" t="s">
        <v>27</v>
      </c>
      <c r="E21" s="11"/>
    </row>
    <row r="22" spans="2:16" x14ac:dyDescent="0.2">
      <c r="B22" s="9" t="s">
        <v>14</v>
      </c>
      <c r="C22" s="29">
        <v>0.1646</v>
      </c>
      <c r="D22" t="s">
        <v>15</v>
      </c>
      <c r="E22" s="11"/>
      <c r="G22" s="22"/>
    </row>
    <row r="23" spans="2:16" x14ac:dyDescent="0.2">
      <c r="B23" s="9" t="s">
        <v>32</v>
      </c>
      <c r="C23" s="30">
        <v>0.22198389800000001</v>
      </c>
      <c r="D23" t="s">
        <v>37</v>
      </c>
      <c r="E23" s="11"/>
      <c r="G23" s="22"/>
    </row>
    <row r="24" spans="2:16" ht="17" thickBot="1" x14ac:dyDescent="0.25">
      <c r="B24" s="16" t="s">
        <v>9</v>
      </c>
      <c r="C24" s="17">
        <v>3.2</v>
      </c>
      <c r="D24" s="17" t="s">
        <v>10</v>
      </c>
      <c r="E24" s="18"/>
    </row>
    <row r="26" spans="2:16" ht="52" thickBot="1" x14ac:dyDescent="0.25">
      <c r="B26" s="21" t="s">
        <v>20</v>
      </c>
      <c r="C26" s="21" t="s">
        <v>44</v>
      </c>
      <c r="D26" s="21" t="s">
        <v>21</v>
      </c>
      <c r="E26" s="21" t="s">
        <v>36</v>
      </c>
      <c r="F26" s="21" t="s">
        <v>24</v>
      </c>
      <c r="G26" s="21" t="s">
        <v>23</v>
      </c>
      <c r="H26" s="21" t="s">
        <v>22</v>
      </c>
    </row>
    <row r="27" spans="2:16" hidden="1" x14ac:dyDescent="0.2">
      <c r="B27" s="22" t="s">
        <v>39</v>
      </c>
      <c r="C27" s="23">
        <f>C3</f>
        <v>6012</v>
      </c>
      <c r="D27" s="22">
        <f>C4</f>
        <v>6</v>
      </c>
      <c r="E27" s="22">
        <f>C6</f>
        <v>9.8000000000000007</v>
      </c>
      <c r="F27" s="24">
        <f>C8</f>
        <v>0.58070880000000014</v>
      </c>
      <c r="G27" s="24">
        <f>F27*4</f>
        <v>2.3228352000000005</v>
      </c>
      <c r="H27" s="25">
        <f>C15</f>
        <v>0.72370000013306734</v>
      </c>
    </row>
    <row r="28" spans="2:16" x14ac:dyDescent="0.2">
      <c r="B28" s="22" t="s">
        <v>39</v>
      </c>
      <c r="C28" s="26">
        <v>6012</v>
      </c>
      <c r="D28" s="22">
        <v>6</v>
      </c>
      <c r="E28" s="22">
        <v>9.8000000000000007</v>
      </c>
      <c r="F28" s="24">
        <v>0.78315919214400009</v>
      </c>
      <c r="G28" s="24">
        <f>0.5807088*4</f>
        <v>2.3228352000000001</v>
      </c>
      <c r="H28" s="27">
        <v>0.7237256385233376</v>
      </c>
    </row>
    <row r="29" spans="2:16" x14ac:dyDescent="0.2">
      <c r="B29" s="22" t="s">
        <v>40</v>
      </c>
      <c r="C29" s="26">
        <v>6143</v>
      </c>
      <c r="D29" s="22">
        <v>6</v>
      </c>
      <c r="E29" s="22">
        <v>9.6999999999999993</v>
      </c>
      <c r="F29" s="24">
        <v>0.77516777181599983</v>
      </c>
      <c r="G29" s="24">
        <f>0.5747832*4</f>
        <v>2.2991328000000002</v>
      </c>
      <c r="H29" s="27">
        <v>0.70106465674190899</v>
      </c>
      <c r="M29" s="2"/>
      <c r="N29" s="2"/>
      <c r="O29" s="2"/>
      <c r="P29" s="2"/>
    </row>
    <row r="30" spans="2:16" x14ac:dyDescent="0.2">
      <c r="B30" s="22" t="s">
        <v>41</v>
      </c>
      <c r="C30" s="26">
        <v>14972</v>
      </c>
      <c r="D30" s="22">
        <v>6</v>
      </c>
      <c r="E30" s="22">
        <v>24.3</v>
      </c>
      <c r="F30" s="24">
        <v>1.9419151397039998</v>
      </c>
      <c r="G30" s="24">
        <f>1.4399208*4</f>
        <v>5.7596831999999996</v>
      </c>
      <c r="H30" s="27">
        <v>0.7205984265383546</v>
      </c>
      <c r="M30" s="3"/>
      <c r="N30" s="3"/>
      <c r="O30" s="3"/>
      <c r="P30" s="3"/>
    </row>
    <row r="31" spans="2:16" x14ac:dyDescent="0.2">
      <c r="B31" s="22" t="s">
        <v>42</v>
      </c>
      <c r="C31" s="26">
        <f>5032*3</f>
        <v>15096</v>
      </c>
      <c r="D31" s="22">
        <v>2</v>
      </c>
      <c r="E31" s="22">
        <v>23.5</v>
      </c>
      <c r="F31" s="24">
        <v>0.93899188853999982</v>
      </c>
      <c r="G31" s="24">
        <f>0.464172*3</f>
        <v>1.3925159999999999</v>
      </c>
      <c r="H31" s="27">
        <v>0.69115082290925944</v>
      </c>
      <c r="M31" s="3"/>
      <c r="N31" s="3"/>
      <c r="O31" s="3"/>
      <c r="P31" s="3"/>
    </row>
    <row r="32" spans="2:16" x14ac:dyDescent="0.2">
      <c r="M32" s="4"/>
      <c r="N32" s="4"/>
      <c r="O32" s="4"/>
      <c r="P32" s="4"/>
    </row>
  </sheetData>
  <mergeCells count="2">
    <mergeCell ref="B17:E17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colby</dc:creator>
  <cp:lastModifiedBy>Colby DeWeese</cp:lastModifiedBy>
  <dcterms:created xsi:type="dcterms:W3CDTF">2024-06-03T07:13:50Z</dcterms:created>
  <dcterms:modified xsi:type="dcterms:W3CDTF">2025-05-17T20:54:24Z</dcterms:modified>
</cp:coreProperties>
</file>