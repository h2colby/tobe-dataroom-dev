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olby/Financial_Model/"/>
    </mc:Choice>
  </mc:AlternateContent>
  <xr:revisionPtr revIDLastSave="0" documentId="13_ncr:20001_{2B4839E9-917D-664F-8AE6-1BDB3B56CA98}" xr6:coauthVersionLast="47" xr6:coauthVersionMax="47" xr10:uidLastSave="{00000000-0000-0000-0000-000000000000}"/>
  <bookViews>
    <workbookView xWindow="0" yWindow="500" windowWidth="68800" windowHeight="26600" activeTab="3" xr2:uid="{00000000-000D-0000-FFFF-FFFF00000000}"/>
  </bookViews>
  <sheets>
    <sheet name="COVER" sheetId="1" r:id="rId1"/>
    <sheet name="EXECUTIVE SUMMARY" sheetId="2" r:id="rId2"/>
    <sheet name="ASSUMPTIONS" sheetId="3" r:id="rId3"/>
    <sheet name="UNIT ECONOMICS" sheetId="4" r:id="rId4"/>
    <sheet name="REVENUE MODEL" sheetId="5" r:id="rId5"/>
    <sheet name="P&amp;L" sheetId="6" r:id="rId6"/>
    <sheet name="CASH FLOW" sheetId="7" r:id="rId7"/>
    <sheet name="FACILITY RAMP" sheetId="8" r:id="rId8"/>
    <sheet name="FACILITY AFE" sheetId="9" r:id="rId9"/>
    <sheet name="45V TAX CREDIT" sheetId="10" r:id="rId10"/>
    <sheet name="MARKET &amp; TAM" sheetId="11" r:id="rId11"/>
    <sheet name="COMPETITIVE LANDSCAPE" sheetId="12" r:id="rId12"/>
    <sheet name="CAP TABLE" sheetId="13" r:id="rId13"/>
    <sheet name="SOURCES &amp; NOTES" sheetId="14" r:id="rId14"/>
    <sheet name="SENSITIVITY" sheetId="15" r:id="rId15"/>
  </sheets>
  <definedNames>
    <definedName name="addl_facility_capex">ASSUMPTIONS!$C$50</definedName>
    <definedName name="asset_life">ASSUMPTIONS!$C$53</definedName>
    <definedName name="benefits_loading">ASSUMPTIONS!$C$60</definedName>
    <definedName name="blended_h2_cogs">ASSUMPTIONS!$C$134:$I$134</definedName>
    <definedName name="bop_efficiency">ASSUMPTIONS!$C$11</definedName>
    <definedName name="compression_energy">ASSUMPTIONS!$C$12</definedName>
    <definedName name="debt_rate">ASSUMPTIONS!$C$81</definedName>
    <definedName name="direct_variable_cost">ASSUMPTIONS!$C$34</definedName>
    <definedName name="electricity_price">ASSUMPTIONS!$C$5</definedName>
    <definedName name="h2_asp">ASSUMPTIONS!$C$15</definedName>
    <definedName name="h2_production_fy7">ASSUMPTIONS!$I$105</definedName>
    <definedName name="maintenance_cost">ASSUMPTIONS!$C$59</definedName>
    <definedName name="nameplate_per_facility">ASSUMPTIONS!$C$22</definedName>
    <definedName name="pilot_capex">ASSUMPTIONS!$C$49</definedName>
    <definedName name="pre_money_val">ASSUMPTIONS!$C$78</definedName>
    <definedName name="ptc_rate">ASSUMPTIONS!$C$68</definedName>
    <definedName name="ptc_toggle">ASSUMPTIONS!$C$72</definedName>
    <definedName name="seed_debt">ASSUMPTIONS!$C$76</definedName>
    <definedName name="seed_equity">ASSUMPTIONS!$C$75</definedName>
    <definedName name="stack_sec">ASSUMPTIONS!$C$7</definedName>
    <definedName name="system_sec_base">ASSUMPTIONS!$C$8</definedName>
    <definedName name="t125_cogs">ASSUMPTIONS!$C$41</definedName>
    <definedName name="t125_price">ASSUMPTIONS!$C$40</definedName>
    <definedName name="t25_cogs">ASSUMPTIONS!$C$38</definedName>
    <definedName name="t25_price">ASSUMPTIONS!$C$37</definedName>
    <definedName name="tax_rate">ASSUMPTIONS!$C$67</definedName>
    <definedName name="utilization_target">ASSUMPTIONS!$C$25</definedName>
    <definedName name="wind_ppa_rate">ASSUMPTIONS!$C$6</definedName>
  </definedNam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8" i="15" l="1"/>
  <c r="C57" i="15"/>
  <c r="C56" i="15"/>
  <c r="C55" i="15"/>
  <c r="C54" i="15"/>
  <c r="C53" i="15"/>
  <c r="C39" i="15"/>
  <c r="C37" i="15"/>
  <c r="C38" i="15" s="1"/>
  <c r="E36" i="15"/>
  <c r="E39" i="15" s="1"/>
  <c r="C36" i="15"/>
  <c r="D32" i="15"/>
  <c r="G27" i="15"/>
  <c r="F27" i="15"/>
  <c r="E27" i="15"/>
  <c r="D27" i="15"/>
  <c r="C27" i="15"/>
  <c r="G26" i="15"/>
  <c r="F26" i="15"/>
  <c r="E26" i="15"/>
  <c r="D26" i="15"/>
  <c r="C26" i="15"/>
  <c r="G25" i="15"/>
  <c r="F25" i="15"/>
  <c r="E25" i="15"/>
  <c r="D25" i="15"/>
  <c r="C25" i="15"/>
  <c r="G24" i="15"/>
  <c r="F24" i="15"/>
  <c r="E24" i="15"/>
  <c r="D24" i="15"/>
  <c r="C24" i="15"/>
  <c r="G23" i="15"/>
  <c r="F23" i="15"/>
  <c r="E23" i="15"/>
  <c r="D23" i="15"/>
  <c r="C23" i="15"/>
  <c r="F18" i="15"/>
  <c r="D18" i="15"/>
  <c r="C18" i="15"/>
  <c r="F17" i="15"/>
  <c r="D17" i="15"/>
  <c r="C17" i="15"/>
  <c r="F16" i="15"/>
  <c r="C16" i="15"/>
  <c r="D35" i="13"/>
  <c r="E35" i="13" s="1"/>
  <c r="D34" i="13"/>
  <c r="D33" i="13"/>
  <c r="E33" i="13" s="1"/>
  <c r="D32" i="13"/>
  <c r="C21" i="13"/>
  <c r="E20" i="13"/>
  <c r="C9" i="13"/>
  <c r="C6" i="13"/>
  <c r="C5" i="13"/>
  <c r="E19" i="11"/>
  <c r="C19" i="11"/>
  <c r="I26" i="10"/>
  <c r="H26" i="10"/>
  <c r="G26" i="10"/>
  <c r="F26" i="10"/>
  <c r="E26" i="10"/>
  <c r="D26" i="10"/>
  <c r="C26" i="10"/>
  <c r="C20" i="10"/>
  <c r="C19" i="10"/>
  <c r="I15" i="10"/>
  <c r="H15" i="10"/>
  <c r="G15" i="10"/>
  <c r="F15" i="10"/>
  <c r="E15" i="10"/>
  <c r="D15" i="10"/>
  <c r="D16" i="10" s="1"/>
  <c r="E16" i="10" s="1"/>
  <c r="F16" i="10" s="1"/>
  <c r="G16" i="10" s="1"/>
  <c r="H16" i="10" s="1"/>
  <c r="I16" i="10" s="1"/>
  <c r="C15" i="10"/>
  <c r="C8" i="10"/>
  <c r="C7" i="10"/>
  <c r="C6" i="10"/>
  <c r="C5" i="10"/>
  <c r="D51" i="9"/>
  <c r="D10" i="8" s="1"/>
  <c r="D31" i="9"/>
  <c r="D54" i="9" s="1"/>
  <c r="D39" i="8"/>
  <c r="F39" i="8" s="1"/>
  <c r="G39" i="8" s="1"/>
  <c r="D38" i="8"/>
  <c r="F38" i="8" s="1"/>
  <c r="G38" i="8" s="1"/>
  <c r="H37" i="8"/>
  <c r="F37" i="8"/>
  <c r="G37" i="8" s="1"/>
  <c r="D37" i="8"/>
  <c r="H36" i="8"/>
  <c r="D36" i="8"/>
  <c r="F36" i="8" s="1"/>
  <c r="G36" i="8" s="1"/>
  <c r="H35" i="8"/>
  <c r="D35" i="8"/>
  <c r="F35" i="8" s="1"/>
  <c r="G35" i="8" s="1"/>
  <c r="H34" i="8"/>
  <c r="D34" i="8"/>
  <c r="F34" i="8" s="1"/>
  <c r="G34" i="8" s="1"/>
  <c r="I30" i="8"/>
  <c r="H30" i="8"/>
  <c r="G30" i="8"/>
  <c r="F30" i="8"/>
  <c r="E30" i="8"/>
  <c r="D30" i="8"/>
  <c r="I16" i="8"/>
  <c r="D16" i="8"/>
  <c r="I15" i="8"/>
  <c r="D15" i="8"/>
  <c r="I14" i="8"/>
  <c r="D14" i="8"/>
  <c r="I13" i="8"/>
  <c r="D13" i="8"/>
  <c r="I12" i="8"/>
  <c r="D12" i="8"/>
  <c r="I11" i="8"/>
  <c r="D11" i="8"/>
  <c r="I10" i="8"/>
  <c r="I9" i="8"/>
  <c r="I8" i="8"/>
  <c r="D8" i="8"/>
  <c r="I7" i="8"/>
  <c r="D7" i="8"/>
  <c r="I6" i="8"/>
  <c r="D6" i="8"/>
  <c r="I5" i="8"/>
  <c r="D5" i="8"/>
  <c r="I19" i="7"/>
  <c r="H19" i="7"/>
  <c r="G19" i="7"/>
  <c r="F19" i="7"/>
  <c r="E19" i="7"/>
  <c r="D19" i="7"/>
  <c r="C19" i="7"/>
  <c r="I13" i="7"/>
  <c r="H13" i="7"/>
  <c r="G13" i="7"/>
  <c r="F13" i="7"/>
  <c r="E13" i="7"/>
  <c r="D13" i="7"/>
  <c r="C13" i="7"/>
  <c r="I7" i="7"/>
  <c r="I43" i="6"/>
  <c r="H43" i="6"/>
  <c r="G43" i="6"/>
  <c r="F43" i="6"/>
  <c r="E43" i="6"/>
  <c r="E26" i="2" s="1"/>
  <c r="D43" i="6"/>
  <c r="C43" i="6"/>
  <c r="I37" i="6"/>
  <c r="H37" i="6"/>
  <c r="G37" i="6"/>
  <c r="F37" i="6"/>
  <c r="E37" i="6"/>
  <c r="D37" i="6"/>
  <c r="C37" i="6"/>
  <c r="I35" i="6"/>
  <c r="H35" i="6"/>
  <c r="E35" i="6"/>
  <c r="I34" i="6"/>
  <c r="H34" i="6"/>
  <c r="H7" i="7" s="1"/>
  <c r="G34" i="6"/>
  <c r="G7" i="7" s="1"/>
  <c r="F34" i="6"/>
  <c r="F7" i="7" s="1"/>
  <c r="E34" i="6"/>
  <c r="E7" i="7" s="1"/>
  <c r="D34" i="6"/>
  <c r="D7" i="7" s="1"/>
  <c r="C34" i="6"/>
  <c r="C7" i="7" s="1"/>
  <c r="I29" i="6"/>
  <c r="H29" i="6"/>
  <c r="G29" i="6"/>
  <c r="F29" i="6"/>
  <c r="E29" i="6"/>
  <c r="D29" i="6"/>
  <c r="C29" i="6"/>
  <c r="I27" i="6"/>
  <c r="H27" i="6"/>
  <c r="G27" i="6"/>
  <c r="F27" i="6"/>
  <c r="E27" i="6"/>
  <c r="D27" i="6"/>
  <c r="C27" i="6"/>
  <c r="I25" i="6"/>
  <c r="H25" i="6"/>
  <c r="G25" i="6"/>
  <c r="F25" i="6"/>
  <c r="E25" i="6"/>
  <c r="D25" i="6"/>
  <c r="C25" i="6"/>
  <c r="I24" i="6"/>
  <c r="H24" i="6"/>
  <c r="G24" i="6"/>
  <c r="I23" i="6"/>
  <c r="H23" i="6"/>
  <c r="G23" i="6"/>
  <c r="F23" i="6"/>
  <c r="F24" i="6" s="1"/>
  <c r="E23" i="6"/>
  <c r="E24" i="6" s="1"/>
  <c r="D23" i="6"/>
  <c r="D24" i="6" s="1"/>
  <c r="C23" i="6"/>
  <c r="H16" i="6"/>
  <c r="I15" i="6"/>
  <c r="H15" i="6"/>
  <c r="G15" i="6"/>
  <c r="G17" i="6" s="1"/>
  <c r="F15" i="6"/>
  <c r="F17" i="6" s="1"/>
  <c r="E15" i="6"/>
  <c r="D15" i="6"/>
  <c r="C15" i="6"/>
  <c r="I14" i="6"/>
  <c r="H14" i="6"/>
  <c r="H17" i="6" s="1"/>
  <c r="G14" i="6"/>
  <c r="F14" i="6"/>
  <c r="E14" i="6"/>
  <c r="D14" i="6"/>
  <c r="C14" i="6"/>
  <c r="G11" i="6"/>
  <c r="G26" i="6" s="1"/>
  <c r="E11" i="6"/>
  <c r="I10" i="6"/>
  <c r="I22" i="2" s="1"/>
  <c r="H10" i="6"/>
  <c r="H22" i="2" s="1"/>
  <c r="G10" i="6"/>
  <c r="G35" i="6" s="1"/>
  <c r="F10" i="6"/>
  <c r="F35" i="6" s="1"/>
  <c r="E10" i="6"/>
  <c r="D10" i="6"/>
  <c r="D35" i="6" s="1"/>
  <c r="C10" i="6"/>
  <c r="C35" i="6" s="1"/>
  <c r="I9" i="6"/>
  <c r="I16" i="6" s="1"/>
  <c r="I17" i="6" s="1"/>
  <c r="H9" i="6"/>
  <c r="G9" i="6"/>
  <c r="G16" i="6" s="1"/>
  <c r="F9" i="6"/>
  <c r="F16" i="6" s="1"/>
  <c r="E9" i="6"/>
  <c r="E20" i="2" s="1"/>
  <c r="D9" i="6"/>
  <c r="D20" i="2" s="1"/>
  <c r="C9" i="6"/>
  <c r="C16" i="6" s="1"/>
  <c r="C17" i="6" s="1"/>
  <c r="I8" i="6"/>
  <c r="I11" i="6" s="1"/>
  <c r="H8" i="6"/>
  <c r="H11" i="6" s="1"/>
  <c r="G8" i="6"/>
  <c r="F8" i="6"/>
  <c r="F11" i="6" s="1"/>
  <c r="E8" i="6"/>
  <c r="D8" i="6"/>
  <c r="D11" i="6" s="1"/>
  <c r="C8" i="6"/>
  <c r="I7" i="6"/>
  <c r="H7" i="6"/>
  <c r="G7" i="6"/>
  <c r="F7" i="6"/>
  <c r="E7" i="6"/>
  <c r="E18" i="2" s="1"/>
  <c r="D7" i="6"/>
  <c r="D18" i="2" s="1"/>
  <c r="C7" i="6"/>
  <c r="C18" i="2" s="1"/>
  <c r="D9" i="5"/>
  <c r="D11" i="5" s="1"/>
  <c r="C9" i="5"/>
  <c r="C11" i="5" s="1"/>
  <c r="I7" i="5"/>
  <c r="H7" i="5"/>
  <c r="H9" i="5" s="1"/>
  <c r="G7" i="5"/>
  <c r="G9" i="5" s="1"/>
  <c r="F7" i="5"/>
  <c r="F9" i="5" s="1"/>
  <c r="E7" i="5"/>
  <c r="E9" i="5" s="1"/>
  <c r="D7" i="5"/>
  <c r="C7" i="5"/>
  <c r="I6" i="5"/>
  <c r="I9" i="5" s="1"/>
  <c r="H6" i="5"/>
  <c r="G6" i="5"/>
  <c r="F6" i="5"/>
  <c r="E6" i="5"/>
  <c r="D6" i="5"/>
  <c r="C6" i="5"/>
  <c r="C55" i="4"/>
  <c r="D41" i="4"/>
  <c r="C41" i="4"/>
  <c r="D40" i="4"/>
  <c r="C40" i="4"/>
  <c r="D38" i="4"/>
  <c r="C38" i="4"/>
  <c r="D23" i="4"/>
  <c r="E22" i="4"/>
  <c r="D22" i="4"/>
  <c r="C22" i="4"/>
  <c r="E21" i="4"/>
  <c r="D21" i="4"/>
  <c r="C21" i="4"/>
  <c r="C16" i="4"/>
  <c r="C14" i="4"/>
  <c r="C13" i="4"/>
  <c r="C8" i="4"/>
  <c r="E8" i="4" s="1"/>
  <c r="C7" i="4"/>
  <c r="E7" i="4" s="1"/>
  <c r="C6" i="4"/>
  <c r="C10" i="4" s="1"/>
  <c r="I136" i="3"/>
  <c r="H136" i="3"/>
  <c r="G136" i="3"/>
  <c r="I135" i="3"/>
  <c r="H135" i="3"/>
  <c r="G135" i="3"/>
  <c r="F135" i="3"/>
  <c r="F136" i="3" s="1"/>
  <c r="E135" i="3"/>
  <c r="E136" i="3" s="1"/>
  <c r="D135" i="3"/>
  <c r="D136" i="3" s="1"/>
  <c r="C135" i="3"/>
  <c r="C136" i="3" s="1"/>
  <c r="E117" i="3"/>
  <c r="E116" i="3"/>
  <c r="E115" i="3"/>
  <c r="E114" i="3"/>
  <c r="E113" i="3"/>
  <c r="E112" i="3"/>
  <c r="E111" i="3"/>
  <c r="I101" i="3"/>
  <c r="H101" i="3"/>
  <c r="G101" i="3"/>
  <c r="F101" i="3"/>
  <c r="E101" i="3"/>
  <c r="D101" i="3"/>
  <c r="C101" i="3"/>
  <c r="C79" i="3"/>
  <c r="C7" i="13" s="1"/>
  <c r="C77" i="3"/>
  <c r="C53" i="2" s="1"/>
  <c r="C42" i="3"/>
  <c r="D42" i="4" s="1"/>
  <c r="C39" i="3"/>
  <c r="C42" i="4" s="1"/>
  <c r="C33" i="3"/>
  <c r="C9" i="4" s="1"/>
  <c r="E9" i="4" s="1"/>
  <c r="C32" i="3"/>
  <c r="C31" i="3"/>
  <c r="C54" i="2"/>
  <c r="I26" i="2"/>
  <c r="H26" i="2"/>
  <c r="G26" i="2"/>
  <c r="F26" i="2"/>
  <c r="D26" i="2"/>
  <c r="C26" i="2"/>
  <c r="E22" i="2"/>
  <c r="D22" i="2"/>
  <c r="C22" i="2"/>
  <c r="I20" i="2"/>
  <c r="H20" i="2"/>
  <c r="H19" i="2"/>
  <c r="G19" i="2"/>
  <c r="F19" i="2"/>
  <c r="E19" i="2"/>
  <c r="C19" i="2"/>
  <c r="I18" i="2"/>
  <c r="H18" i="2"/>
  <c r="G18" i="2"/>
  <c r="F18" i="2"/>
  <c r="C14" i="2"/>
  <c r="C11" i="2"/>
  <c r="C9" i="2"/>
  <c r="F11" i="5" l="1"/>
  <c r="F15" i="5"/>
  <c r="F14" i="5"/>
  <c r="F16" i="5"/>
  <c r="C15" i="4"/>
  <c r="E10" i="4"/>
  <c r="H26" i="6"/>
  <c r="H28" i="6" s="1"/>
  <c r="H21" i="2"/>
  <c r="H19" i="6"/>
  <c r="H20" i="6"/>
  <c r="D36" i="15"/>
  <c r="I26" i="6"/>
  <c r="I28" i="6" s="1"/>
  <c r="I19" i="6"/>
  <c r="C33" i="11"/>
  <c r="I21" i="2"/>
  <c r="C6" i="2"/>
  <c r="C17" i="4"/>
  <c r="D26" i="6"/>
  <c r="D21" i="2"/>
  <c r="E11" i="5"/>
  <c r="E15" i="5"/>
  <c r="E14" i="5"/>
  <c r="E16" i="5"/>
  <c r="G28" i="6"/>
  <c r="F26" i="6"/>
  <c r="F19" i="6"/>
  <c r="F21" i="2"/>
  <c r="F20" i="6"/>
  <c r="G15" i="5"/>
  <c r="G14" i="5"/>
  <c r="G16" i="5"/>
  <c r="G11" i="5"/>
  <c r="H15" i="5"/>
  <c r="H14" i="5"/>
  <c r="H16" i="5"/>
  <c r="H11" i="5"/>
  <c r="I14" i="5"/>
  <c r="I16" i="5"/>
  <c r="I15" i="5"/>
  <c r="I11" i="5"/>
  <c r="C34" i="3"/>
  <c r="C10" i="2" s="1"/>
  <c r="C16" i="5"/>
  <c r="E21" i="2"/>
  <c r="D16" i="5"/>
  <c r="G20" i="6"/>
  <c r="C10" i="13"/>
  <c r="D19" i="2"/>
  <c r="C14" i="5"/>
  <c r="E37" i="15"/>
  <c r="E38" i="15" s="1"/>
  <c r="E6" i="4"/>
  <c r="D14" i="5"/>
  <c r="C11" i="6"/>
  <c r="E32" i="13"/>
  <c r="C80" i="3"/>
  <c r="I19" i="2"/>
  <c r="D15" i="5"/>
  <c r="E16" i="6"/>
  <c r="E17" i="6" s="1"/>
  <c r="G19" i="6"/>
  <c r="G31" i="6" s="1"/>
  <c r="G32" i="6" s="1"/>
  <c r="G27" i="2" s="1"/>
  <c r="F28" i="6"/>
  <c r="C15" i="5"/>
  <c r="F20" i="2"/>
  <c r="C55" i="2"/>
  <c r="C24" i="6"/>
  <c r="E26" i="6"/>
  <c r="E28" i="6" s="1"/>
  <c r="D9" i="8"/>
  <c r="D17" i="8" s="1"/>
  <c r="D55" i="9"/>
  <c r="D56" i="9" s="1"/>
  <c r="D57" i="9" s="1"/>
  <c r="C34" i="11"/>
  <c r="C13" i="2"/>
  <c r="C20" i="2"/>
  <c r="E19" i="6"/>
  <c r="D28" i="6"/>
  <c r="D16" i="6"/>
  <c r="D17" i="6" s="1"/>
  <c r="D19" i="6" s="1"/>
  <c r="G22" i="2"/>
  <c r="G20" i="2"/>
  <c r="G21" i="2"/>
  <c r="E34" i="13"/>
  <c r="F22" i="2"/>
  <c r="D31" i="6" l="1"/>
  <c r="D20" i="6"/>
  <c r="I31" i="6"/>
  <c r="E31" i="6"/>
  <c r="E20" i="6"/>
  <c r="F31" i="6"/>
  <c r="H31" i="6"/>
  <c r="D20" i="13"/>
  <c r="D19" i="13"/>
  <c r="E19" i="13" s="1"/>
  <c r="C56" i="2"/>
  <c r="D17" i="13"/>
  <c r="E17" i="13" s="1"/>
  <c r="D18" i="13"/>
  <c r="E18" i="13" s="1"/>
  <c r="D16" i="13"/>
  <c r="E16" i="13" s="1"/>
  <c r="D15" i="13"/>
  <c r="E15" i="13" s="1"/>
  <c r="D14" i="13"/>
  <c r="C8" i="13"/>
  <c r="C26" i="6"/>
  <c r="C28" i="6" s="1"/>
  <c r="C21" i="2"/>
  <c r="C19" i="6"/>
  <c r="C20" i="6" s="1"/>
  <c r="C56" i="4"/>
  <c r="C57" i="4" s="1"/>
  <c r="C32" i="4"/>
  <c r="D32" i="4" s="1"/>
  <c r="E32" i="4" s="1"/>
  <c r="C30" i="4"/>
  <c r="D30" i="4" s="1"/>
  <c r="E30" i="4" s="1"/>
  <c r="C31" i="4"/>
  <c r="D31" i="4" s="1"/>
  <c r="E31" i="4" s="1"/>
  <c r="C58" i="4"/>
  <c r="C34" i="4"/>
  <c r="D34" i="4" s="1"/>
  <c r="E34" i="4" s="1"/>
  <c r="C54" i="4"/>
  <c r="C33" i="4"/>
  <c r="D33" i="4" s="1"/>
  <c r="E33" i="4" s="1"/>
  <c r="C53" i="4"/>
  <c r="C45" i="4"/>
  <c r="G36" i="6"/>
  <c r="G38" i="6" s="1"/>
  <c r="G24" i="2"/>
  <c r="I20" i="6"/>
  <c r="C12" i="2" s="1"/>
  <c r="H36" i="6" l="1"/>
  <c r="H38" i="6" s="1"/>
  <c r="H24" i="2"/>
  <c r="H32" i="6"/>
  <c r="H27" i="2" s="1"/>
  <c r="E14" i="13"/>
  <c r="E21" i="13" s="1"/>
  <c r="D21" i="13"/>
  <c r="F36" i="6"/>
  <c r="F38" i="6" s="1"/>
  <c r="F24" i="2"/>
  <c r="F32" i="6"/>
  <c r="F27" i="2" s="1"/>
  <c r="I36" i="6"/>
  <c r="I38" i="6" s="1"/>
  <c r="I24" i="2"/>
  <c r="C7" i="2"/>
  <c r="D37" i="15"/>
  <c r="D38" i="15" s="1"/>
  <c r="I32" i="6"/>
  <c r="G39" i="6"/>
  <c r="G40" i="6"/>
  <c r="D24" i="2"/>
  <c r="D36" i="6"/>
  <c r="D38" i="6" s="1"/>
  <c r="D32" i="6"/>
  <c r="D27" i="2" s="1"/>
  <c r="C31" i="6"/>
  <c r="E24" i="2"/>
  <c r="E36" i="6"/>
  <c r="E38" i="6" s="1"/>
  <c r="E32" i="6"/>
  <c r="E27" i="2" s="1"/>
  <c r="F39" i="6" l="1"/>
  <c r="F40" i="6"/>
  <c r="G25" i="2"/>
  <c r="G6" i="7"/>
  <c r="G9" i="7" s="1"/>
  <c r="G23" i="7" s="1"/>
  <c r="G24" i="7" s="1"/>
  <c r="G41" i="6"/>
  <c r="C24" i="2"/>
  <c r="C36" i="6"/>
  <c r="C38" i="6" s="1"/>
  <c r="C32" i="6"/>
  <c r="C27" i="2" s="1"/>
  <c r="I27" i="2"/>
  <c r="D7" i="2"/>
  <c r="I39" i="6"/>
  <c r="I40" i="6"/>
  <c r="E39" i="6"/>
  <c r="E40" i="6"/>
  <c r="D39" i="6"/>
  <c r="D40" i="6" s="1"/>
  <c r="H39" i="6"/>
  <c r="H40" i="6"/>
  <c r="D25" i="2" l="1"/>
  <c r="D6" i="7"/>
  <c r="D9" i="7" s="1"/>
  <c r="D23" i="7" s="1"/>
  <c r="D24" i="7" s="1"/>
  <c r="D41" i="6"/>
  <c r="E25" i="2"/>
  <c r="E6" i="7"/>
  <c r="E9" i="7" s="1"/>
  <c r="E23" i="7" s="1"/>
  <c r="E24" i="7" s="1"/>
  <c r="E41" i="6"/>
  <c r="I6" i="7"/>
  <c r="I9" i="7" s="1"/>
  <c r="I23" i="7" s="1"/>
  <c r="I24" i="7" s="1"/>
  <c r="I25" i="2"/>
  <c r="D39" i="15"/>
  <c r="C8" i="2"/>
  <c r="I41" i="6"/>
  <c r="D8" i="2" s="1"/>
  <c r="C39" i="6"/>
  <c r="C40" i="6" s="1"/>
  <c r="H6" i="7"/>
  <c r="H9" i="7" s="1"/>
  <c r="H23" i="7" s="1"/>
  <c r="H24" i="7" s="1"/>
  <c r="H25" i="2"/>
  <c r="H41" i="6"/>
  <c r="F25" i="2"/>
  <c r="F6" i="7"/>
  <c r="F9" i="7" s="1"/>
  <c r="F23" i="7" s="1"/>
  <c r="F24" i="7" s="1"/>
  <c r="F41" i="6"/>
  <c r="C25" i="2" l="1"/>
  <c r="C6" i="7"/>
  <c r="C9" i="7" s="1"/>
  <c r="C23" i="7" s="1"/>
  <c r="C24" i="7" s="1"/>
  <c r="C41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</author>
  </authors>
  <commentList>
    <comment ref="C5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PSO large-power industrial tariff. TEA base case. CLAUDE.md Rule #6 mandates $0.04 (not older $0.035).</t>
        </r>
      </text>
    </comment>
    <comment ref="C7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Lab-validated at stack level from 22,103 data points (6kW and 15kW prototypes, Navy SBIR N242-070). System SEC is higher due to BOP parasitic load (~4 kWh/kg).</t>
        </r>
      </text>
    </comment>
    <comment ref="C15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Blended ASP across customer segments. Range: $15/kg (bulk) to $47/kg (cylinder replacement). Weighted avg of signed commitments: ~$19/kg. Model uses $25 as achievable mid-market ASP.</t>
        </r>
      </text>
    </comment>
    <comment ref="C22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900,000 kg/yr = 2,500 kg/day × 360 operating days. Each facility has 10× T-125 units (125 kg/day each = 1,250 kg/day per bank, 2 banks = 2,500 kg/day).</t>
        </r>
      </text>
    </comment>
    <comment ref="C37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Source: Pulse Holdings Quote TE-PH-ELX-88-51, January 2026. T-25: 25 kg/day H₂, 50 kW nameplate.</t>
        </r>
      </text>
    </comment>
    <comment ref="C40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Source: Pulse Holdings Quote TE-PH-ELX-88-51. $120K base + $47K options package at 90% attach = $167K.</t>
        </r>
      </text>
    </comment>
    <comment ref="C49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Pilot facility at Tulsa. Includes: electrolyzers $700K, compressor $250K, storage $300K, dispensing $150K, manufacturing equipment $260K, construction $300K, R&amp;D materials $300K, contingency $460K. Source: v853 Facility AFE tab.</t>
        </r>
      </text>
    </comment>
    <comment ref="C50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Additional facility (10× T-125). Includes $300K modularization savings vs pilot. Lower contingency (5.1% vs 15%) reflecting manufacturing learning. Source: v853 Facility AFE.</t>
        </r>
      </text>
    </comment>
    <comment ref="C67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Federal corporate rate 21% + Oklahoma state rate ~6% = effective 27%. Applied only to positive EBT (NOL carryforward for FY1 losses).</t>
        </r>
      </text>
    </comment>
    <comment ref="C68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IRA Section 45V Tier 1 (max rate). Requires lifecycle emissions &lt; 0.45 kgCO₂e/kg H₂. Tobe qualifies at 0.03 kgCO₂e/kg. Construction must begin by Dec 31, 2027 for eligibility. 4 of 12 facilities eligible. $27M per facility over 10-year credit window.</t>
        </r>
      </text>
    </comment>
    <comment ref="C75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Seed equity: $7.5M at $40M pre-money = 15.8% dilution. Total seed round $10M including $2.5M debt.</t>
        </r>
      </text>
    </comment>
    <comment ref="B105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Source: v853 Model Assumptions — facility ramp schedule</t>
        </r>
      </text>
    </comment>
    <comment ref="B134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Blended across all operating facilities including: electricity (per-facility rates), water, compression, transport, allocated labor, maintenance. Varies by year due to facility mix changes (higher-cost Seattle/Spokane/ABQ enter). Source: v853 Financials — H₂ COGS / Production Volume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</author>
  </authors>
  <commentList>
    <comment ref="B12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$1,250K loaded annual cost / 900K kg nameplate = $1.389/kg. Year 2 utilization is lower so allocated cost is higher ($2.646/kg). Source: v853 Unit Economics.</t>
        </r>
      </text>
    </comment>
    <comment ref="C13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Pilot CapEx $3.3M / 9 year life / 900,000 kg/yr nameplate = $0.407/kg. At additional facility ($3.075M): $0.380/kg.</t>
        </r>
      </text>
    </comment>
    <comment ref="B15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Direct variable + allocated labor + allocated CapEx + maintenance. This is the fully-loaded per-kg cost at nameplate (Year 3+). Compare to grey H₂ delivered $5.25/kg — Tobe advantage of ~$0.08-0.41/kg on-site.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</author>
  </authors>
  <commentList>
    <comment ref="B2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Three revenue engines: (1) H₂ production at customer sites, (2) T-25/T-125 electrolyzer equipment sales, (3) Recurring service contracts at 75% attach rate, $3.5K/yr (T-25) and $16.7K/yr (T-125).</t>
        </r>
      </text>
    </comment>
    <comment ref="C6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=ASSUMPTIONS H2 vol × $25/kg ASP</t>
        </r>
      </text>
    </comment>
    <comment ref="D6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=ASSUMPTIONS H2 vol × $25/kg ASP</t>
        </r>
      </text>
    </comment>
    <comment ref="E6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=ASSUMPTIONS H2 vol × $25/kg ASP</t>
        </r>
      </text>
    </comment>
    <comment ref="F6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=ASSUMPTIONS H2 vol × $25/kg ASP</t>
        </r>
      </text>
    </comment>
    <comment ref="G6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=ASSUMPTIONS H2 vol × $25/kg ASP</t>
        </r>
      </text>
    </comment>
    <comment ref="H6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=ASSUMPTIONS H2 vol × $25/kg ASP</t>
        </r>
      </text>
    </comment>
    <comment ref="I6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=ASSUMPTIONS H2 vol × $25/kg ASP</t>
        </r>
      </text>
    </comment>
    <comment ref="B29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Source: TEA Table 20-21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</author>
  </authors>
  <commentList>
    <comment ref="B7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Formula: ASSUMPTIONS H₂ Production (kg) × ASSUMPTIONS Base H₂ ASP</t>
        </r>
      </text>
    </comment>
    <comment ref="C7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Formula: =ASSUMPTIONS!C105*ASSUMPTIONS!$C$15 (0 kg × $25/kg)</t>
        </r>
      </text>
    </comment>
    <comment ref="D7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Formula: =ASSUMPTIONS!D105*ASSUMPTIONS!$C$15 (472,500 kg × $25/kg)</t>
        </r>
      </text>
    </comment>
    <comment ref="E7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Formula: =ASSUMPTIONS!E105*ASSUMPTIONS!$C$15 (3,112,500 kg × $25/kg)</t>
        </r>
      </text>
    </comment>
    <comment ref="F7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Formula: =ASSUMPTIONS!F105*ASSUMPTIONS!$C$15 (5,662,500 kg × $25/kg)</t>
        </r>
      </text>
    </comment>
    <comment ref="G7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Formula: =ASSUMPTIONS!G105*ASSUMPTIONS!$C$15 (8,437,500 kg × $25/kg)</t>
        </r>
      </text>
    </comment>
    <comment ref="H7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Formula: =ASSUMPTIONS!H105*ASSUMPTIONS!$C$15 (10,575,000 kg × $25/kg)</t>
        </r>
      </text>
    </comment>
    <comment ref="I7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Formula: =ASSUMPTIONS!I105*ASSUMPTIONS!$C$15 (10,800,000 kg × $25/kg)</t>
        </r>
      </text>
    </comment>
    <comment ref="B8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Formula: (T-25 units × T-25 price) + (T-125 units × T-125 price)</t>
        </r>
      </text>
    </comment>
    <comment ref="C8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Formula: =ASSUMPTIONS!C99*$C$37 + C100*$C$40</t>
        </r>
      </text>
    </comment>
    <comment ref="D8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Formula: =ASSUMPTIONS!D99*$C$37 + D100*$C$40</t>
        </r>
      </text>
    </comment>
    <comment ref="E8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Formula: =ASSUMPTIONS!E99*$C$37 + E100*$C$40</t>
        </r>
      </text>
    </comment>
    <comment ref="F8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Formula: =ASSUMPTIONS!F99*$C$37 + F100*$C$40</t>
        </r>
      </text>
    </comment>
    <comment ref="G8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Formula: =ASSUMPTIONS!G99*$C$37 + G100*$C$40</t>
        </r>
      </text>
    </comment>
    <comment ref="H8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Formula: =ASSUMPTIONS!H99*$C$37 + H100*$C$40</t>
        </r>
      </text>
    </comment>
    <comment ref="I8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Formula: =ASSUMPTIONS!I99*$C$37 + I100*$C$40</t>
        </r>
      </text>
    </comment>
    <comment ref="B11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Sum of H₂ Production + Equipment Sales + Services. Excludes 45V PTC which is non-operating income.</t>
        </r>
      </text>
    </comment>
    <comment ref="C11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=H₂ Rev + Equip Rev + Svc Rev = $875,000</t>
        </r>
      </text>
    </comment>
    <comment ref="D11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=H₂ Rev + Equip Rev + Svc Rev = $16,140,313</t>
        </r>
      </text>
    </comment>
    <comment ref="E11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=H₂ Rev + Equip Rev + Svc Rev = $88,314,613</t>
        </r>
      </text>
    </comment>
    <comment ref="F11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=H₂ Rev + Equip Rev + Svc Rev = $161,180,705</t>
        </r>
      </text>
    </comment>
    <comment ref="G11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=H₂ Rev + Equip Rev + Svc Rev = $241,979,781</t>
        </r>
      </text>
    </comment>
    <comment ref="H11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=H₂ Rev + Equip Rev + Svc Rev = $307,709,952</t>
        </r>
      </text>
    </comment>
    <comment ref="I11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=H₂ Rev + Equip Rev + Svc Rev = $327,654,846</t>
        </r>
      </text>
    </comment>
    <comment ref="B14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Formula: ASSUMPTIONS H₂ Production (kg) × ASSUMPTIONS Blended H₂ COGS per kg. Blended cost varies by year due to facility mix (different electricity rates).</t>
        </r>
      </text>
    </comment>
    <comment ref="C14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Formula: =vol × blended_cost = 0 × $0</t>
        </r>
      </text>
    </comment>
    <comment ref="D14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Formula: =vol × blended_cost = 472,500 × $2.685</t>
        </r>
      </text>
    </comment>
    <comment ref="E14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Formula: =vol × blended_cost = 3,112,500 × $3.126</t>
        </r>
      </text>
    </comment>
    <comment ref="F14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Formula: =vol × blended_cost = 5,662,500 × $3.344</t>
        </r>
      </text>
    </comment>
    <comment ref="G14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Formula: =vol × blended_cost = 8,437,500 × $3.393</t>
        </r>
      </text>
    </comment>
    <comment ref="H14" authorId="0" shapeId="0" xr:uid="{00000000-0006-0000-0500-00001F000000}">
      <text>
        <r>
          <rPr>
            <sz val="11"/>
            <color theme="1"/>
            <rFont val="Calibri"/>
            <family val="2"/>
            <scheme val="minor"/>
          </rPr>
          <t>Formula: =vol × blended_cost = 10,575,000 × $3.461</t>
        </r>
      </text>
    </comment>
    <comment ref="I14" authorId="0" shapeId="0" xr:uid="{00000000-0006-0000-0500-000020000000}">
      <text>
        <r>
          <rPr>
            <sz val="11"/>
            <color theme="1"/>
            <rFont val="Calibri"/>
            <family val="2"/>
            <scheme val="minor"/>
          </rPr>
          <t>Formula: =vol × blended_cost = 10,800,000 × $3.544</t>
        </r>
      </text>
    </comment>
    <comment ref="B15" authorId="0" shapeId="0" xr:uid="{00000000-0006-0000-0500-000021000000}">
      <text>
        <r>
          <rPr>
            <sz val="11"/>
            <color theme="1"/>
            <rFont val="Calibri"/>
            <family val="2"/>
            <scheme val="minor"/>
          </rPr>
          <t>Formula: (T-25 units × T-25 COGS) + (T-125 units × T-125 COGS). Note: does not include learning curve cost-down.</t>
        </r>
      </text>
    </comment>
    <comment ref="C15" authorId="0" shapeId="0" xr:uid="{00000000-0006-0000-0500-000022000000}">
      <text>
        <r>
          <rPr>
            <sz val="11"/>
            <color theme="1"/>
            <rFont val="Calibri"/>
            <family val="2"/>
            <scheme val="minor"/>
          </rPr>
          <t>Formula: =T25_units×$C$38 + T125_units×$C$41</t>
        </r>
      </text>
    </comment>
    <comment ref="D15" authorId="0" shapeId="0" xr:uid="{00000000-0006-0000-0500-000023000000}">
      <text>
        <r>
          <rPr>
            <sz val="11"/>
            <color theme="1"/>
            <rFont val="Calibri"/>
            <family val="2"/>
            <scheme val="minor"/>
          </rPr>
          <t>Formula: =T25_units×$C$38 + T125_units×$C$41</t>
        </r>
      </text>
    </comment>
    <comment ref="E15" authorId="0" shapeId="0" xr:uid="{00000000-0006-0000-0500-000024000000}">
      <text>
        <r>
          <rPr>
            <sz val="11"/>
            <color theme="1"/>
            <rFont val="Calibri"/>
            <family val="2"/>
            <scheme val="minor"/>
          </rPr>
          <t>Formula: =T25_units×$C$38 + T125_units×$C$41</t>
        </r>
      </text>
    </comment>
    <comment ref="F15" authorId="0" shapeId="0" xr:uid="{00000000-0006-0000-0500-000025000000}">
      <text>
        <r>
          <rPr>
            <sz val="11"/>
            <color theme="1"/>
            <rFont val="Calibri"/>
            <family val="2"/>
            <scheme val="minor"/>
          </rPr>
          <t>Formula: =T25_units×$C$38 + T125_units×$C$41</t>
        </r>
      </text>
    </comment>
    <comment ref="G15" authorId="0" shapeId="0" xr:uid="{00000000-0006-0000-0500-000026000000}">
      <text>
        <r>
          <rPr>
            <sz val="11"/>
            <color theme="1"/>
            <rFont val="Calibri"/>
            <family val="2"/>
            <scheme val="minor"/>
          </rPr>
          <t>Formula: =T25_units×$C$38 + T125_units×$C$41</t>
        </r>
      </text>
    </comment>
    <comment ref="H15" authorId="0" shapeId="0" xr:uid="{00000000-0006-0000-0500-000027000000}">
      <text>
        <r>
          <rPr>
            <sz val="11"/>
            <color theme="1"/>
            <rFont val="Calibri"/>
            <family val="2"/>
            <scheme val="minor"/>
          </rPr>
          <t>Formula: =T25_units×$C$38 + T125_units×$C$41</t>
        </r>
      </text>
    </comment>
    <comment ref="I15" authorId="0" shapeId="0" xr:uid="{00000000-0006-0000-0500-000028000000}">
      <text>
        <r>
          <rPr>
            <sz val="11"/>
            <color theme="1"/>
            <rFont val="Calibri"/>
            <family val="2"/>
            <scheme val="minor"/>
          </rPr>
          <t>Formula: =T25_units×$C$38 + T125_units×$C$41</t>
        </r>
      </text>
    </comment>
    <comment ref="C16" authorId="0" shapeId="0" xr:uid="{00000000-0006-0000-0500-000029000000}">
      <text>
        <r>
          <rPr>
            <sz val="11"/>
            <color theme="1"/>
            <rFont val="Calibri"/>
            <family val="2"/>
            <scheme val="minor"/>
          </rPr>
          <t>Formula: =Svc_Rev × 0.2</t>
        </r>
      </text>
    </comment>
    <comment ref="D16" authorId="0" shapeId="0" xr:uid="{00000000-0006-0000-0500-00002A000000}">
      <text>
        <r>
          <rPr>
            <sz val="11"/>
            <color theme="1"/>
            <rFont val="Calibri"/>
            <family val="2"/>
            <scheme val="minor"/>
          </rPr>
          <t>Formula: =Svc_Rev × 0.2</t>
        </r>
      </text>
    </comment>
    <comment ref="E16" authorId="0" shapeId="0" xr:uid="{00000000-0006-0000-0500-00002B000000}">
      <text>
        <r>
          <rPr>
            <sz val="11"/>
            <color theme="1"/>
            <rFont val="Calibri"/>
            <family val="2"/>
            <scheme val="minor"/>
          </rPr>
          <t>Formula: =Svc_Rev × 0.2</t>
        </r>
      </text>
    </comment>
    <comment ref="F16" authorId="0" shapeId="0" xr:uid="{00000000-0006-0000-0500-00002C000000}">
      <text>
        <r>
          <rPr>
            <sz val="11"/>
            <color theme="1"/>
            <rFont val="Calibri"/>
            <family val="2"/>
            <scheme val="minor"/>
          </rPr>
          <t>Formula: =Svc_Rev × 0.2</t>
        </r>
      </text>
    </comment>
    <comment ref="G16" authorId="0" shapeId="0" xr:uid="{00000000-0006-0000-0500-00002D000000}">
      <text>
        <r>
          <rPr>
            <sz val="11"/>
            <color theme="1"/>
            <rFont val="Calibri"/>
            <family val="2"/>
            <scheme val="minor"/>
          </rPr>
          <t>Formula: =Svc_Rev × 0.2</t>
        </r>
      </text>
    </comment>
    <comment ref="H16" authorId="0" shapeId="0" xr:uid="{00000000-0006-0000-0500-00002E000000}">
      <text>
        <r>
          <rPr>
            <sz val="11"/>
            <color theme="1"/>
            <rFont val="Calibri"/>
            <family val="2"/>
            <scheme val="minor"/>
          </rPr>
          <t>Formula: =Svc_Rev × 0.2</t>
        </r>
      </text>
    </comment>
    <comment ref="I16" authorId="0" shapeId="0" xr:uid="{00000000-0006-0000-0500-00002F000000}">
      <text>
        <r>
          <rPr>
            <sz val="11"/>
            <color theme="1"/>
            <rFont val="Calibri"/>
            <family val="2"/>
            <scheme val="minor"/>
          </rPr>
          <t>Formula: =Svc_Rev × 0.2</t>
        </r>
      </text>
    </comment>
    <comment ref="B17" authorId="0" shapeId="0" xr:uid="{00000000-0006-0000-0500-000030000000}">
      <text>
        <r>
          <rPr>
            <sz val="11"/>
            <color theme="1"/>
            <rFont val="Calibri"/>
            <family val="2"/>
            <scheme val="minor"/>
          </rPr>
          <t>Sum of H₂ Production COGS + Equipment COGS + Services COGS. Does not include OpEx.</t>
        </r>
      </text>
    </comment>
    <comment ref="B19" authorId="0" shapeId="0" xr:uid="{00000000-0006-0000-0500-000031000000}">
      <text>
        <r>
          <rPr>
            <sz val="11"/>
            <color theme="1"/>
            <rFont val="Calibri"/>
            <family val="2"/>
            <scheme val="minor"/>
          </rPr>
          <t>Operating Revenue minus Total COGS. Target: 80%+ gross margin at scale.</t>
        </r>
      </text>
    </comment>
    <comment ref="B23" authorId="0" shapeId="0" xr:uid="{00000000-0006-0000-0500-000032000000}">
      <text>
        <r>
          <rPr>
            <sz val="11"/>
            <color theme="1"/>
            <rFont val="Calibri"/>
            <family val="2"/>
            <scheme val="minor"/>
          </rPr>
          <t>From v853 Personnel tab. 15 FTEs in FY1 scaling to 224 by FY7. Includes HQ + facility staff.</t>
        </r>
      </text>
    </comment>
    <comment ref="B24" authorId="0" shapeId="0" xr:uid="{00000000-0006-0000-0500-000033000000}">
      <text>
        <r>
          <rPr>
            <sz val="11"/>
            <color theme="1"/>
            <rFont val="Calibri"/>
            <family val="2"/>
            <scheme val="minor"/>
          </rPr>
          <t>Benefits loading at 37.36% of base salaries (v853 Base Case Inputs).</t>
        </r>
      </text>
    </comment>
    <comment ref="C24" authorId="0" shapeId="0" xr:uid="{00000000-0006-0000-0500-000034000000}">
      <text>
        <r>
          <rPr>
            <sz val="11"/>
            <color rgb="FF000000"/>
            <rFont val="Calibri"/>
            <family val="2"/>
          </rPr>
          <t xml:space="preserve">Formula: =Salaries </t>
        </r>
        <r>
          <rPr>
            <sz val="11"/>
            <color rgb="FF000000"/>
            <rFont val="Calibri"/>
            <family val="2"/>
          </rPr>
          <t>×</t>
        </r>
        <r>
          <rPr>
            <sz val="11"/>
            <color rgb="FF000000"/>
            <rFont val="Calibri"/>
            <family val="2"/>
          </rPr>
          <t xml:space="preserve"> 0.3736</t>
        </r>
      </text>
    </comment>
    <comment ref="D24" authorId="0" shapeId="0" xr:uid="{00000000-0006-0000-0500-000035000000}">
      <text>
        <r>
          <rPr>
            <sz val="11"/>
            <color theme="1"/>
            <rFont val="Calibri"/>
            <family val="2"/>
            <scheme val="minor"/>
          </rPr>
          <t>Formula: =Salaries × 0.3736</t>
        </r>
      </text>
    </comment>
    <comment ref="E24" authorId="0" shapeId="0" xr:uid="{00000000-0006-0000-0500-000036000000}">
      <text>
        <r>
          <rPr>
            <sz val="11"/>
            <color theme="1"/>
            <rFont val="Calibri"/>
            <family val="2"/>
            <scheme val="minor"/>
          </rPr>
          <t>Formula: =Salaries × 0.3736</t>
        </r>
      </text>
    </comment>
    <comment ref="F24" authorId="0" shapeId="0" xr:uid="{00000000-0006-0000-0500-000037000000}">
      <text>
        <r>
          <rPr>
            <sz val="11"/>
            <color theme="1"/>
            <rFont val="Calibri"/>
            <family val="2"/>
            <scheme val="minor"/>
          </rPr>
          <t>Formula: =Salaries × 0.3736</t>
        </r>
      </text>
    </comment>
    <comment ref="G24" authorId="0" shapeId="0" xr:uid="{00000000-0006-0000-0500-000038000000}">
      <text>
        <r>
          <rPr>
            <sz val="11"/>
            <color theme="1"/>
            <rFont val="Calibri"/>
            <family val="2"/>
            <scheme val="minor"/>
          </rPr>
          <t>Formula: =Salaries × 0.3736</t>
        </r>
      </text>
    </comment>
    <comment ref="H24" authorId="0" shapeId="0" xr:uid="{00000000-0006-0000-0500-000039000000}">
      <text>
        <r>
          <rPr>
            <sz val="11"/>
            <color theme="1"/>
            <rFont val="Calibri"/>
            <family val="2"/>
            <scheme val="minor"/>
          </rPr>
          <t>Formula: =Salaries × 0.3736</t>
        </r>
      </text>
    </comment>
    <comment ref="I24" authorId="0" shapeId="0" xr:uid="{00000000-0006-0000-0500-00003A000000}">
      <text>
        <r>
          <rPr>
            <sz val="11"/>
            <color theme="1"/>
            <rFont val="Calibri"/>
            <family val="2"/>
            <scheme val="minor"/>
          </rPr>
          <t>Formula: =Salaries × 0.3736</t>
        </r>
      </text>
    </comment>
    <comment ref="B26" authorId="0" shapeId="0" xr:uid="{00000000-0006-0000-0500-00003B000000}">
      <text>
        <r>
          <rPr>
            <sz val="11"/>
            <color theme="1"/>
            <rFont val="Calibri"/>
            <family val="2"/>
            <scheme val="minor"/>
          </rPr>
          <t>3% of revenue (v853). Includes legal, accounting, sales commissions, marketing.</t>
        </r>
      </text>
    </comment>
    <comment ref="C26" authorId="0" shapeId="0" xr:uid="{00000000-0006-0000-0500-00003C000000}">
      <text>
        <r>
          <rPr>
            <sz val="11"/>
            <color theme="1"/>
            <rFont val="Calibri"/>
            <family val="2"/>
            <scheme val="minor"/>
          </rPr>
          <t>Formula: =OpRev × 0.03</t>
        </r>
      </text>
    </comment>
    <comment ref="D26" authorId="0" shapeId="0" xr:uid="{00000000-0006-0000-0500-00003D000000}">
      <text>
        <r>
          <rPr>
            <sz val="11"/>
            <color theme="1"/>
            <rFont val="Calibri"/>
            <family val="2"/>
            <scheme val="minor"/>
          </rPr>
          <t>Formula: =OpRev × 0.03</t>
        </r>
      </text>
    </comment>
    <comment ref="E26" authorId="0" shapeId="0" xr:uid="{00000000-0006-0000-0500-00003E000000}">
      <text>
        <r>
          <rPr>
            <sz val="11"/>
            <color theme="1"/>
            <rFont val="Calibri"/>
            <family val="2"/>
            <scheme val="minor"/>
          </rPr>
          <t>Formula: =OpRev × 0.03</t>
        </r>
      </text>
    </comment>
    <comment ref="F26" authorId="0" shapeId="0" xr:uid="{00000000-0006-0000-0500-00003F000000}">
      <text>
        <r>
          <rPr>
            <sz val="11"/>
            <color theme="1"/>
            <rFont val="Calibri"/>
            <family val="2"/>
            <scheme val="minor"/>
          </rPr>
          <t>Formula: =OpRev × 0.03</t>
        </r>
      </text>
    </comment>
    <comment ref="G26" authorId="0" shapeId="0" xr:uid="{00000000-0006-0000-0500-000040000000}">
      <text>
        <r>
          <rPr>
            <sz val="11"/>
            <color theme="1"/>
            <rFont val="Calibri"/>
            <family val="2"/>
            <scheme val="minor"/>
          </rPr>
          <t>Formula: =OpRev × 0.03</t>
        </r>
      </text>
    </comment>
    <comment ref="H26" authorId="0" shapeId="0" xr:uid="{00000000-0006-0000-0500-000041000000}">
      <text>
        <r>
          <rPr>
            <sz val="11"/>
            <color theme="1"/>
            <rFont val="Calibri"/>
            <family val="2"/>
            <scheme val="minor"/>
          </rPr>
          <t>Formula: =OpRev × 0.03</t>
        </r>
      </text>
    </comment>
    <comment ref="I26" authorId="0" shapeId="0" xr:uid="{00000000-0006-0000-0500-000042000000}">
      <text>
        <r>
          <rPr>
            <sz val="11"/>
            <color theme="1"/>
            <rFont val="Calibri"/>
            <family val="2"/>
            <scheme val="minor"/>
          </rPr>
          <t>Formula: =OpRev × 0.03</t>
        </r>
      </text>
    </comment>
    <comment ref="B27" authorId="0" shapeId="0" xr:uid="{00000000-0006-0000-0500-000043000000}">
      <text>
        <r>
          <rPr>
            <sz val="11"/>
            <color theme="1"/>
            <rFont val="Calibri"/>
            <family val="2"/>
            <scheme val="minor"/>
          </rPr>
          <t>R&amp;D budget: $963K FY1 → $1.25M FY7. Other OpEx: 2% of revenue.</t>
        </r>
      </text>
    </comment>
    <comment ref="B28" authorId="0" shapeId="0" xr:uid="{00000000-0006-0000-0500-000044000000}">
      <text>
        <r>
          <rPr>
            <sz val="11"/>
            <color theme="1"/>
            <rFont val="Calibri"/>
            <family val="2"/>
            <scheme val="minor"/>
          </rPr>
          <t>Sum of all OpEx line items. Primary drivers: personnel (60%+) and R&amp;D.</t>
        </r>
      </text>
    </comment>
    <comment ref="B31" authorId="0" shapeId="0" xr:uid="{00000000-0006-0000-0500-000045000000}">
      <text>
        <r>
          <rPr>
            <sz val="11"/>
            <color theme="1"/>
            <rFont val="Calibri"/>
            <family val="2"/>
            <scheme val="minor"/>
          </rPr>
          <t>EBITDA = Gross Profit - Total Operating Expenses. Does NOT include 45V PTC, D&amp;A, or interest.</t>
        </r>
      </text>
    </comment>
    <comment ref="B35" authorId="0" shapeId="0" xr:uid="{00000000-0006-0000-0500-000046000000}">
      <text>
        <r>
          <rPr>
            <sz val="11"/>
            <color theme="1"/>
            <rFont val="Calibri"/>
            <family val="2"/>
            <scheme val="minor"/>
          </rPr>
          <t>Production Tax Credit applied below EBITDA. $3/kg for eligible facilities (4 of 12). Toggle: ASSUMPTIONS!C72.</t>
        </r>
      </text>
    </comment>
    <comment ref="B37" authorId="0" shapeId="0" xr:uid="{00000000-0006-0000-0500-000047000000}">
      <text>
        <r>
          <rPr>
            <sz val="11"/>
            <color theme="1"/>
            <rFont val="Calibri"/>
            <family val="2"/>
            <scheme val="minor"/>
          </rPr>
          <t>Seed debt (7%, 36mo) + project financing (Series A/B/C at 7%). Source: v853 Financials.</t>
        </r>
      </text>
    </comment>
    <comment ref="B39" authorId="0" shapeId="0" xr:uid="{00000000-0006-0000-0500-000048000000}">
      <text>
        <r>
          <rPr>
            <sz val="11"/>
            <color theme="1"/>
            <rFont val="Calibri"/>
            <family val="2"/>
            <scheme val="minor"/>
          </rPr>
          <t>Formula: IF(EBT&gt;0, -EBT × tax rate, 0). Tax rate from ASSUMPTIONS!C67 (27%).</t>
        </r>
      </text>
    </comment>
    <comment ref="B43" authorId="0" shapeId="0" xr:uid="{00000000-0006-0000-0500-000049000000}">
      <text>
        <r>
          <rPr>
            <sz val="11"/>
            <color theme="1"/>
            <rFont val="Calibri"/>
            <family val="2"/>
            <scheme val="minor"/>
          </rPr>
          <t>From v853 Financials cash waterfall. Includes all equity/debt inflows and operating cash.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</author>
  </authors>
  <commentList>
    <comment ref="B6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Linked to P&amp;L Net Income row</t>
        </r>
      </text>
    </comment>
    <comment ref="C6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From P&amp;L Net Income FY1</t>
        </r>
      </text>
    </comment>
    <comment ref="D6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From P&amp;L Net Income FY2</t>
        </r>
      </text>
    </comment>
    <comment ref="E6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From P&amp;L Net Income FY3</t>
        </r>
      </text>
    </comment>
    <comment ref="F6" authorId="0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From P&amp;L Net Income FY4</t>
        </r>
      </text>
    </comment>
    <comment ref="G6" authorId="0" shapeId="0" xr:uid="{00000000-0006-0000-0600-000006000000}">
      <text>
        <r>
          <rPr>
            <sz val="11"/>
            <color theme="1"/>
            <rFont val="Calibri"/>
            <family val="2"/>
            <scheme val="minor"/>
          </rPr>
          <t>From P&amp;L Net Income FY5</t>
        </r>
      </text>
    </comment>
    <comment ref="H6" authorId="0" shapeId="0" xr:uid="{00000000-0006-0000-0600-000007000000}">
      <text>
        <r>
          <rPr>
            <sz val="11"/>
            <color theme="1"/>
            <rFont val="Calibri"/>
            <family val="2"/>
            <scheme val="minor"/>
          </rPr>
          <t>From P&amp;L Net Income FY6</t>
        </r>
      </text>
    </comment>
    <comment ref="I6" authorId="0" shapeId="0" xr:uid="{00000000-0006-0000-0600-000008000000}">
      <text>
        <r>
          <rPr>
            <sz val="11"/>
            <color theme="1"/>
            <rFont val="Calibri"/>
            <family val="2"/>
            <scheme val="minor"/>
          </rPr>
          <t>From P&amp;L Net Income FY7</t>
        </r>
      </text>
    </comment>
    <comment ref="B7" authorId="0" shapeId="0" xr:uid="{00000000-0006-0000-0600-000009000000}">
      <text>
        <r>
          <rPr>
            <sz val="11"/>
            <color theme="1"/>
            <rFont val="Calibri"/>
            <family val="2"/>
            <scheme val="minor"/>
          </rPr>
          <t>Linked to P&amp;L D&amp;A (absolute value, add-back)</t>
        </r>
      </text>
    </comment>
    <comment ref="B8" authorId="0" shapeId="0" xr:uid="{00000000-0006-0000-0600-00000A000000}">
      <text>
        <r>
          <rPr>
            <sz val="11"/>
            <color theme="1"/>
            <rFont val="Calibri"/>
            <family val="2"/>
            <scheme val="minor"/>
          </rPr>
          <t>AR = 15 days revenue, AP = 15 days COGS. Net change each year. Source: v853 Financials rows 75-79.</t>
        </r>
      </text>
    </comment>
    <comment ref="B12" authorId="0" shapeId="0" xr:uid="{00000000-0006-0000-0600-00000B000000}">
      <text>
        <r>
          <rPr>
            <sz val="11"/>
            <color theme="1"/>
            <rFont val="Calibri"/>
            <family val="2"/>
            <scheme val="minor"/>
          </rPr>
          <t>Facility buildouts + expansions per v853 Model Assumptions fixed asset schedule. FY1: Pilot $3.3M + F1 expansion $1M + F2 $3.075M. FY5 spike: F7-12 $18.45M + expansions.</t>
        </r>
      </text>
    </comment>
    <comment ref="B16" authorId="0" shapeId="0" xr:uid="{00000000-0006-0000-0600-00000C000000}">
      <text>
        <r>
          <rPr>
            <sz val="11"/>
            <color theme="1"/>
            <rFont val="Calibri"/>
            <family val="2"/>
            <scheme val="minor"/>
          </rPr>
          <t>Seed $7.5M (FY1), Series A $40M (FY2), Series B $60M (FY4), Series C $150M (FY6).</t>
        </r>
      </text>
    </comment>
    <comment ref="B17" authorId="0" shapeId="0" xr:uid="{00000000-0006-0000-0600-00000D000000}">
      <text>
        <r>
          <rPr>
            <sz val="11"/>
            <color theme="1"/>
            <rFont val="Calibri"/>
            <family val="2"/>
            <scheme val="minor"/>
          </rPr>
          <t>Net of draws and repayments. Seed debt $2.5M + Series A PF $17M - amortization. Source: v853.</t>
        </r>
      </text>
    </comment>
    <comment ref="B22" authorId="0" shapeId="0" xr:uid="{00000000-0006-0000-0600-00000E000000}">
      <text>
        <r>
          <rPr>
            <sz val="11"/>
            <color theme="1"/>
            <rFont val="Calibri"/>
            <family val="2"/>
            <scheme val="minor"/>
          </rPr>
          <t>FY1 starts with $682,500 (pre-seed cash on hand as of April 2026).</t>
        </r>
      </text>
    </comment>
    <comment ref="B24" authorId="0" shapeId="0" xr:uid="{00000000-0006-0000-0600-00000F000000}">
      <text>
        <r>
          <rPr>
            <sz val="11"/>
            <color theme="1"/>
            <rFont val="Calibri"/>
            <family val="2"/>
            <scheme val="minor"/>
          </rPr>
          <t>Should match P&amp;L Year-End Cash Balance. Self-funding from FY5.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</author>
  </authors>
  <commentList>
    <comment ref="B2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Geographic expansion: Oklahoma (F1-F2) → Pacific NW (F3-F4) → Mountain West (F5) → Midwest (F6) → National (F7-12). Ramp accelerates from 24 months (Pilot) to 13 months (Mastered) as deployment process matures.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</author>
  </authors>
  <commentList>
    <comment ref="B2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Tobe qualifies for Tier 1 (max $3/kg) because lifecycle emissions of 0.03 kgCO₂e/kg are well below the 0.45 threshold. Requires renewable electricity or RECs for compliance. Oklahoma grid is ~60% fossil — dedicated wind PPA or hourly-matched RECs needed.</t>
        </r>
      </text>
    </comment>
    <comment ref="B24" authorId="0" shapeId="0" xr:uid="{00000000-0006-0000-0900-000002000000}">
      <text>
        <r>
          <rPr>
            <sz val="11"/>
            <color theme="1"/>
            <rFont val="Calibri"/>
            <family val="2"/>
            <scheme val="minor"/>
          </rPr>
          <t>Base case EBITDA including PTC revenue from 4 eligible facilities. Source: v853 P&amp;L Summary.</t>
        </r>
      </text>
    </comment>
    <comment ref="B25" authorId="0" shapeId="0" xr:uid="{00000000-0006-0000-0900-000003000000}">
      <text>
        <r>
          <rPr>
            <sz val="11"/>
            <color theme="1"/>
            <rFont val="Calibri"/>
            <family val="2"/>
            <scheme val="minor"/>
          </rPr>
          <t>EBITDA excluding all PTC revenue. CRITICAL: Company is EBITDA-positive from FY2 even without 45V. This de-risks the investment thesis — 45V is upside, not dependency.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</author>
  </authors>
  <commentList>
    <comment ref="B2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Market sizing performed independently by University of Oklahoma Irani Center (Fall 2025). Team: Komuhendo, Meduri, Nilsson, Singh (Leader: Cousins). $9.81B serviceable market validated across 8 segments with ~32,025 potential customers. 150-mile transportation threshold is the key geographic constraint.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</author>
  </authors>
  <commentList>
    <comment ref="B2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Competitive data sourced from: TEA §9, OU Final Report competitive analysis, Nel VP Steve Szymanski interview (OU report), NREL ATB 2025, DOE H2A benchmarks. Tobe differentiators: no membrane (no Nafion), no rare earth catalysts, no cooling system, TDS-tolerant.</t>
        </r>
      </text>
    </comment>
  </commentList>
</comments>
</file>

<file path=xl/sharedStrings.xml><?xml version="1.0" encoding="utf-8"?>
<sst xmlns="http://schemas.openxmlformats.org/spreadsheetml/2006/main" count="1410" uniqueCount="1038">
  <si>
    <t>TOBE ENERGY CORP</t>
  </si>
  <si>
    <t>Comprehensive Financial Model</t>
  </si>
  <si>
    <t>Seed Round — $10M Raise at $40M Pre-Money Valuation</t>
  </si>
  <si>
    <t>Membrane-Free Green Hydrogen Electrolysis</t>
  </si>
  <si>
    <t>Date:</t>
  </si>
  <si>
    <t>March 2026</t>
  </si>
  <si>
    <t>Version:</t>
  </si>
  <si>
    <t>v1.0 — Consolidated Model</t>
  </si>
  <si>
    <t>Confidentiality:</t>
  </si>
  <si>
    <t>CONFIDENTIAL — For Authorized Recipients Only</t>
  </si>
  <si>
    <t>TABLE OF CONTENTS</t>
  </si>
  <si>
    <t>1. COVER</t>
  </si>
  <si>
    <t>Title page and table of contents</t>
  </si>
  <si>
    <t>2. EXECUTIVE SUMMARY</t>
  </si>
  <si>
    <t>Dashboard of key metrics and investment highlights</t>
  </si>
  <si>
    <t>3. ASSUMPTIONS</t>
  </si>
  <si>
    <t>All input assumptions — yellow cells drive the entire model</t>
  </si>
  <si>
    <t>4. UNIT ECONOMICS</t>
  </si>
  <si>
    <t>Per-kg cost build-up and margin analysis</t>
  </si>
  <si>
    <t>5. REVENUE MODEL</t>
  </si>
  <si>
    <t>Revenue by stream, customer pipeline, facility ramp</t>
  </si>
  <si>
    <t>6. P&amp;L</t>
  </si>
  <si>
    <t>7-year income statement (FY1-FY7)</t>
  </si>
  <si>
    <t>7. CASH FLOW</t>
  </si>
  <si>
    <t>Operating, investing, and financing cash flows</t>
  </si>
  <si>
    <t>8. FACILITY RAMP</t>
  </si>
  <si>
    <t>Facility-by-facility capacity, capex, and timeline</t>
  </si>
  <si>
    <t>9. 45V TAX CREDIT</t>
  </si>
  <si>
    <t>Production tax credit analysis and eligibility</t>
  </si>
  <si>
    <t>10. MARKET &amp; TAM</t>
  </si>
  <si>
    <t>Market sizing: $9.81B serviceable market</t>
  </si>
  <si>
    <t>11. COMPETITIVE LANDSCAPE</t>
  </si>
  <si>
    <t>Technology and cost comparison vs. peers</t>
  </si>
  <si>
    <t>12. CAP TABLE</t>
  </si>
  <si>
    <t>Pre-seed and post-seed ownership structure</t>
  </si>
  <si>
    <t>13. SENSITIVITY</t>
  </si>
  <si>
    <t>Scenario analysis, tornado charts, IRR/NPV</t>
  </si>
  <si>
    <t>14. SOURCES &amp; NOTES</t>
  </si>
  <si>
    <t>Citations, methodology, glossary, disclaimers</t>
  </si>
  <si>
    <t>Contact:</t>
  </si>
  <si>
    <t>Colby DeWeese, CEO</t>
  </si>
  <si>
    <t>colby@tobe.energy</t>
  </si>
  <si>
    <t>Tobe Energy Corp</t>
  </si>
  <si>
    <t>Model Information:</t>
  </si>
  <si>
    <t>Built from 8 source documents including TEA v3.0, Financial Model v8.5.3,</t>
  </si>
  <si>
    <t>OU Irani Center Case Study, and external model review.</t>
  </si>
  <si>
    <t>Contains 14 tabs, 400+ formulas, 23+ named ranges.</t>
  </si>
  <si>
    <t>Yellow cells = modifiable inputs. Blue cells = calculated values.</t>
  </si>
  <si>
    <t>EXECUTIVE SUMMARY</t>
  </si>
  <si>
    <t>Tobe Energy Corp — Seed Round Financial Model Dashboard</t>
  </si>
  <si>
    <t>KEY METRICS AT A GLANCE (FY7)</t>
  </si>
  <si>
    <t>Metric</t>
  </si>
  <si>
    <t>Value</t>
  </si>
  <si>
    <t>Notes</t>
  </si>
  <si>
    <t>FY7 Operating Revenue</t>
  </si>
  <si>
    <t>12 facilities × 3 revenue streams</t>
  </si>
  <si>
    <t>FY7 EBITDA</t>
  </si>
  <si>
    <t>FY7 Net Income</t>
  </si>
  <si>
    <t>FY7 Cash Position</t>
  </si>
  <si>
    <t>Self-funding by FY5</t>
  </si>
  <si>
    <t>LCOH (Base Case)</t>
  </si>
  <si>
    <t>All-in $/kg at nameplate</t>
  </si>
  <si>
    <t>H₂ ASP</t>
  </si>
  <si>
    <t>$/kg blended across customer segments</t>
  </si>
  <si>
    <t>H₂ Gross Margin (at ASP)</t>
  </si>
  <si>
    <t>FY7 gross margin</t>
  </si>
  <si>
    <t>Seed Round Size</t>
  </si>
  <si>
    <t>$7.5M equity + $2.5M debt</t>
  </si>
  <si>
    <t>Pre-Money Valuation</t>
  </si>
  <si>
    <t>$40M pre-money</t>
  </si>
  <si>
    <t>REVENUE TRAJECTORY (FY1-FY7)</t>
  </si>
  <si>
    <t>($M)</t>
  </si>
  <si>
    <t>FY1</t>
  </si>
  <si>
    <t>FY2</t>
  </si>
  <si>
    <t>FY3</t>
  </si>
  <si>
    <t>FY4</t>
  </si>
  <si>
    <t>FY5</t>
  </si>
  <si>
    <t>FY6</t>
  </si>
  <si>
    <t>FY7</t>
  </si>
  <si>
    <t>H₂ Production</t>
  </si>
  <si>
    <t>Equipment Sales</t>
  </si>
  <si>
    <t>Services</t>
  </si>
  <si>
    <t>Operating Revenue</t>
  </si>
  <si>
    <t>45V PTC</t>
  </si>
  <si>
    <t>EBITDA ($M)</t>
  </si>
  <si>
    <t>Net Income ($M)</t>
  </si>
  <si>
    <t>Cash ($M)</t>
  </si>
  <si>
    <t>EBITDA Margin %</t>
  </si>
  <si>
    <t>INVESTMENT HIGHLIGHTS</t>
  </si>
  <si>
    <t>1. 92% System Efficiency — membrane-free electrolysis eliminates Nafion ($500-800/m²) and rare earth catalysts</t>
  </si>
  <si>
    <t>2. EBITDA Positive from Year 2 — strong unit economics at ~$4.84/kg all-in vs. $25/kg ASP</t>
  </si>
  <si>
    <t>3. 12 Facilities by FY7 — 4 ramp tiers (Pilot 24mo → Mastered 13mo); 900K kg/yr nameplate each</t>
  </si>
  <si>
    <t>4. 45V PTC: $27M per Eligible Facility — $3/kg × 900K kg × 10 years; 4 facilities qualify</t>
  </si>
  <si>
    <t>5. 3-Engine Revenue Model — H₂ production + equipment sales (T-25/T-125) + recurring services (75% attach)</t>
  </si>
  <si>
    <t>6. $20M+ Signed LOIs — $26M+ active quotes across 7 industry sectors</t>
  </si>
  <si>
    <t>USE OF FUNDS — $10M SEED</t>
  </si>
  <si>
    <t>Category</t>
  </si>
  <si>
    <t>Amount</t>
  </si>
  <si>
    <t>%</t>
  </si>
  <si>
    <t>Equity ($7.5M)</t>
  </si>
  <si>
    <t xml:space="preserve">  R&amp;D: T-125 System Validation</t>
  </si>
  <si>
    <t>14.7%</t>
  </si>
  <si>
    <t xml:space="preserve">  Manufacturing Equipment</t>
  </si>
  <si>
    <t>14.9%</t>
  </si>
  <si>
    <t xml:space="preserve">  Personnel (15-month)</t>
  </si>
  <si>
    <t>29.5%</t>
  </si>
  <si>
    <t xml:space="preserve">  Certifications &amp; Compliance</t>
  </si>
  <si>
    <t>6.3%</t>
  </si>
  <si>
    <t xml:space="preserve">  Working Capital &amp; G&amp;A</t>
  </si>
  <si>
    <t>25.5%</t>
  </si>
  <si>
    <t xml:space="preserve">  Contingency (10%)</t>
  </si>
  <si>
    <t>9.1%</t>
  </si>
  <si>
    <t>Debt ($2.5M) — Zeeco Facility</t>
  </si>
  <si>
    <t xml:space="preserve">  Zeeco Project CapEx</t>
  </si>
  <si>
    <t>78.1%</t>
  </si>
  <si>
    <t xml:space="preserve">  Utilities &amp; Consumables</t>
  </si>
  <si>
    <t>6.0%</t>
  </si>
  <si>
    <t xml:space="preserve">  Debt Service &amp; WC Reserve</t>
  </si>
  <si>
    <t>16.0%</t>
  </si>
  <si>
    <t>RAISE TERMS</t>
  </si>
  <si>
    <t>Round</t>
  </si>
  <si>
    <t>Seed</t>
  </si>
  <si>
    <t>Total Raise</t>
  </si>
  <si>
    <t>Post-Money Valuation</t>
  </si>
  <si>
    <t>Dilution</t>
  </si>
  <si>
    <t>Step-Up from Pre-Seed</t>
  </si>
  <si>
    <t>4.0x</t>
  </si>
  <si>
    <t>Target Close</t>
  </si>
  <si>
    <t>May 2026</t>
  </si>
  <si>
    <t>INPUT ASSUMPTIONS</t>
  </si>
  <si>
    <t>All yellow cells are inputs. All blue cells are calculated. Every derived value in this workbook references cells on this sheet.</t>
  </si>
  <si>
    <t>Parameter</t>
  </si>
  <si>
    <t>Unit</t>
  </si>
  <si>
    <t>Source / Notes</t>
  </si>
  <si>
    <t>ELECTRICITY &amp; ENERGY</t>
  </si>
  <si>
    <t>Base Electricity Price</t>
  </si>
  <si>
    <t>$/kWh</t>
  </si>
  <si>
    <t>PSO large-power industrial tariff (TEA Table 27)</t>
  </si>
  <si>
    <t>Wind PPA Rate</t>
  </si>
  <si>
    <t>TEA Table 27 upside scenario</t>
  </si>
  <si>
    <t>Stack SEC</t>
  </si>
  <si>
    <t>kWh/kg</t>
  </si>
  <si>
    <t>Lab-validated at stack level (TEA §3)</t>
  </si>
  <si>
    <t>System SEC (Base Case)</t>
  </si>
  <si>
    <t>System-level incl. BOP (TEA Table 27)</t>
  </si>
  <si>
    <t>System SEC (Conservative)</t>
  </si>
  <si>
    <t>Conservative scenario</t>
  </si>
  <si>
    <t>System SEC (Optimized)</t>
  </si>
  <si>
    <t>Optimized power electronics</t>
  </si>
  <si>
    <t>BOP Efficiency</t>
  </si>
  <si>
    <t>v853 Base Case Inputs B90</t>
  </si>
  <si>
    <t>Compression Energy</t>
  </si>
  <si>
    <t>v853 Base Case Inputs</t>
  </si>
  <si>
    <t>HYDROGEN PRICING</t>
  </si>
  <si>
    <t>Base H₂ ASP (Blended)</t>
  </si>
  <si>
    <t>$/kg</t>
  </si>
  <si>
    <t>v853; range $15-$47 from customer quotes</t>
  </si>
  <si>
    <t>Bear Case Price</t>
  </si>
  <si>
    <t>Grey H₂ parity / bulk contract</t>
  </si>
  <si>
    <t>Conservative Price</t>
  </si>
  <si>
    <t>Industrial mid-range</t>
  </si>
  <si>
    <t>Bull Case Price</t>
  </si>
  <si>
    <t>On-site premium</t>
  </si>
  <si>
    <t>Premium Price</t>
  </si>
  <si>
    <t>Cylinder replacement / CA fueling</t>
  </si>
  <si>
    <t>PRODUCTION</t>
  </si>
  <si>
    <t>Nameplate per Facility</t>
  </si>
  <si>
    <t>kg/yr</t>
  </si>
  <si>
    <t>v853: 2,500 kg/day × 360 days</t>
  </si>
  <si>
    <t>T-25 Capacity</t>
  </si>
  <si>
    <t>kg/day</t>
  </si>
  <si>
    <t>Product spec</t>
  </si>
  <si>
    <t>T-125 Capacity</t>
  </si>
  <si>
    <t>Utilization Target</t>
  </si>
  <si>
    <t>TEA base case capacity factor</t>
  </si>
  <si>
    <t>Water Usage</t>
  </si>
  <si>
    <t>L/kg</t>
  </si>
  <si>
    <t>TEA §3; vs. PEM 9-10 kg ultra-pure DI</t>
  </si>
  <si>
    <t>Water Cost</t>
  </si>
  <si>
    <t>$/L</t>
  </si>
  <si>
    <t>Tulsa municipal rate $2.50/1000 gal</t>
  </si>
  <si>
    <t>Transport Cost (50-mile)</t>
  </si>
  <si>
    <t>Tube trailer 50-mile radius</t>
  </si>
  <si>
    <t>UNIT COST CALCULATIONS (Derived)</t>
  </si>
  <si>
    <t>Electricity Cost per kg</t>
  </si>
  <si>
    <t>Stack SEC / BOP Eff × Elec Price</t>
  </si>
  <si>
    <t>Compression Cost per kg</t>
  </si>
  <si>
    <t>Compression kWh × Elec Price</t>
  </si>
  <si>
    <t>Water Cost per kg</t>
  </si>
  <si>
    <t>Water Usage × Water Cost</t>
  </si>
  <si>
    <t>Direct Variable Cost per kg</t>
  </si>
  <si>
    <t>Electricity + Compression + Transport + Water</t>
  </si>
  <si>
    <t>EQUIPMENT SALES</t>
  </si>
  <si>
    <t>T-25 Sale Price</t>
  </si>
  <si>
    <t>$</t>
  </si>
  <si>
    <t>Pulse Holdings Quote TE-PH-ELX-88-51</t>
  </si>
  <si>
    <t>T-25 Launch COGS</t>
  </si>
  <si>
    <t>60% COGS rate at launch</t>
  </si>
  <si>
    <t>T-25 Gross Margin</t>
  </si>
  <si>
    <t>Calculated</t>
  </si>
  <si>
    <t>T-125 Sale Price</t>
  </si>
  <si>
    <t>$120K base + $47K options (90% attach)</t>
  </si>
  <si>
    <t>T-125 Launch COGS</t>
  </si>
  <si>
    <t>59.9% COGS rate at launch</t>
  </si>
  <si>
    <t>T-125 Gross Margin</t>
  </si>
  <si>
    <t>T-25 Service Price</t>
  </si>
  <si>
    <t>$/yr</t>
  </si>
  <si>
    <t>~10% of unit price</t>
  </si>
  <si>
    <t>T-125 Service Price</t>
  </si>
  <si>
    <t>Services COGS Rate</t>
  </si>
  <si>
    <t>80% gross margin on services</t>
  </si>
  <si>
    <t>Service Attach Rate</t>
  </si>
  <si>
    <t>CAPITAL EXPENDITURE</t>
  </si>
  <si>
    <t>Pilot Facility CapEx</t>
  </si>
  <si>
    <t>v853 Facility AFE</t>
  </si>
  <si>
    <t>Additional Facility CapEx</t>
  </si>
  <si>
    <t>v853 Facility AFE (10× T-125)</t>
  </si>
  <si>
    <t>Pilot Expansion (Intermediate)</t>
  </si>
  <si>
    <t>Facility Expansion Cost</t>
  </si>
  <si>
    <t>Asset Useful Life</t>
  </si>
  <si>
    <t>years</t>
  </si>
  <si>
    <t>Straight-line depreciation</t>
  </si>
  <si>
    <t>Construction Duration</t>
  </si>
  <si>
    <t>months</t>
  </si>
  <si>
    <t>Installed Cost per kW</t>
  </si>
  <si>
    <t>$/kW</t>
  </si>
  <si>
    <t>TEA Table 13 all-in installed</t>
  </si>
  <si>
    <t>OPERATING EXPENSES</t>
  </si>
  <si>
    <t>Fixed O&amp;M (% of CapEx)</t>
  </si>
  <si>
    <t>TEA Table 16: maint 1.5% + controls 0.5% + insurance 1%</t>
  </si>
  <si>
    <t>Maintenance &amp; Consumables</t>
  </si>
  <si>
    <t>TEA anchor rate; v853 Unit Economics</t>
  </si>
  <si>
    <t>Benefits Loading</t>
  </si>
  <si>
    <t>Professional Fees % Revenue</t>
  </si>
  <si>
    <t>v853: Prof fees + Sales &amp; Mktg</t>
  </si>
  <si>
    <t>Other OpEx % Revenue</t>
  </si>
  <si>
    <t>HQ Facility Lease (Monthly)</t>
  </si>
  <si>
    <t>$/mo</t>
  </si>
  <si>
    <t>v853: $8,750/mo Tulsa HQ</t>
  </si>
  <si>
    <t>Annual Cost Inflation</t>
  </si>
  <si>
    <t>v853 Base Case Inputs; FED target</t>
  </si>
  <si>
    <t>TAX &amp; CREDITS</t>
  </si>
  <si>
    <t>Income Tax Rate</t>
  </si>
  <si>
    <t>Federal 21% + OK state ~6%</t>
  </si>
  <si>
    <t>45V PTC Rate</t>
  </si>
  <si>
    <t>Tier 1: 0.03 kgCO₂e/kg (&lt; 0.45 threshold)</t>
  </si>
  <si>
    <t>PTC Credit Period</t>
  </si>
  <si>
    <t>From in-service date per facility</t>
  </si>
  <si>
    <t>CO₂ Intensity</t>
  </si>
  <si>
    <t>kgCO₂e/kg</t>
  </si>
  <si>
    <t>Tobe lifecycle emissions</t>
  </si>
  <si>
    <t>45V Threshold</t>
  </si>
  <si>
    <t>IRA Tier 1 qualification</t>
  </si>
  <si>
    <t>45V Toggle (1=ON, 0=OFF)</t>
  </si>
  <si>
    <t>Toggle for with/without 45V scenarios</t>
  </si>
  <si>
    <t>FINANCING &amp; CAPITAL STRUCTURE</t>
  </si>
  <si>
    <t>Seed Equity</t>
  </si>
  <si>
    <t>Seed: $10M = $7.5M equity + $2.5M debt</t>
  </si>
  <si>
    <t>Seed Debt</t>
  </si>
  <si>
    <t>Venture debt @ 7%, 36mo, 6 I/O</t>
  </si>
  <si>
    <t>Total Seed Round</t>
  </si>
  <si>
    <t>Equity + Debt</t>
  </si>
  <si>
    <t>Pre-money + equity only</t>
  </si>
  <si>
    <t>Seed Dilution</t>
  </si>
  <si>
    <t>Equity / Post-Money</t>
  </si>
  <si>
    <t>Debt Interest Rate</t>
  </si>
  <si>
    <t>v853: 7% all tranches</t>
  </si>
  <si>
    <t>Debt Term</t>
  </si>
  <si>
    <t>Interest Only Period</t>
  </si>
  <si>
    <t>Seed debt only</t>
  </si>
  <si>
    <t>Starting Cash Balance</t>
  </si>
  <si>
    <t>Pre-seed cash on hand Apr 2026</t>
  </si>
  <si>
    <t>Pre-Seed Equity Raised</t>
  </si>
  <si>
    <t>Pre-seed: $8M pre, $2.05M equity</t>
  </si>
  <si>
    <t>Opening Accumulated Deficit</t>
  </si>
  <si>
    <t>Pre-seed spending</t>
  </si>
  <si>
    <t>FUNDRAISING SCHEDULE</t>
  </si>
  <si>
    <t>Timing</t>
  </si>
  <si>
    <t>Pre-Money ($)</t>
  </si>
  <si>
    <t>Equity ($)</t>
  </si>
  <si>
    <t>Debt/PF ($)</t>
  </si>
  <si>
    <t>Total ($)</t>
  </si>
  <si>
    <t>Post-Money ($)</t>
  </si>
  <si>
    <t>Step-Up</t>
  </si>
  <si>
    <t>Pre-Seed</t>
  </si>
  <si>
    <t>Oct 2025</t>
  </si>
  <si>
    <t>—</t>
  </si>
  <si>
    <t>Seed ★</t>
  </si>
  <si>
    <t>Series A</t>
  </si>
  <si>
    <t>Jun 2027</t>
  </si>
  <si>
    <t>4.4x</t>
  </si>
  <si>
    <t>Series B</t>
  </si>
  <si>
    <t>Q1 2029</t>
  </si>
  <si>
    <t>2.0x</t>
  </si>
  <si>
    <t>Series C</t>
  </si>
  <si>
    <t>Q1 2031</t>
  </si>
  <si>
    <t>2.7x</t>
  </si>
  <si>
    <t>Series D</t>
  </si>
  <si>
    <t>Q1 2033</t>
  </si>
  <si>
    <t>2.1x</t>
  </si>
  <si>
    <t>EQUIPMENT SALES SCHEDULE</t>
  </si>
  <si>
    <t>T-25 Units Sold</t>
  </si>
  <si>
    <t>T-125 Units Sold</t>
  </si>
  <si>
    <t>Total Units</t>
  </si>
  <si>
    <t>H₂ PRODUCTION VOLUME</t>
  </si>
  <si>
    <t>H₂ Production (kg)</t>
  </si>
  <si>
    <t>Operating Facilities</t>
  </si>
  <si>
    <t>Headcount (FTEs)</t>
  </si>
  <si>
    <t>PER-FACILITY ELECTRICITY RATES</t>
  </si>
  <si>
    <t>Facility</t>
  </si>
  <si>
    <t>Location</t>
  </si>
  <si>
    <t>Elec Rate ($/kWh)</t>
  </si>
  <si>
    <t>Direct OpEx ($/kg)</t>
  </si>
  <si>
    <t>In-Service</t>
  </si>
  <si>
    <t>45V Eligible</t>
  </si>
  <si>
    <t>F1 — Tulsa</t>
  </si>
  <si>
    <t>Tulsa, OK</t>
  </si>
  <si>
    <t>Apr 2027</t>
  </si>
  <si>
    <t>YES</t>
  </si>
  <si>
    <t>F2 — OKC</t>
  </si>
  <si>
    <t>Oklahoma City, OK</t>
  </si>
  <si>
    <t>Oct 2027</t>
  </si>
  <si>
    <t>F3 — Seattle</t>
  </si>
  <si>
    <t>Seattle, WA</t>
  </si>
  <si>
    <t>Apr 2028</t>
  </si>
  <si>
    <t>F4 — Spokane</t>
  </si>
  <si>
    <t>Spokane, WA</t>
  </si>
  <si>
    <t>Jul 2028</t>
  </si>
  <si>
    <t>F5 — Albuquerque</t>
  </si>
  <si>
    <t>Albuquerque, NM</t>
  </si>
  <si>
    <t>Dec 2028</t>
  </si>
  <si>
    <t>NO</t>
  </si>
  <si>
    <t>F6 — Des Moines</t>
  </si>
  <si>
    <t>Des Moines, IA</t>
  </si>
  <si>
    <t>May 2029</t>
  </si>
  <si>
    <t>F7-12</t>
  </si>
  <si>
    <t>Various</t>
  </si>
  <si>
    <t>Aug 2029+</t>
  </si>
  <si>
    <t>R&amp;D BUDGET (Annual)</t>
  </si>
  <si>
    <t>R&amp;D Spend</t>
  </si>
  <si>
    <t>SITE LEASES (Monthly)</t>
  </si>
  <si>
    <t>Tulsa HQ + F1</t>
  </si>
  <si>
    <t>F7-12 (each)</t>
  </si>
  <si>
    <t>BLENDED H₂ PRODUCTION COST PER KG (by Year)</t>
  </si>
  <si>
    <t>Blended H₂ COGS per kg</t>
  </si>
  <si>
    <t>H₂ Production (kg) — ref</t>
  </si>
  <si>
    <t>Total H₂ COGS ($)</t>
  </si>
  <si>
    <t>P&amp;L INPUT SCHEDULE (referenced by P&amp;L tab)</t>
  </si>
  <si>
    <t>Services Revenue</t>
  </si>
  <si>
    <t>45V PTC Revenue</t>
  </si>
  <si>
    <t>Base Salaries</t>
  </si>
  <si>
    <t>HQ &amp; Facility Leases</t>
  </si>
  <si>
    <t>R&amp;D + Other OpEx</t>
  </si>
  <si>
    <t>Depreciation &amp; Amortization</t>
  </si>
  <si>
    <t>Interest Expense</t>
  </si>
  <si>
    <t>Year-End Cash Balance</t>
  </si>
  <si>
    <t>UNIT ECONOMICS</t>
  </si>
  <si>
    <t>Per-kg cost build-up using TEA methodology</t>
  </si>
  <si>
    <t>1. PRODUCTION COST BUILD-UP ($/kg H₂)</t>
  </si>
  <si>
    <t>Component</t>
  </si>
  <si>
    <t>Tobe ($/kg)</t>
  </si>
  <si>
    <t>Grey H₂ Delivered</t>
  </si>
  <si>
    <t>Tobe Advantage</t>
  </si>
  <si>
    <t>Source</t>
  </si>
  <si>
    <t>Production (Electricity)</t>
  </si>
  <si>
    <t>TEA §5; NREL ATB 2025</t>
  </si>
  <si>
    <t>Compression &amp; Purification</t>
  </si>
  <si>
    <t>DOE H2A-Lite</t>
  </si>
  <si>
    <t>Transportation (50-mile)</t>
  </si>
  <si>
    <t>NREL ATB 2025; Brattle Group Feb 2024</t>
  </si>
  <si>
    <t>RO Water</t>
  </si>
  <si>
    <t>9 L/kg × $0.00556/L (Tulsa municipal)</t>
  </si>
  <si>
    <t>TOTAL DIRECT OPEX</t>
  </si>
  <si>
    <t>Allocated Facility Labor</t>
  </si>
  <si>
    <t>$1,250K / 900K kg at nameplate (Year 3+)</t>
  </si>
  <si>
    <t>Allocated Facility CapEx</t>
  </si>
  <si>
    <t>$3.3M / 9yr / 900K kg</t>
  </si>
  <si>
    <t>TEA anchor rate; 3% of CapEx annualized</t>
  </si>
  <si>
    <t>ALL-IN PRODUCTION COST</t>
  </si>
  <si>
    <t>NREL ATB 2025 (grey H₂ all-in delivered)</t>
  </si>
  <si>
    <t>Base Case Sale Price</t>
  </si>
  <si>
    <t>GROSS MARGIN PER KG</t>
  </si>
  <si>
    <t>2. THREE EFFICIENCY SCENARIOS (LCOH)</t>
  </si>
  <si>
    <t>Conservative</t>
  </si>
  <si>
    <t>Base Case</t>
  </si>
  <si>
    <t>Optimized</t>
  </si>
  <si>
    <t>SEC (kWh/kg)</t>
  </si>
  <si>
    <t>Electricity ($/kWh)</t>
  </si>
  <si>
    <t>Installed CapEx ($/kW)</t>
  </si>
  <si>
    <t>Capacity Factor</t>
  </si>
  <si>
    <t>75%</t>
  </si>
  <si>
    <t>85%</t>
  </si>
  <si>
    <t>90%</t>
  </si>
  <si>
    <t>WACC</t>
  </si>
  <si>
    <t>10%</t>
  </si>
  <si>
    <t>8%</t>
  </si>
  <si>
    <t>6%</t>
  </si>
  <si>
    <t>LCOH ($/kg)</t>
  </si>
  <si>
    <t>3. MARGIN AT MULTIPLE PRICE POINTS (Year 3+)</t>
  </si>
  <si>
    <t>H₂ Price ($/kg)</t>
  </si>
  <si>
    <t>All-In Cost</t>
  </si>
  <si>
    <t>Gross Margin $</t>
  </si>
  <si>
    <t>Gross Margin %</t>
  </si>
  <si>
    <t>4. EQUIPMENT UNIT ECONOMICS</t>
  </si>
  <si>
    <t>Specification</t>
  </si>
  <si>
    <t>T-25</t>
  </si>
  <si>
    <t>T-125</t>
  </si>
  <si>
    <t>H₂ Capacity</t>
  </si>
  <si>
    <t>Nameplate Power</t>
  </si>
  <si>
    <t>50 kW</t>
  </si>
  <si>
    <t>250 kW</t>
  </si>
  <si>
    <t>Sale Price</t>
  </si>
  <si>
    <t>Launch COGS</t>
  </si>
  <si>
    <t>Gross Margin</t>
  </si>
  <si>
    <t>5. ON-SITE vs. DELIVERED COMPARISON</t>
  </si>
  <si>
    <t>Tobe On-Site Production Cost</t>
  </si>
  <si>
    <t>Grey H₂ Delivered (50-mile)</t>
  </si>
  <si>
    <t>Grey H₂ Delivered (150+ miles)</t>
  </si>
  <si>
    <t>Market Price Range (Bulk)</t>
  </si>
  <si>
    <t>15-36</t>
  </si>
  <si>
    <t>Airgas Cylinder (Sept 2024)</t>
  </si>
  <si>
    <t>6. BREAK-EVEN ANALYSIS</t>
  </si>
  <si>
    <t>All-In Production Cost ($/kg)</t>
  </si>
  <si>
    <t>Nameplate, Year 3+</t>
  </si>
  <si>
    <t>Break-Even H₂ Price</t>
  </si>
  <si>
    <t>Price at which gross margin = 0</t>
  </si>
  <si>
    <t>Annual Fixed Costs (Facility)</t>
  </si>
  <si>
    <t>CapEx/life + HQ lease</t>
  </si>
  <si>
    <t>Break-Even Volume (kg/yr)</t>
  </si>
  <si>
    <t>Fixed costs / (ASP - variable cost)</t>
  </si>
  <si>
    <t>Break-Even Utilization</t>
  </si>
  <si>
    <t>Break-even vol / nameplate</t>
  </si>
  <si>
    <t>Months to Payback (at $25/kg)</t>
  </si>
  <si>
    <t>7. EQUIPMENT BOM LEARNING CURVE</t>
  </si>
  <si>
    <t>Year</t>
  </si>
  <si>
    <t>T-25 BOM ($)</t>
  </si>
  <si>
    <t>T-125 BOM ($)</t>
  </si>
  <si>
    <t>Blended Margin</t>
  </si>
  <si>
    <t>Y2 (Launch)</t>
  </si>
  <si>
    <t>40.0%</t>
  </si>
  <si>
    <t>Y3</t>
  </si>
  <si>
    <t>42.5%</t>
  </si>
  <si>
    <t>Y4</t>
  </si>
  <si>
    <t>44.6%</t>
  </si>
  <si>
    <t>Y5</t>
  </si>
  <si>
    <t>47.6%</t>
  </si>
  <si>
    <t>Y6</t>
  </si>
  <si>
    <t>50.6%</t>
  </si>
  <si>
    <t>Y7</t>
  </si>
  <si>
    <t>52.9%</t>
  </si>
  <si>
    <t>Wright's Law: ~85% learning rate (15% cost reduction per cumulative doubling)</t>
  </si>
  <si>
    <t>Source: v853 Learning Curve tab. Net ~2.1%/yr materials inflation modeled from Phase 4+</t>
  </si>
  <si>
    <t>REVENUE MODEL</t>
  </si>
  <si>
    <t>Three-engine revenue: H₂ Production + Equipment Sales + Services</t>
  </si>
  <si>
    <t>1. REVENUE BY STREAM ($)</t>
  </si>
  <si>
    <t>H₂ Production Revenue</t>
  </si>
  <si>
    <t>Equipment Sales Revenue</t>
  </si>
  <si>
    <t>Equipment Services Revenue</t>
  </si>
  <si>
    <t>OPERATING REVENUE (ex-PTC)</t>
  </si>
  <si>
    <t>45V PTC (non-operating)</t>
  </si>
  <si>
    <t>TOTAL REVENUE (incl. PTC)</t>
  </si>
  <si>
    <t>Revenue Mix (% of Operating Revenue)</t>
  </si>
  <si>
    <t>H₂ %</t>
  </si>
  <si>
    <t>Equipment %</t>
  </si>
  <si>
    <t>Services %</t>
  </si>
  <si>
    <t>2. CUSTOMER PIPELINE</t>
  </si>
  <si>
    <t>Customer Code</t>
  </si>
  <si>
    <t>Status</t>
  </si>
  <si>
    <t>Annual Revenue</t>
  </si>
  <si>
    <t>Sector</t>
  </si>
  <si>
    <t>CARDINAL</t>
  </si>
  <si>
    <t>Contracted</t>
  </si>
  <si>
    <t>Industrial</t>
  </si>
  <si>
    <t>REFINERY</t>
  </si>
  <si>
    <t>LOI Signed</t>
  </si>
  <si>
    <t>Refining</t>
  </si>
  <si>
    <t>FORGE</t>
  </si>
  <si>
    <t>Manufacturing</t>
  </si>
  <si>
    <t>CAMPUS</t>
  </si>
  <si>
    <t>Campus/Institutional</t>
  </si>
  <si>
    <t>HORIZON</t>
  </si>
  <si>
    <t>Mobility/Fueling</t>
  </si>
  <si>
    <t>PHOENIX</t>
  </si>
  <si>
    <t>E-Fuels</t>
  </si>
  <si>
    <t>TRANSIT</t>
  </si>
  <si>
    <t>Proposal</t>
  </si>
  <si>
    <t>Public Transit</t>
  </si>
  <si>
    <t>FORGE-STEEL</t>
  </si>
  <si>
    <t>TBD</t>
  </si>
  <si>
    <t>Quoting</t>
  </si>
  <si>
    <t>Steel Mfg ($7-49M)</t>
  </si>
  <si>
    <t>Pipeline Total: $20M+ signed LOIs, $26M+ active quotes</t>
  </si>
  <si>
    <t>3. HaaS vs EQUIPMENT SALES MIX</t>
  </si>
  <si>
    <t>H₂ Production (HaaS)</t>
  </si>
  <si>
    <t>Services (Recurring)</t>
  </si>
  <si>
    <t>Note: Revenue mix shifts from equipment-heavy in FY1 to H₂-production-dominant by FY3+.</t>
  </si>
  <si>
    <t>Services revenue grows as installed base accumulates (75% attach rate on cumulative equipment sales).</t>
  </si>
  <si>
    <t>INCOME STATEMENT (7-YEAR)</t>
  </si>
  <si>
    <t>Fiscal Year: April-March. FY1 = Apr 2026 – Mar 2027</t>
  </si>
  <si>
    <t>Apr'26-Mar'27</t>
  </si>
  <si>
    <t>Apr'27-Mar'28</t>
  </si>
  <si>
    <t>Apr'28-Mar'29</t>
  </si>
  <si>
    <t>Apr'29-Mar'30</t>
  </si>
  <si>
    <t>Apr'30-Mar'31</t>
  </si>
  <si>
    <t>Apr'31-Mar'32</t>
  </si>
  <si>
    <t>Apr'32-Mar'33</t>
  </si>
  <si>
    <t>REVENUE</t>
  </si>
  <si>
    <t>COST OF GOODS SOLD</t>
  </si>
  <si>
    <t>H₂ Production COGS</t>
  </si>
  <si>
    <t>Equipment COGS</t>
  </si>
  <si>
    <t>Services COGS</t>
  </si>
  <si>
    <t>TOTAL COGS</t>
  </si>
  <si>
    <t>GROSS PROFIT</t>
  </si>
  <si>
    <t>Benefits &amp; Payroll Taxes</t>
  </si>
  <si>
    <t>HQ &amp; Production Facility Leases</t>
  </si>
  <si>
    <t>Professional Fees + Sales &amp; Mktg</t>
  </si>
  <si>
    <t>R&amp;D + Other</t>
  </si>
  <si>
    <t>TOTAL OPERATING EXPENSES</t>
  </si>
  <si>
    <t>EBITDA</t>
  </si>
  <si>
    <t>45V PTC (in EBIT)</t>
  </si>
  <si>
    <t>EBIT</t>
  </si>
  <si>
    <t>EBT (Earnings Before Tax)</t>
  </si>
  <si>
    <t>Income Tax (27%)</t>
  </si>
  <si>
    <t>NET INCOME</t>
  </si>
  <si>
    <t>Net Margin %</t>
  </si>
  <si>
    <t>NOTE: FY7 Revenue Reconciliation</t>
  </si>
  <si>
    <t>v853 Overview showed $467M FY7 which was cumulative H₂+Equip+Svc across all years. The P&amp;L Operating Revenue of $327.7M is the correct annual FY7 figure.</t>
  </si>
  <si>
    <t>CASH FLOW STATEMENT</t>
  </si>
  <si>
    <t>Operating, Investing, and Financing Cash Flows</t>
  </si>
  <si>
    <t>OPERATING CASH FLOW</t>
  </si>
  <si>
    <t>Net Income</t>
  </si>
  <si>
    <t>Add: Depreciation &amp; Amortization</t>
  </si>
  <si>
    <t>Working Capital Changes (ΔAR, ΔAP)</t>
  </si>
  <si>
    <t>NET OPERATING CASH FLOW</t>
  </si>
  <si>
    <t>INVESTING CASH FLOW</t>
  </si>
  <si>
    <t>Capital Expenditures</t>
  </si>
  <si>
    <t>NET INVESTING CASH FLOW</t>
  </si>
  <si>
    <t>FINANCING CASH FLOW</t>
  </si>
  <si>
    <t>Equity Proceeds</t>
  </si>
  <si>
    <t>Debt / Project Financing (Net)</t>
  </si>
  <si>
    <t>Interest Paid</t>
  </si>
  <si>
    <t>NET FINANCING CASH FLOW</t>
  </si>
  <si>
    <t>CASH WATERFALL</t>
  </si>
  <si>
    <t>Beginning Cash</t>
  </si>
  <si>
    <t>Change in Cash</t>
  </si>
  <si>
    <t>ENDING CASH</t>
  </si>
  <si>
    <t>Cash Runway Note:</t>
  </si>
  <si>
    <t>Company is self-funding from FY5 onward. Minimum cash: $1.3M (end FY1). Seed close May 2026.</t>
  </si>
  <si>
    <t>DEBT SCHEDULE</t>
  </si>
  <si>
    <t>Tranche</t>
  </si>
  <si>
    <t>Rate</t>
  </si>
  <si>
    <t>Term</t>
  </si>
  <si>
    <t>Draw Date</t>
  </si>
  <si>
    <t>I/O Period</t>
  </si>
  <si>
    <t>Monthly Pmt</t>
  </si>
  <si>
    <t>7%</t>
  </si>
  <si>
    <t>36 mo</t>
  </si>
  <si>
    <t>6 mo</t>
  </si>
  <si>
    <t>Series A PF</t>
  </si>
  <si>
    <t>None</t>
  </si>
  <si>
    <t>Series B PF</t>
  </si>
  <si>
    <t>Mar 2029</t>
  </si>
  <si>
    <t>Series C PF</t>
  </si>
  <si>
    <t>Mar 2031</t>
  </si>
  <si>
    <t>Monthly payment factor: 0.030877 per $1 outstanding (7%, 36-month amortization)</t>
  </si>
  <si>
    <t>FACILITY RAMP</t>
  </si>
  <si>
    <t>Facility-by-facility capacity, economics, and geographic expansion</t>
  </si>
  <si>
    <t>Capacity
(kg/yr)</t>
  </si>
  <si>
    <t>CapEx ($)</t>
  </si>
  <si>
    <t>Ramp Tier</t>
  </si>
  <si>
    <t>Elec Rate
($/kWh)</t>
  </si>
  <si>
    <t>Direct OpEx
($/kg)</t>
  </si>
  <si>
    <t>45V
Eligible</t>
  </si>
  <si>
    <t>F1 — Tulsa (Pilot)</t>
  </si>
  <si>
    <t>Tier 1 (24mo)</t>
  </si>
  <si>
    <t>Tier 2 (18mo)</t>
  </si>
  <si>
    <t>Tier 3 (15mo)</t>
  </si>
  <si>
    <t>F7</t>
  </si>
  <si>
    <t>Aug 2029</t>
  </si>
  <si>
    <t>Tier 4 (13mo)</t>
  </si>
  <si>
    <t>F8</t>
  </si>
  <si>
    <t>Dec 2029</t>
  </si>
  <si>
    <t>F9</t>
  </si>
  <si>
    <t>Apr 2030</t>
  </si>
  <si>
    <t>F10</t>
  </si>
  <si>
    <t>Aug 2030</t>
  </si>
  <si>
    <t>F11</t>
  </si>
  <si>
    <t>Dec 2030</t>
  </si>
  <si>
    <t>F12</t>
  </si>
  <si>
    <t>Apr 2031</t>
  </si>
  <si>
    <t>TOTAL (12 Facilities)</t>
  </si>
  <si>
    <t>RAMP TIER DEFINITIONS</t>
  </si>
  <si>
    <t>Tier</t>
  </si>
  <si>
    <t>Facilities</t>
  </si>
  <si>
    <t>Total Duration</t>
  </si>
  <si>
    <t>Construction</t>
  </si>
  <si>
    <t>Commissioning</t>
  </si>
  <si>
    <t>Ramp to 50%</t>
  </si>
  <si>
    <t>Full Production</t>
  </si>
  <si>
    <t>Tier 1 — Pilot</t>
  </si>
  <si>
    <t>F1 (Tulsa)</t>
  </si>
  <si>
    <t>24 months</t>
  </si>
  <si>
    <t>Mo 1-12</t>
  </si>
  <si>
    <t>Mo 13-15 (10%)</t>
  </si>
  <si>
    <t>Mo 16-21 (25%)</t>
  </si>
  <si>
    <t>Mo 25+ (100%)</t>
  </si>
  <si>
    <t>Tier 2 — Early</t>
  </si>
  <si>
    <t>F2-F4</t>
  </si>
  <si>
    <t>18 months</t>
  </si>
  <si>
    <t>Mo 13-18 (50%)</t>
  </si>
  <si>
    <t>Mo 19+ (100%)</t>
  </si>
  <si>
    <t>Tier 3 — Mature</t>
  </si>
  <si>
    <t>F5-F6</t>
  </si>
  <si>
    <t>15 months</t>
  </si>
  <si>
    <t>Mo 1-10</t>
  </si>
  <si>
    <t>Mo 11-15 (50%)</t>
  </si>
  <si>
    <t>Mo 16+ (100%)</t>
  </si>
  <si>
    <t>Tier 4 — Mastered</t>
  </si>
  <si>
    <t>F7-F12</t>
  </si>
  <si>
    <t>13 months</t>
  </si>
  <si>
    <t>Mo 1-8</t>
  </si>
  <si>
    <t>Mo 9-13 (50%)</t>
  </si>
  <si>
    <t>Mo 14+ (100%)</t>
  </si>
  <si>
    <t>CUMULATIVE PRODUCTION CAPACITY (kg/yr)</t>
  </si>
  <si>
    <t>Cumulative Nameplate</t>
  </si>
  <si>
    <t>Actual Production</t>
  </si>
  <si>
    <t>Effective Utilization</t>
  </si>
  <si>
    <t>PER-FACILITY ECONOMICS &amp; PAYBACK</t>
  </si>
  <si>
    <t>Ann. Revenue
at Nameplate</t>
  </si>
  <si>
    <t>Ann. H₂ COGS</t>
  </si>
  <si>
    <t>Ann. Gross Profit</t>
  </si>
  <si>
    <t>Payback
(months)</t>
  </si>
  <si>
    <t>Annual PTC
(if eligible)</t>
  </si>
  <si>
    <t>FACILITY AFE (Authorization for Expenditure)</t>
  </si>
  <si>
    <t>Detailed capital cost breakdown per facility type. Source: v853 Facility AFE tab.</t>
  </si>
  <si>
    <t>SECTION 1: PILOT / R&amp;D FACILITY (F1 — Tulsa)</t>
  </si>
  <si>
    <t>Subcategory</t>
  </si>
  <si>
    <t>Cost (USD)</t>
  </si>
  <si>
    <t>Project Dev &amp; Engineering</t>
  </si>
  <si>
    <t>Permitting &amp; Regulatory</t>
  </si>
  <si>
    <t>Equipment &amp; Materials</t>
  </si>
  <si>
    <t>Electrolyzer System (HVMF 10-20 × 25 kg/day)</t>
  </si>
  <si>
    <t>H₂ Compressor (350-700 bar)</t>
  </si>
  <si>
    <t>High-Pressure Storage Tanks (cascade)</t>
  </si>
  <si>
    <t>H₂ Dispensing System (700 bar)</t>
  </si>
  <si>
    <t>Water Purification (RO)</t>
  </si>
  <si>
    <t>Safety Systems (leak detection, ESD)</t>
  </si>
  <si>
    <t>Balance of Plant (piping, valves)</t>
  </si>
  <si>
    <t>Truck Load Out Stanchions</t>
  </si>
  <si>
    <t>Manufacturing Equipment</t>
  </si>
  <si>
    <t>5-Axis CNC Machine</t>
  </si>
  <si>
    <t>CNC Transformer Winder</t>
  </si>
  <si>
    <t>3D Printer (Industrial)</t>
  </si>
  <si>
    <t>Supporting Equipment</t>
  </si>
  <si>
    <t>Tools &amp; Fixtures</t>
  </si>
  <si>
    <t>Electronics Testing &amp; Lab</t>
  </si>
  <si>
    <t>Software &amp; Licenses</t>
  </si>
  <si>
    <t>CAD/CAM Software</t>
  </si>
  <si>
    <t>Construction &amp; Installation</t>
  </si>
  <si>
    <t>Mechanical Installation</t>
  </si>
  <si>
    <t>Electrical Installation</t>
  </si>
  <si>
    <t>Instrumentation &amp; Controls</t>
  </si>
  <si>
    <t>Commissioning &amp; Startup</t>
  </si>
  <si>
    <t>System Commissioning &amp; Testing</t>
  </si>
  <si>
    <t>Staff Training</t>
  </si>
  <si>
    <t>R&amp;D</t>
  </si>
  <si>
    <t>Materials for 100 kg/day system</t>
  </si>
  <si>
    <t>Project Management</t>
  </si>
  <si>
    <t>Construction Management</t>
  </si>
  <si>
    <t>Insurance &amp; Legal</t>
  </si>
  <si>
    <t>Facility Lease (1yr @ $7/sqft, 10,000 sqft)</t>
  </si>
  <si>
    <t>Contingency</t>
  </si>
  <si>
    <t>~15% of direct costs</t>
  </si>
  <si>
    <t>TOTAL — PILOT FACILITY</t>
  </si>
  <si>
    <t>Source: v853 Facility AFE</t>
  </si>
  <si>
    <t>SECTION 2: ADDITIONAL FACILITY (F2-F12)</t>
  </si>
  <si>
    <t>Electrolyzer System (10× T-125)</t>
  </si>
  <si>
    <t>H₂ Compressor</t>
  </si>
  <si>
    <t>High-Pressure Storage Tanks</t>
  </si>
  <si>
    <t>H₂ Dispensing System</t>
  </si>
  <si>
    <t>Water Purification</t>
  </si>
  <si>
    <t>Safety Systems</t>
  </si>
  <si>
    <t>Cost Savings</t>
  </si>
  <si>
    <t>Modularization &amp; Skid Savings</t>
  </si>
  <si>
    <t>Supporting</t>
  </si>
  <si>
    <t>Tools/Fixtures/Testing/CAD</t>
  </si>
  <si>
    <t>R&amp;D Materials</t>
  </si>
  <si>
    <t>System Commissioning &amp; Training</t>
  </si>
  <si>
    <t>Construction Mgmt + Insurance + Legal + Lease</t>
  </si>
  <si>
    <t>~5% of direct costs</t>
  </si>
  <si>
    <t>TOTAL — ADDITIONAL FACILITY</t>
  </si>
  <si>
    <t>Source: v853 Facility AFE. Includes modularization savings.</t>
  </si>
  <si>
    <t>SECTION 3: COST SUMMARY</t>
  </si>
  <si>
    <t>Description</t>
  </si>
  <si>
    <t>Pilot Facility (F1 — Tulsa)</t>
  </si>
  <si>
    <t>Includes mfg equipment + R&amp;D</t>
  </si>
  <si>
    <t>Each Additional Facility (F2-F12)</t>
  </si>
  <si>
    <t>Production-only, 11 facilities</t>
  </si>
  <si>
    <t>Total CapEx for 12 Facilities</t>
  </si>
  <si>
    <t>Average CapEx per Facility</t>
  </si>
  <si>
    <t>ENGINEERING SPECIFICATIONS</t>
  </si>
  <si>
    <t>• ASME B31.12 hydrogen piping code compliance</t>
  </si>
  <si>
    <t>• NFPA 2/55 hydrogen storage and use</t>
  </si>
  <si>
    <t>• ASME Section VIII pressure vessel code</t>
  </si>
  <si>
    <t>• PLC-based control system with ESD (Emergency Shutdown)</t>
  </si>
  <si>
    <t>• HMI (Human-Machine Interface) for operator monitoring</t>
  </si>
  <si>
    <t>• Automated truck loading system</t>
  </si>
  <si>
    <t>• H₂ leak detection (catalytic + semiconductor sensors)</t>
  </si>
  <si>
    <t>• UV/IR flame detection system</t>
  </si>
  <si>
    <t>45V PRODUCTION TAX CREDIT</t>
  </si>
  <si>
    <t>Tier 1 qualification: 0.03 kgCO₂e/kg H₂ (&lt; 0.45 threshold)</t>
  </si>
  <si>
    <t>45V PTC PARAMETERS</t>
  </si>
  <si>
    <t>PTC Rate</t>
  </si>
  <si>
    <t>$/kg H₂</t>
  </si>
  <si>
    <t>Credit Period</t>
  </si>
  <si>
    <t>CO₂ Intensity (Tobe)</t>
  </si>
  <si>
    <t>Tier 1 Threshold</t>
  </si>
  <si>
    <t>Construction Deadline</t>
  </si>
  <si>
    <t>Dec 31, 2027</t>
  </si>
  <si>
    <t>Eligible Facilities</t>
  </si>
  <si>
    <t>4 of 12</t>
  </si>
  <si>
    <t>(F1-F4)</t>
  </si>
  <si>
    <t>PTC REVENUE BY YEAR</t>
  </si>
  <si>
    <t>Eligible H₂ Production (kg)</t>
  </si>
  <si>
    <t>Cumulative PTC Cash</t>
  </si>
  <si>
    <t>VALUE PER ELIGIBLE FACILITY</t>
  </si>
  <si>
    <t>Annual PTC per Facility at Nameplate</t>
  </si>
  <si>
    <t>10-Year PTC per Facility</t>
  </si>
  <si>
    <t>$27M per facility</t>
  </si>
  <si>
    <t>EBITDA: WITH vs. WITHOUT 45V</t>
  </si>
  <si>
    <t>EBITDA WITH 45V</t>
  </si>
  <si>
    <t>EBITDA WITHOUT 45V</t>
  </si>
  <si>
    <t>PTC Impact</t>
  </si>
  <si>
    <t>KEY: Model works profitably WITHOUT 45V credits.</t>
  </si>
  <si>
    <t>EBITDA positive from Year 2 in both scenarios. 45V is upside, not dependency.</t>
  </si>
  <si>
    <t>MARKET &amp; TAM</t>
  </si>
  <si>
    <t>Market sizing validated by University of Oklahoma Irani Center</t>
  </si>
  <si>
    <t>GLOBAL MARKET</t>
  </si>
  <si>
    <t>Global Hydrogen Market</t>
  </si>
  <si>
    <t>94M tonnes/yr</t>
  </si>
  <si>
    <t>$226B</t>
  </si>
  <si>
    <t>Global Green H₂ (current)</t>
  </si>
  <si>
    <t>&lt;1% of total</t>
  </si>
  <si>
    <t>Green H₂ by 2030 (projected)</t>
  </si>
  <si>
    <t>30% of total</t>
  </si>
  <si>
    <t>U.S. SERVICEABLE MARKET — $9.81B (OU Validated)</t>
  </si>
  <si>
    <t>Segment</t>
  </si>
  <si>
    <t>Market Value</t>
  </si>
  <si>
    <t>% Share</t>
  </si>
  <si>
    <t># Customers</t>
  </si>
  <si>
    <t>Sales Model</t>
  </si>
  <si>
    <t>Industrial Decarbonization</t>
  </si>
  <si>
    <t>Heavy-Duty Fueling (Truck Stops)</t>
  </si>
  <si>
    <t>Chemical Production &amp; Synth Fuels</t>
  </si>
  <si>
    <t>Energy Storage / Grid Balancing</t>
  </si>
  <si>
    <t>HaaS</t>
  </si>
  <si>
    <t>Urban Fleet Fueling (Buses, Ports)</t>
  </si>
  <si>
    <t>Variable</t>
  </si>
  <si>
    <t>Light &amp; Medium-Duty Commercial</t>
  </si>
  <si>
    <t>Backup Power &amp; Microgrids</t>
  </si>
  <si>
    <t>Already Green (Undercut Incumbent)</t>
  </si>
  <si>
    <t>TOTAL SERVICEABLE MARKET</t>
  </si>
  <si>
    <t>150-MILE TRANSPORTATION THRESHOLD</t>
  </si>
  <si>
    <t>&lt; 50 miles (Tube Trailer)</t>
  </si>
  <si>
    <t>$0.90/kg</t>
  </si>
  <si>
    <t>70% of addressable</t>
  </si>
  <si>
    <t>Tobe core market</t>
  </si>
  <si>
    <t>50-150 miles (Tube Trailer)</t>
  </si>
  <si>
    <t>$1.90/kg</t>
  </si>
  <si>
    <t>20% of addressable</t>
  </si>
  <si>
    <t>Tobe serviceable</t>
  </si>
  <si>
    <t>150+ miles (Liquid Tanker)</t>
  </si>
  <si>
    <t>$2.70-3.20/kg</t>
  </si>
  <si>
    <t>10% of addressable</t>
  </si>
  <si>
    <t>Uneconomic for delivery</t>
  </si>
  <si>
    <t>Pipeline (where available)</t>
  </si>
  <si>
    <t>$0.20-0.50/kg</t>
  </si>
  <si>
    <t>~1,600 mi in U.S.</t>
  </si>
  <si>
    <t>Only TX, CA, IL corridors</t>
  </si>
  <si>
    <t>ON-SITE vs. DELIVERED COST</t>
  </si>
  <si>
    <t>Tobe On-Site Production</t>
  </si>
  <si>
    <t>~$4.83/kg</t>
  </si>
  <si>
    <t>Grey H₂ Delivered (50-300+ miles)</t>
  </si>
  <si>
    <t>$5-50+/kg</t>
  </si>
  <si>
    <t>$121.31/kg</t>
  </si>
  <si>
    <t>SAM/SOM PENETRATION</t>
  </si>
  <si>
    <t>FY7 Revenue as % of SAM</t>
  </si>
  <si>
    <t>← FY7 Operating Revenue / $9.81B SAM</t>
  </si>
  <si>
    <t>FY5 Revenue as % of SAM</t>
  </si>
  <si>
    <t>COMPETITIVE LANDSCAPE</t>
  </si>
  <si>
    <t>Technology and cost comparison vs. electrolysis peers</t>
  </si>
  <si>
    <t>Company</t>
  </si>
  <si>
    <t>Technology</t>
  </si>
  <si>
    <t>CAPEX ($/kW)</t>
  </si>
  <si>
    <t>Funding</t>
  </si>
  <si>
    <t>Key Difference</t>
  </si>
  <si>
    <t>TOBE ENERGY</t>
  </si>
  <si>
    <t>Membrane-Free</t>
  </si>
  <si>
    <t>42.2 (stack)</t>
  </si>
  <si>
    <t>$1,000 installed</t>
  </si>
  <si>
    <t>$10M Seed</t>
  </si>
  <si>
    <t>Pre-revenue</t>
  </si>
  <si>
    <t>No membrane, no rare earth, 92% eff.</t>
  </si>
  <si>
    <t>Nel Hydrogen</t>
  </si>
  <si>
    <t>PEM / Alkaline</t>
  </si>
  <si>
    <t>50-56</t>
  </si>
  <si>
    <t>$800-1,350 equip</t>
  </si>
  <si>
    <t>$800M+</t>
  </si>
  <si>
    <t>Production</t>
  </si>
  <si>
    <t>20+ yr history; $150M revenue</t>
  </si>
  <si>
    <t>ITM Power</t>
  </si>
  <si>
    <t>PEM</t>
  </si>
  <si>
    <t>50-58</t>
  </si>
  <si>
    <t>$1,400-2,500</t>
  </si>
  <si>
    <t>$400M+</t>
  </si>
  <si>
    <t>UK-based; modular PEM stacks</t>
  </si>
  <si>
    <t>Plug Power</t>
  </si>
  <si>
    <t>52-58</t>
  </si>
  <si>
    <t>$1,500-2,500</t>
  </si>
  <si>
    <t>$5B+</t>
  </si>
  <si>
    <t>Vertically integrated; DOE loan</t>
  </si>
  <si>
    <t>Bloom Energy</t>
  </si>
  <si>
    <t>SOFC/SOEC</t>
  </si>
  <si>
    <t>39-45 (SOEC)</t>
  </si>
  <si>
    <t>$1,200-2,000</t>
  </si>
  <si>
    <t>$4B+</t>
  </si>
  <si>
    <t>Solid oxide; high-temp operation</t>
  </si>
  <si>
    <t>Electric Hydrogen</t>
  </si>
  <si>
    <t>48-55</t>
  </si>
  <si>
    <t>N/A</t>
  </si>
  <si>
    <t>$600M+</t>
  </si>
  <si>
    <t>Large-scale PEM; Series C</t>
  </si>
  <si>
    <t>Enapter</t>
  </si>
  <si>
    <t>AEM</t>
  </si>
  <si>
    <t>53-60</t>
  </si>
  <si>
    <t>$1,000-1,800</t>
  </si>
  <si>
    <t>$200M+</t>
  </si>
  <si>
    <t>Early revenue</t>
  </si>
  <si>
    <t>Anion exchange membrane</t>
  </si>
  <si>
    <t>Advanced Ionics</t>
  </si>
  <si>
    <t>SOEC</t>
  </si>
  <si>
    <t>35-40 (SOEC)</t>
  </si>
  <si>
    <t>$30M+</t>
  </si>
  <si>
    <t>Steam electrolysis</t>
  </si>
  <si>
    <t>PRODUCTION COST COMPARISON (TEA Table 36)</t>
  </si>
  <si>
    <t>Installed ($/kW)</t>
  </si>
  <si>
    <t>PEM Electrolysis</t>
  </si>
  <si>
    <t>$4.40-7.90</t>
  </si>
  <si>
    <t>Alkaline Electrolysis</t>
  </si>
  <si>
    <t>51-56</t>
  </si>
  <si>
    <t>$500-1,000</t>
  </si>
  <si>
    <t>$4.00-6.00</t>
  </si>
  <si>
    <t>Grey H₂ (SMR)</t>
  </si>
  <si>
    <t>$1.00-2.00</t>
  </si>
  <si>
    <t>Tobe (Base Case)</t>
  </si>
  <si>
    <t>46.5</t>
  </si>
  <si>
    <t>$1,000</t>
  </si>
  <si>
    <t>$2.79</t>
  </si>
  <si>
    <t>Tobe (Upside)</t>
  </si>
  <si>
    <t>42.0</t>
  </si>
  <si>
    <t>$800</t>
  </si>
  <si>
    <t>$2.06</t>
  </si>
  <si>
    <t>TOBE DIFFERENTIATION SUMMARY</t>
  </si>
  <si>
    <t>• No membrane — eliminates Nafion ($500-800/m²) degradation and replacement cycle</t>
  </si>
  <si>
    <t>• No rare earth catalysts — no iridium ($1,000-3,000/kW) or platinum dependency</t>
  </si>
  <si>
    <t>• No cooling system — operates at 27-28°C near ambient (no chillers, no thermal management)</t>
  </si>
  <si>
    <t>• TDS tolerance: 25-10,000+ ppm — standard RO instead of expensive deionization</t>
  </si>
  <si>
    <t>• Wall-to-plug efficiency: 70-72% LHV (vs. PEM 57-67% LHV)</t>
  </si>
  <si>
    <t>• Stack SEC: 42.2 kWh/kg validated from 22,103 data points</t>
  </si>
  <si>
    <t>CAP TABLE</t>
  </si>
  <si>
    <t>Pre-Seed and Post-Seed Ownership Structure</t>
  </si>
  <si>
    <t>SEED ROUND TERMS</t>
  </si>
  <si>
    <t>Equity Investment</t>
  </si>
  <si>
    <t>New Shares (Seed)</t>
  </si>
  <si>
    <t>Debt (Non-Dilutive)</t>
  </si>
  <si>
    <t>Total Round Size</t>
  </si>
  <si>
    <t>POST-SEED PRO FORMA</t>
  </si>
  <si>
    <t>Shareholder</t>
  </si>
  <si>
    <t>Pre-Seed %</t>
  </si>
  <si>
    <t>Post-Seed %</t>
  </si>
  <si>
    <t>Value at $47.5M</t>
  </si>
  <si>
    <t>Founders</t>
  </si>
  <si>
    <t>Pre-Seed Investors</t>
  </si>
  <si>
    <t>Employee Option Pool</t>
  </si>
  <si>
    <t>Advisors</t>
  </si>
  <si>
    <t>Techstars</t>
  </si>
  <si>
    <t>Other</t>
  </si>
  <si>
    <t>Seed Investors (New)</t>
  </si>
  <si>
    <t>TOTAL</t>
  </si>
  <si>
    <t>SEED INVESTOR OWNERSHIP THROUGH ROUNDS</t>
  </si>
  <si>
    <t>Seed % After</t>
  </si>
  <si>
    <t>Post-Seed</t>
  </si>
  <si>
    <t>15.8%</t>
  </si>
  <si>
    <t>Post-Series A</t>
  </si>
  <si>
    <t>13.3%</t>
  </si>
  <si>
    <t>Post-Series B</t>
  </si>
  <si>
    <t>10.7%</t>
  </si>
  <si>
    <t>11.9%</t>
  </si>
  <si>
    <t>Post-Series C</t>
  </si>
  <si>
    <t>10.8%</t>
  </si>
  <si>
    <t>SEED INVESTOR RETURN ANALYSIS</t>
  </si>
  <si>
    <t>Scenario</t>
  </si>
  <si>
    <t>EV ($B)</t>
  </si>
  <si>
    <t>Seed Value</t>
  </si>
  <si>
    <t>Seed ROI</t>
  </si>
  <si>
    <t>Bear (8x Revenue)</t>
  </si>
  <si>
    <t>Base (10x Revenue)</t>
  </si>
  <si>
    <t>Bull (12x Revenue)</t>
  </si>
  <si>
    <t>Base (20x EBITDA)</t>
  </si>
  <si>
    <t>Note: Ownership % assumes standard pro-rata dilution through Series A, B, C rounds.</t>
  </si>
  <si>
    <t>SOURCES &amp; NOTES</t>
  </si>
  <si>
    <t>SOURCE CITATIONS</t>
  </si>
  <si>
    <t>Final_Tobe_TEA.docx</t>
  </si>
  <si>
    <t>PRIMARY — Techno-Economic Analysis v3.0, March 2026. LCOH methodology, cost build-ups, efficiency data, competitive benchmarks.</t>
  </si>
  <si>
    <t>FINAL_Tobe_Seed_Financial_Model_v853.xlsx</t>
  </si>
  <si>
    <t>PRIMARY — Financial model v8.5.3. 84-month P&amp;L engine, facility ramp, fundraising, equipment sales, debt schedule.</t>
  </si>
  <si>
    <t>Clean_FinancialModel_Tobe_Seed.xlsx</t>
  </si>
  <si>
    <t>HIGH — Cleaned v8.5.3 model. Confirmed identical to v853 after T-2500 removal.</t>
  </si>
  <si>
    <t>OU_TOBE financial model.xlsx</t>
  </si>
  <si>
    <t>HIGH — University of Oklahoma Irani Center model. $9.81B SAM, 8 segments, 5-year projections, $657M profit.</t>
  </si>
  <si>
    <t>OU_Tobe Energy Final Report.docx</t>
  </si>
  <si>
    <t>HIGH — OU case study. Market sizing, competitive analysis, go-to-market, expert interviews (Nel VP, Enterprise Products, Love's).</t>
  </si>
  <si>
    <t>Tobe_Energy_TEA_Editorial_Companion_March_2026.docx</t>
  </si>
  <si>
    <t>MEDIUM — Founder's narrative companion. Red-flag review, softened claims, data-room priorities.</t>
  </si>
  <si>
    <t>Tobe_Energy_Model_Review_v852.docx</t>
  </si>
  <si>
    <t>MEDIUM — External model review. 10-dimension diligence, investor scrutiny points, priority fixes.</t>
  </si>
  <si>
    <t>FIN_FinancialModel.xlsx</t>
  </si>
  <si>
    <t>REFERENCE — Pre-seed era model (May 2025). Baseline for assumption evolution.</t>
  </si>
  <si>
    <t>METHODOLOGY NOTES</t>
  </si>
  <si>
    <t>• LCOH calculated using CRF method per Agora Energiewende / European Hydrogen Observatory methodology.</t>
  </si>
  <si>
    <t>• CRF = r(1+r)^n / ((1+r)^n - 1); Base case: WACC=8%, n=20 years, CRF=0.1019.</t>
  </si>
  <si>
    <t>• LCOH boundary: electrolyzer outlet per Agora best practice. Compression, transport costs added separately.</t>
  </si>
  <si>
    <t>• All efficiency figures are LHV basis unless explicitly noted as HHV.</t>
  </si>
  <si>
    <t>• System SEC includes BOP parasitic load (~4 kWh/kg above stack SEC).</t>
  </si>
  <si>
    <t>• Stack SEC validated from 22,103 data points at 5-second intervals (6 kW and 15 kW prototypes, Navy SBIR N242-070).</t>
  </si>
  <si>
    <t>• Fiscal year: April-March. FY1 = Apr 2026 – Mar 2027.</t>
  </si>
  <si>
    <t>• Tax rate: 27% (Federal 21% + Oklahoma state ~6%).</t>
  </si>
  <si>
    <t>• 45V PTC: $3/kg for Tier 1 (&lt; 0.45 kgCO₂e/kg). Tobe qualifies at 0.03 kgCO₂e/kg.</t>
  </si>
  <si>
    <t>• Equipment learning curve: Wright's Law at ~85% (15% cost reduction per doubling of cumulative production).</t>
  </si>
  <si>
    <t>• Revenue recognition: H₂ sales at delivery, equipment at acceptance, services over contract period.</t>
  </si>
  <si>
    <t>• Working capital: AR = 15 days revenue, AP = 15 days COGS.</t>
  </si>
  <si>
    <t>• Depreciation: Straight-line over 9 years for all facility assets.</t>
  </si>
  <si>
    <t>GLOSSARY</t>
  </si>
  <si>
    <t>ASP</t>
  </si>
  <si>
    <t>Average Selling Price</t>
  </si>
  <si>
    <t>BOP</t>
  </si>
  <si>
    <t>Balance of Plant — auxiliary systems (pumps, controls, power electronics)</t>
  </si>
  <si>
    <t>CF</t>
  </si>
  <si>
    <t>Capacity Factor — actual vs. nameplate production</t>
  </si>
  <si>
    <t>CRF</t>
  </si>
  <si>
    <t>Capital Recovery Factor — annualization of CapEx</t>
  </si>
  <si>
    <t>FLH</t>
  </si>
  <si>
    <t>Full Load Hours — annual operating hours at nameplate</t>
  </si>
  <si>
    <t>Hydrogen as a Service — recurring revenue model</t>
  </si>
  <si>
    <t>HHV</t>
  </si>
  <si>
    <t>Higher Heating Value of hydrogen — 39.4 kWh/kg</t>
  </si>
  <si>
    <t>LCOH</t>
  </si>
  <si>
    <t>Levelized Cost of Hydrogen — $/kg over asset life</t>
  </si>
  <si>
    <t>LHV</t>
  </si>
  <si>
    <t>Lower Heating Value of hydrogen — 33.3 kWh/kg</t>
  </si>
  <si>
    <t>LLC</t>
  </si>
  <si>
    <t>Low-Loss Converter — optimized power electronics</t>
  </si>
  <si>
    <t>Proton Exchange Membrane (electrolysis technology)</t>
  </si>
  <si>
    <t>PPA</t>
  </si>
  <si>
    <t>Power Purchase Agreement — long-term electricity contract</t>
  </si>
  <si>
    <t>PTC</t>
  </si>
  <si>
    <t>Production Tax Credit (IRA Section 45V)</t>
  </si>
  <si>
    <t>SEC</t>
  </si>
  <si>
    <t>Specific Energy Consumption — kWh per kg H₂</t>
  </si>
  <si>
    <t>SMR</t>
  </si>
  <si>
    <t>Steam Methane Reforming — grey hydrogen production</t>
  </si>
  <si>
    <t>Solid Oxide Electrolyzer Cell</t>
  </si>
  <si>
    <t>TDS</t>
  </si>
  <si>
    <t>Total Dissolved Solids — water quality measure</t>
  </si>
  <si>
    <t>Weighted Average Cost of Capital</t>
  </si>
  <si>
    <t>DISCLAIMERS</t>
  </si>
  <si>
    <t>This financial model is based on management projections and contains forward-looking statements.</t>
  </si>
  <si>
    <t>Actual results may differ materially from projections due to market conditions, technology risks, and execution factors.</t>
  </si>
  <si>
    <t>This model does not constitute an offer to sell or solicitation of an offer to buy securities.</t>
  </si>
  <si>
    <t>All assumptions should be independently verified. Yellow-highlighted cells indicate user-modifiable inputs.</t>
  </si>
  <si>
    <t>The 45V Production Tax Credit is subject to regulatory changes and qualification requirements.</t>
  </si>
  <si>
    <t>Prepared for authorized recipients only. Do not distribute without written permission from Tobe Energy Corp.</t>
  </si>
  <si>
    <t>SENSITIVITY ANALYSIS</t>
  </si>
  <si>
    <t>Scenario analysis, LCOH sensitivity, and investment return calculations</t>
  </si>
  <si>
    <t>1. LCOH SENSITIVITY — ELECTRICITY PRICE</t>
  </si>
  <si>
    <t>vs Base Case</t>
  </si>
  <si>
    <t>Gross Margin at $25/kg</t>
  </si>
  <si>
    <t>2. LCOH BY EFFICIENCY SCENARIO</t>
  </si>
  <si>
    <t>Electricity</t>
  </si>
  <si>
    <t>vs PEM ($4-7/kg)</t>
  </si>
  <si>
    <t>3. H₂ PRICE × FACILITY COUNT — FY5 REVENUE ($M)</t>
  </si>
  <si>
    <t>H₂ Price ↓ / Fac →</t>
  </si>
  <si>
    <t>3</t>
  </si>
  <si>
    <t>5</t>
  </si>
  <si>
    <t>7 (Base)</t>
  </si>
  <si>
    <t>10</t>
  </si>
  <si>
    <t>12</t>
  </si>
  <si>
    <t>$15/kg</t>
  </si>
  <si>
    <t>$20/kg</t>
  </si>
  <si>
    <t>$25/kg (Base)</t>
  </si>
  <si>
    <t>$30/kg</t>
  </si>
  <si>
    <t>$35/kg</t>
  </si>
  <si>
    <t>4. SCENARIO OUTCOMES (FY7)</t>
  </si>
  <si>
    <t>Bear</t>
  </si>
  <si>
    <t>Base</t>
  </si>
  <si>
    <t>Bull</t>
  </si>
  <si>
    <t>4 facilities</t>
  </si>
  <si>
    <t>Revenue ($M)</t>
  </si>
  <si>
    <t>EBITDA Margin</t>
  </si>
  <si>
    <t>5. EXIT VALUATION (FY7)</t>
  </si>
  <si>
    <t>Basis</t>
  </si>
  <si>
    <t>Multiple</t>
  </si>
  <si>
    <t>EV ($M)</t>
  </si>
  <si>
    <t>Seed Value ($M)</t>
  </si>
  <si>
    <t>Revenue (Bear)</t>
  </si>
  <si>
    <t>8x</t>
  </si>
  <si>
    <t>Revenue (Base)</t>
  </si>
  <si>
    <t>10x</t>
  </si>
  <si>
    <t>Revenue (Bull)</t>
  </si>
  <si>
    <t>12x</t>
  </si>
  <si>
    <t>EBITDA (Bear)</t>
  </si>
  <si>
    <t>15x</t>
  </si>
  <si>
    <t>EBITDA (Base)</t>
  </si>
  <si>
    <t>20x</t>
  </si>
  <si>
    <t>EBITDA (Bull)</t>
  </si>
  <si>
    <t>25x</t>
  </si>
  <si>
    <t>6. WHAT-IF: KEY VARIABLE IMPACT ON FY7 EBITDA</t>
  </si>
  <si>
    <t>Variable Change</t>
  </si>
  <si>
    <t>Est. Impact ($M)</t>
  </si>
  <si>
    <t>Direction</t>
  </si>
  <si>
    <t>Electricity +$0.01/kWh</t>
  </si>
  <si>
    <t>Negative</t>
  </si>
  <si>
    <t>H₂ ASP -$5/kg</t>
  </si>
  <si>
    <t>45V PTC eliminated</t>
  </si>
  <si>
    <t>2 fewer facilities</t>
  </si>
  <si>
    <t>H₂ ASP +$5/kg</t>
  </si>
  <si>
    <t>Positive</t>
  </si>
  <si>
    <t>Electricity -$0.015/kWh (PPA)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</si>
</sst>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5" formatCode="\$#,##0.000"/>
    <numFmt numFmtId="166" formatCode="0.0%"/>
    <numFmt numFmtId="167" formatCode="\$#,##0"/>
    <numFmt numFmtId="168" formatCode="\$#,##0.00000"/>
    <numFmt numFmtId="169" formatCode="\$#,##0.00"/>
    <numFmt numFmtId="170" formatCode="\$#,##0.0000"/>
    <numFmt numFmtId="171" formatCode="#,##0.0"/>
    <numFmt numFmtId="172" formatCode="0.0"/>
    <numFmt numFmtId="173" formatCode="0.0&quot;x&quot;"/>
  </numFmts>
  <fonts count="19" x14ac:knownFonts="1">
    <font>
      <sz val="11"/>
      <color theme="1"/>
      <name val="Calibri"/>
      <family val="2"/>
      <scheme val="minor"/>
    </font>
    <font>
      <b/>
      <sz val="28"/>
      <color rgb="FF2C3E50"/>
      <name val="Calibri"/>
      <family val="2"/>
    </font>
    <font>
      <b/>
      <sz val="20"/>
      <color rgb="FF34495E"/>
      <name val="Calibri"/>
      <family val="2"/>
    </font>
    <font>
      <sz val="14"/>
      <color rgb="FF5D6D7E"/>
      <name val="Calibri"/>
      <family val="2"/>
    </font>
    <font>
      <sz val="13"/>
      <color rgb="FF7F8C8D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3"/>
      <color rgb="FF2C3E50"/>
      <name val="Calibri"/>
      <family val="2"/>
    </font>
    <font>
      <b/>
      <sz val="16"/>
      <name val="Calibri"/>
      <family val="2"/>
    </font>
    <font>
      <sz val="9"/>
      <color rgb="FF7F8C8D"/>
      <name val="Calibri"/>
      <family val="2"/>
    </font>
    <font>
      <b/>
      <sz val="11"/>
      <color rgb="FFFFFFFF"/>
      <name val="Calibri"/>
      <family val="2"/>
    </font>
    <font>
      <b/>
      <sz val="13"/>
      <color rgb="FF27AE60"/>
      <name val="Calibri"/>
      <family val="2"/>
    </font>
    <font>
      <b/>
      <sz val="11"/>
      <color rgb="FFFF0000"/>
      <name val="Calibri"/>
      <family val="2"/>
    </font>
    <font>
      <i/>
      <sz val="11"/>
      <name val="Calibri"/>
      <family val="2"/>
    </font>
    <font>
      <sz val="11"/>
      <color rgb="FFFF0000"/>
      <name val="Calibri"/>
      <family val="2"/>
    </font>
    <font>
      <b/>
      <sz val="12"/>
      <color rgb="FF2C3E50"/>
      <name val="Calibri"/>
      <family val="2"/>
    </font>
    <font>
      <b/>
      <sz val="12"/>
      <color rgb="FF27AE60"/>
      <name val="Calibri"/>
      <family val="2"/>
    </font>
    <font>
      <b/>
      <sz val="11"/>
      <color rgb="FF27AE60"/>
      <name val="Calibri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F2F3F4"/>
        <bgColor rgb="FFF2F3F4"/>
      </patternFill>
    </fill>
    <fill>
      <patternFill patternType="solid">
        <fgColor rgb="FFFFF2CC"/>
        <bgColor rgb="FFFFF2CC"/>
      </patternFill>
    </fill>
    <fill>
      <patternFill patternType="solid">
        <fgColor rgb="FFD6EAF8"/>
        <bgColor rgb="FFD6EAF8"/>
      </patternFill>
    </fill>
    <fill>
      <patternFill patternType="solid">
        <fgColor rgb="FFD5F5E3"/>
        <bgColor rgb="FFD5F5E3"/>
      </patternFill>
    </fill>
    <fill>
      <patternFill patternType="solid">
        <fgColor rgb="FFFADBD8"/>
        <bgColor rgb="FFFADBD8"/>
      </patternFill>
    </fill>
  </fills>
  <borders count="2">
    <border>
      <left/>
      <right/>
      <top/>
      <bottom/>
      <diagonal/>
    </border>
    <border>
      <left/>
      <right/>
      <top style="medium">
        <color rgb="FF2C3E50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7" fillId="3" borderId="0" xfId="0" applyFont="1" applyFill="1"/>
    <xf numFmtId="0" fontId="0" fillId="3" borderId="0" xfId="0" applyFill="1"/>
    <xf numFmtId="0" fontId="11" fillId="0" borderId="0" xfId="0" applyFont="1"/>
    <xf numFmtId="0" fontId="10" fillId="2" borderId="0" xfId="0" applyFont="1" applyFill="1" applyAlignment="1">
      <alignment horizontal="center" vertical="center" wrapText="1"/>
    </xf>
    <xf numFmtId="4" fontId="6" fillId="5" borderId="0" xfId="0" applyNumberFormat="1" applyFont="1" applyFill="1"/>
    <xf numFmtId="165" fontId="6" fillId="4" borderId="0" xfId="0" applyNumberFormat="1" applyFont="1" applyFill="1"/>
    <xf numFmtId="4" fontId="6" fillId="4" borderId="0" xfId="0" applyNumberFormat="1" applyFont="1" applyFill="1"/>
    <xf numFmtId="166" fontId="6" fillId="4" borderId="0" xfId="0" applyNumberFormat="1" applyFont="1" applyFill="1"/>
    <xf numFmtId="167" fontId="6" fillId="4" borderId="0" xfId="0" applyNumberFormat="1" applyFont="1" applyFill="1"/>
    <xf numFmtId="3" fontId="6" fillId="4" borderId="0" xfId="0" applyNumberFormat="1" applyFont="1" applyFill="1"/>
    <xf numFmtId="168" fontId="6" fillId="4" borderId="0" xfId="0" applyNumberFormat="1" applyFont="1" applyFill="1"/>
    <xf numFmtId="169" fontId="6" fillId="4" borderId="0" xfId="0" applyNumberFormat="1" applyFont="1" applyFill="1"/>
    <xf numFmtId="165" fontId="6" fillId="5" borderId="0" xfId="0" applyNumberFormat="1" applyFont="1" applyFill="1"/>
    <xf numFmtId="166" fontId="6" fillId="5" borderId="0" xfId="0" applyNumberFormat="1" applyFont="1" applyFill="1"/>
    <xf numFmtId="167" fontId="6" fillId="5" borderId="0" xfId="0" applyNumberFormat="1" applyFont="1" applyFill="1"/>
    <xf numFmtId="3" fontId="6" fillId="5" borderId="0" xfId="0" applyNumberFormat="1" applyFont="1" applyFill="1"/>
    <xf numFmtId="170" fontId="6" fillId="4" borderId="0" xfId="0" applyNumberFormat="1" applyFont="1" applyFill="1"/>
    <xf numFmtId="0" fontId="5" fillId="6" borderId="0" xfId="0" applyFont="1" applyFill="1"/>
    <xf numFmtId="0" fontId="5" fillId="7" borderId="0" xfId="0" applyFont="1" applyFill="1"/>
    <xf numFmtId="0" fontId="10" fillId="2" borderId="0" xfId="0" applyFont="1" applyFill="1"/>
    <xf numFmtId="169" fontId="0" fillId="0" borderId="0" xfId="0" applyNumberFormat="1"/>
    <xf numFmtId="169" fontId="6" fillId="5" borderId="0" xfId="0" applyNumberFormat="1" applyFont="1" applyFill="1"/>
    <xf numFmtId="0" fontId="5" fillId="0" borderId="1" xfId="0" applyFont="1" applyBorder="1"/>
    <xf numFmtId="165" fontId="5" fillId="5" borderId="1" xfId="0" applyNumberFormat="1" applyFont="1" applyFill="1" applyBorder="1"/>
    <xf numFmtId="169" fontId="5" fillId="0" borderId="1" xfId="0" applyNumberFormat="1" applyFont="1" applyBorder="1"/>
    <xf numFmtId="169" fontId="5" fillId="5" borderId="1" xfId="0" applyNumberFormat="1" applyFont="1" applyFill="1" applyBorder="1"/>
    <xf numFmtId="0" fontId="6" fillId="5" borderId="0" xfId="0" applyFont="1" applyFill="1"/>
    <xf numFmtId="0" fontId="6" fillId="4" borderId="0" xfId="0" applyFont="1" applyFill="1"/>
    <xf numFmtId="167" fontId="5" fillId="5" borderId="1" xfId="0" applyNumberFormat="1" applyFont="1" applyFill="1" applyBorder="1"/>
    <xf numFmtId="167" fontId="6" fillId="0" borderId="0" xfId="0" applyNumberFormat="1" applyFont="1"/>
    <xf numFmtId="0" fontId="13" fillId="0" borderId="0" xfId="0" applyFont="1"/>
    <xf numFmtId="167" fontId="14" fillId="5" borderId="0" xfId="0" applyNumberFormat="1" applyFont="1" applyFill="1"/>
    <xf numFmtId="167" fontId="5" fillId="5" borderId="0" xfId="0" applyNumberFormat="1" applyFont="1" applyFill="1"/>
    <xf numFmtId="0" fontId="6" fillId="7" borderId="0" xfId="0" applyFont="1" applyFill="1"/>
    <xf numFmtId="3" fontId="5" fillId="0" borderId="1" xfId="0" applyNumberFormat="1" applyFont="1" applyBorder="1"/>
    <xf numFmtId="167" fontId="11" fillId="5" borderId="0" xfId="0" applyNumberFormat="1" applyFont="1" applyFill="1"/>
    <xf numFmtId="167" fontId="12" fillId="5" borderId="0" xfId="0" applyNumberFormat="1" applyFont="1" applyFill="1"/>
    <xf numFmtId="166" fontId="0" fillId="0" borderId="0" xfId="0" applyNumberFormat="1"/>
    <xf numFmtId="3" fontId="0" fillId="0" borderId="0" xfId="0" applyNumberFormat="1"/>
    <xf numFmtId="3" fontId="5" fillId="5" borderId="1" xfId="0" applyNumberFormat="1" applyFont="1" applyFill="1" applyBorder="1"/>
    <xf numFmtId="166" fontId="5" fillId="5" borderId="0" xfId="0" applyNumberFormat="1" applyFont="1" applyFill="1"/>
    <xf numFmtId="166" fontId="5" fillId="5" borderId="1" xfId="0" applyNumberFormat="1" applyFont="1" applyFill="1" applyBorder="1"/>
    <xf numFmtId="3" fontId="5" fillId="5" borderId="0" xfId="0" applyNumberFormat="1" applyFont="1" applyFill="1"/>
    <xf numFmtId="171" fontId="6" fillId="5" borderId="0" xfId="0" applyNumberFormat="1" applyFont="1" applyFill="1"/>
    <xf numFmtId="171" fontId="5" fillId="6" borderId="0" xfId="0" applyNumberFormat="1" applyFont="1" applyFill="1"/>
    <xf numFmtId="0" fontId="15" fillId="0" borderId="0" xfId="0" applyFont="1"/>
    <xf numFmtId="172" fontId="6" fillId="5" borderId="0" xfId="0" applyNumberFormat="1" applyFont="1" applyFill="1"/>
    <xf numFmtId="167" fontId="6" fillId="6" borderId="0" xfId="0" applyNumberFormat="1" applyFont="1" applyFill="1"/>
    <xf numFmtId="167" fontId="0" fillId="7" borderId="0" xfId="0" applyNumberFormat="1" applyFill="1"/>
    <xf numFmtId="173" fontId="17" fillId="5" borderId="0" xfId="0" applyNumberFormat="1" applyFont="1" applyFill="1"/>
    <xf numFmtId="3" fontId="9" fillId="5" borderId="0" xfId="0" applyNumberFormat="1" applyFont="1" applyFill="1"/>
    <xf numFmtId="169" fontId="11" fillId="5" borderId="0" xfId="0" applyNumberFormat="1" applyFont="1" applyFill="1"/>
    <xf numFmtId="166" fontId="11" fillId="5" borderId="0" xfId="0" applyNumberFormat="1" applyFont="1" applyFill="1"/>
    <xf numFmtId="4" fontId="5" fillId="5" borderId="1" xfId="0" applyNumberFormat="1" applyFont="1" applyFill="1" applyBorder="1"/>
    <xf numFmtId="4" fontId="5" fillId="5" borderId="0" xfId="0" applyNumberFormat="1" applyFont="1" applyFill="1"/>
    <xf numFmtId="167" fontId="0" fillId="0" borderId="0" xfId="0" applyNumberFormat="1"/>
    <xf numFmtId="165" fontId="0" fillId="4" borderId="0" xfId="0" applyNumberFormat="1" applyFill="1"/>
    <xf numFmtId="169" fontId="5" fillId="5" borderId="0" xfId="0" applyNumberFormat="1" applyFont="1" applyFill="1"/>
    <xf numFmtId="0" fontId="0" fillId="4" borderId="0" xfId="0" applyFill="1"/>
    <xf numFmtId="173" fontId="11" fillId="5" borderId="0" xfId="0" applyNumberFormat="1" applyFont="1" applyFill="1"/>
    <xf numFmtId="171" fontId="12" fillId="5" borderId="0" xfId="0" applyNumberFormat="1" applyFont="1" applyFill="1"/>
    <xf numFmtId="171" fontId="11" fillId="5" borderId="0" xfId="0" applyNumberFormat="1" applyFont="1" applyFill="1"/>
    <xf numFmtId="0" fontId="9" fillId="0" borderId="1" xfId="0" applyFont="1" applyBorder="1"/>
    <xf numFmtId="0" fontId="6" fillId="0" borderId="1" xfId="0" applyFont="1" applyBorder="1"/>
    <xf numFmtId="167" fontId="6" fillId="4" borderId="1" xfId="0" applyNumberFormat="1" applyFont="1" applyFill="1" applyBorder="1"/>
    <xf numFmtId="0" fontId="3" fillId="0" borderId="0" xfId="0" applyFont="1"/>
    <xf numFmtId="0" fontId="0" fillId="0" borderId="0" xfId="0"/>
    <xf numFmtId="0" fontId="4" fillId="0" borderId="0" xfId="0" applyFont="1"/>
    <xf numFmtId="0" fontId="2" fillId="0" borderId="0" xfId="0" applyFont="1"/>
    <xf numFmtId="0" fontId="1" fillId="0" borderId="0" xfId="0" applyFont="1"/>
    <xf numFmtId="0" fontId="6" fillId="0" borderId="0" xfId="0" applyFont="1"/>
    <xf numFmtId="0" fontId="7" fillId="3" borderId="0" xfId="0" applyFont="1" applyFill="1"/>
    <xf numFmtId="0" fontId="9" fillId="0" borderId="0" xfId="0" applyFont="1"/>
    <xf numFmtId="0" fontId="1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C3E50"/>
    <pageSetUpPr fitToPage="1"/>
  </sheetPr>
  <dimension ref="B3:C42"/>
  <sheetViews>
    <sheetView showGridLines="0" workbookViewId="0"/>
  </sheetViews>
  <sheetFormatPr baseColWidth="10" defaultColWidth="8.83203125" defaultRowHeight="15" x14ac:dyDescent="0.2"/>
  <cols>
    <col min="1" max="1" width="5" customWidth="1"/>
    <col min="2" max="2" width="60" customWidth="1"/>
    <col min="3" max="3" width="40" customWidth="1"/>
  </cols>
  <sheetData>
    <row r="3" spans="2:3" ht="37" x14ac:dyDescent="0.45">
      <c r="B3" s="75" t="s">
        <v>0</v>
      </c>
      <c r="C3" s="72"/>
    </row>
    <row r="5" spans="2:3" ht="26" x14ac:dyDescent="0.3">
      <c r="B5" s="74" t="s">
        <v>1</v>
      </c>
      <c r="C5" s="72"/>
    </row>
    <row r="6" spans="2:3" ht="19" x14ac:dyDescent="0.25">
      <c r="B6" s="71" t="s">
        <v>2</v>
      </c>
      <c r="C6" s="72"/>
    </row>
    <row r="8" spans="2:3" ht="17" x14ac:dyDescent="0.2">
      <c r="B8" s="73" t="s">
        <v>3</v>
      </c>
      <c r="C8" s="72"/>
    </row>
    <row r="10" spans="2:3" x14ac:dyDescent="0.2">
      <c r="B10" s="1" t="s">
        <v>4</v>
      </c>
      <c r="C10" s="2" t="s">
        <v>5</v>
      </c>
    </row>
    <row r="11" spans="2:3" x14ac:dyDescent="0.2">
      <c r="B11" s="1" t="s">
        <v>6</v>
      </c>
      <c r="C11" s="2" t="s">
        <v>7</v>
      </c>
    </row>
    <row r="12" spans="2:3" x14ac:dyDescent="0.2">
      <c r="B12" s="1" t="s">
        <v>8</v>
      </c>
      <c r="C12" s="2" t="s">
        <v>9</v>
      </c>
    </row>
    <row r="14" spans="2:3" ht="17" x14ac:dyDescent="0.2">
      <c r="B14" s="3" t="s">
        <v>10</v>
      </c>
    </row>
    <row r="16" spans="2:3" x14ac:dyDescent="0.2">
      <c r="B16" s="1" t="s">
        <v>11</v>
      </c>
      <c r="C16" s="2" t="s">
        <v>12</v>
      </c>
    </row>
    <row r="17" spans="2:3" x14ac:dyDescent="0.2">
      <c r="B17" s="1" t="s">
        <v>13</v>
      </c>
      <c r="C17" s="2" t="s">
        <v>14</v>
      </c>
    </row>
    <row r="18" spans="2:3" x14ac:dyDescent="0.2">
      <c r="B18" s="1" t="s">
        <v>15</v>
      </c>
      <c r="C18" s="2" t="s">
        <v>16</v>
      </c>
    </row>
    <row r="19" spans="2:3" x14ac:dyDescent="0.2">
      <c r="B19" s="1" t="s">
        <v>17</v>
      </c>
      <c r="C19" s="2" t="s">
        <v>18</v>
      </c>
    </row>
    <row r="20" spans="2:3" x14ac:dyDescent="0.2">
      <c r="B20" s="1" t="s">
        <v>19</v>
      </c>
      <c r="C20" s="2" t="s">
        <v>20</v>
      </c>
    </row>
    <row r="21" spans="2:3" x14ac:dyDescent="0.2">
      <c r="B21" s="1" t="s">
        <v>21</v>
      </c>
      <c r="C21" s="2" t="s">
        <v>22</v>
      </c>
    </row>
    <row r="22" spans="2:3" x14ac:dyDescent="0.2">
      <c r="B22" s="1" t="s">
        <v>23</v>
      </c>
      <c r="C22" s="2" t="s">
        <v>24</v>
      </c>
    </row>
    <row r="23" spans="2:3" x14ac:dyDescent="0.2">
      <c r="B23" s="1" t="s">
        <v>25</v>
      </c>
      <c r="C23" s="2" t="s">
        <v>26</v>
      </c>
    </row>
    <row r="24" spans="2:3" x14ac:dyDescent="0.2">
      <c r="B24" s="1" t="s">
        <v>27</v>
      </c>
      <c r="C24" s="2" t="s">
        <v>28</v>
      </c>
    </row>
    <row r="25" spans="2:3" x14ac:dyDescent="0.2">
      <c r="B25" s="1" t="s">
        <v>29</v>
      </c>
      <c r="C25" s="2" t="s">
        <v>30</v>
      </c>
    </row>
    <row r="26" spans="2:3" x14ac:dyDescent="0.2">
      <c r="B26" s="1" t="s">
        <v>31</v>
      </c>
      <c r="C26" s="2" t="s">
        <v>32</v>
      </c>
    </row>
    <row r="27" spans="2:3" x14ac:dyDescent="0.2">
      <c r="B27" s="1" t="s">
        <v>33</v>
      </c>
      <c r="C27" s="2" t="s">
        <v>34</v>
      </c>
    </row>
    <row r="28" spans="2:3" x14ac:dyDescent="0.2">
      <c r="B28" s="1" t="s">
        <v>35</v>
      </c>
      <c r="C28" s="2" t="s">
        <v>36</v>
      </c>
    </row>
    <row r="29" spans="2:3" x14ac:dyDescent="0.2">
      <c r="B29" s="1" t="s">
        <v>37</v>
      </c>
      <c r="C29" s="2" t="s">
        <v>38</v>
      </c>
    </row>
    <row r="32" spans="2:3" x14ac:dyDescent="0.2">
      <c r="B32" s="1" t="s">
        <v>39</v>
      </c>
    </row>
    <row r="33" spans="2:2" x14ac:dyDescent="0.2">
      <c r="B33" s="2" t="s">
        <v>40</v>
      </c>
    </row>
    <row r="34" spans="2:2" x14ac:dyDescent="0.2">
      <c r="B34" s="2" t="s">
        <v>41</v>
      </c>
    </row>
    <row r="35" spans="2:2" x14ac:dyDescent="0.2">
      <c r="B35" s="2" t="s">
        <v>42</v>
      </c>
    </row>
    <row r="38" spans="2:2" x14ac:dyDescent="0.2">
      <c r="B38" s="1" t="s">
        <v>43</v>
      </c>
    </row>
    <row r="39" spans="2:2" x14ac:dyDescent="0.2">
      <c r="B39" s="5" t="s">
        <v>44</v>
      </c>
    </row>
    <row r="40" spans="2:2" x14ac:dyDescent="0.2">
      <c r="B40" s="5" t="s">
        <v>45</v>
      </c>
    </row>
    <row r="41" spans="2:2" x14ac:dyDescent="0.2">
      <c r="B41" s="5" t="s">
        <v>46</v>
      </c>
    </row>
    <row r="42" spans="2:2" x14ac:dyDescent="0.2">
      <c r="B42" s="5" t="s">
        <v>47</v>
      </c>
    </row>
  </sheetData>
  <mergeCells count="4">
    <mergeCell ref="B6:C6"/>
    <mergeCell ref="B8:C8"/>
    <mergeCell ref="B5:C5"/>
    <mergeCell ref="B3:C3"/>
  </mergeCell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7AE60"/>
    <pageSetUpPr fitToPage="1"/>
  </sheetPr>
  <dimension ref="B1:I58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4" customWidth="1"/>
    <col min="2" max="2" width="30" customWidth="1"/>
    <col min="3" max="9" width="18" customWidth="1"/>
  </cols>
  <sheetData>
    <row r="1" spans="2:9" ht="21" x14ac:dyDescent="0.25">
      <c r="B1" s="4" t="s">
        <v>48</v>
      </c>
    </row>
    <row r="2" spans="2:9" x14ac:dyDescent="0.2">
      <c r="B2" s="5" t="s">
        <v>49</v>
      </c>
    </row>
    <row r="4" spans="2:9" ht="17" x14ac:dyDescent="0.2">
      <c r="B4" s="6" t="s">
        <v>50</v>
      </c>
      <c r="C4" s="7"/>
      <c r="D4" s="7"/>
      <c r="E4" s="7"/>
      <c r="F4" s="7"/>
      <c r="G4" s="7"/>
      <c r="H4" s="7"/>
      <c r="I4" s="7"/>
    </row>
    <row r="5" spans="2:9" ht="16" x14ac:dyDescent="0.2">
      <c r="B5" s="9" t="s">
        <v>51</v>
      </c>
      <c r="C5" s="9" t="s">
        <v>52</v>
      </c>
      <c r="D5" s="9" t="s">
        <v>53</v>
      </c>
    </row>
    <row r="6" spans="2:9" ht="17" x14ac:dyDescent="0.2">
      <c r="B6" s="1" t="s">
        <v>54</v>
      </c>
      <c r="C6" s="41">
        <f>'P&amp;L'!I11</f>
        <v>327654846</v>
      </c>
      <c r="D6" s="5" t="s">
        <v>55</v>
      </c>
    </row>
    <row r="7" spans="2:9" ht="17" x14ac:dyDescent="0.2">
      <c r="B7" s="1" t="s">
        <v>56</v>
      </c>
      <c r="C7" s="41">
        <f>'P&amp;L'!I31</f>
        <v>209431118.89840001</v>
      </c>
      <c r="D7" s="19">
        <f>'P&amp;L'!I32</f>
        <v>0.63918211940134106</v>
      </c>
    </row>
    <row r="8" spans="2:9" ht="17" x14ac:dyDescent="0.2">
      <c r="B8" s="1" t="s">
        <v>57</v>
      </c>
      <c r="C8" s="41">
        <f>'P&amp;L'!I40</f>
        <v>152475470.76583201</v>
      </c>
      <c r="D8" s="32">
        <f>'P&amp;L'!I41</f>
        <v>0.4653539315143595</v>
      </c>
    </row>
    <row r="9" spans="2:9" ht="17" x14ac:dyDescent="0.2">
      <c r="B9" s="1" t="s">
        <v>58</v>
      </c>
      <c r="C9" s="41">
        <f>'P&amp;L'!I43</f>
        <v>832781983</v>
      </c>
      <c r="D9" s="5" t="s">
        <v>59</v>
      </c>
    </row>
    <row r="10" spans="2:9" ht="17" x14ac:dyDescent="0.2">
      <c r="B10" s="1" t="s">
        <v>60</v>
      </c>
      <c r="C10" s="57">
        <f>ASSUMPTIONS!C34+ASSUMPTIONS!C59+1.389+ASSUMPTIONS!C49/ASSUMPTIONS!C53/ASSUMPTIONS!C22</f>
        <v>5.0832895126705653</v>
      </c>
      <c r="D10" s="5" t="s">
        <v>61</v>
      </c>
    </row>
    <row r="11" spans="2:9" ht="17" x14ac:dyDescent="0.2">
      <c r="B11" s="1" t="s">
        <v>62</v>
      </c>
      <c r="C11" s="41">
        <f>ASSUMPTIONS!C15</f>
        <v>25</v>
      </c>
      <c r="D11" s="5" t="s">
        <v>63</v>
      </c>
    </row>
    <row r="12" spans="2:9" ht="17" x14ac:dyDescent="0.2">
      <c r="B12" s="1" t="s">
        <v>64</v>
      </c>
      <c r="C12" s="58">
        <f>'P&amp;L'!I20</f>
        <v>0.78576795046089454</v>
      </c>
      <c r="D12" s="5" t="s">
        <v>65</v>
      </c>
    </row>
    <row r="13" spans="2:9" ht="17" x14ac:dyDescent="0.2">
      <c r="B13" s="1" t="s">
        <v>66</v>
      </c>
      <c r="C13" s="41">
        <f>ASSUMPTIONS!C77</f>
        <v>10000000</v>
      </c>
      <c r="D13" s="5" t="s">
        <v>67</v>
      </c>
    </row>
    <row r="14" spans="2:9" ht="17" x14ac:dyDescent="0.2">
      <c r="B14" s="1" t="s">
        <v>68</v>
      </c>
      <c r="C14" s="41">
        <f>ASSUMPTIONS!C78</f>
        <v>40000000</v>
      </c>
      <c r="D14" s="5" t="s">
        <v>69</v>
      </c>
    </row>
    <row r="16" spans="2:9" ht="17" x14ac:dyDescent="0.2">
      <c r="B16" s="6" t="s">
        <v>70</v>
      </c>
      <c r="C16" s="7"/>
      <c r="D16" s="7"/>
      <c r="E16" s="7"/>
      <c r="F16" s="7"/>
      <c r="G16" s="7"/>
      <c r="H16" s="7"/>
      <c r="I16" s="7"/>
    </row>
    <row r="17" spans="2:9" ht="16" x14ac:dyDescent="0.2">
      <c r="B17" s="9" t="s">
        <v>71</v>
      </c>
      <c r="C17" s="9" t="s">
        <v>72</v>
      </c>
      <c r="D17" s="9" t="s">
        <v>73</v>
      </c>
      <c r="E17" s="9" t="s">
        <v>74</v>
      </c>
      <c r="F17" s="9" t="s">
        <v>75</v>
      </c>
      <c r="G17" s="9" t="s">
        <v>76</v>
      </c>
      <c r="H17" s="9" t="s">
        <v>77</v>
      </c>
      <c r="I17" s="9" t="s">
        <v>78</v>
      </c>
    </row>
    <row r="18" spans="2:9" x14ac:dyDescent="0.2">
      <c r="B18" s="2" t="s">
        <v>79</v>
      </c>
      <c r="C18" s="10">
        <f>'P&amp;L'!C7/1000000</f>
        <v>0</v>
      </c>
      <c r="D18" s="10">
        <f>'P&amp;L'!D7/1000000</f>
        <v>11.8125</v>
      </c>
      <c r="E18" s="10">
        <f>'P&amp;L'!E7/1000000</f>
        <v>77.8125</v>
      </c>
      <c r="F18" s="10">
        <f>'P&amp;L'!F7/1000000</f>
        <v>141.5625</v>
      </c>
      <c r="G18" s="10">
        <f>'P&amp;L'!G7/1000000</f>
        <v>210.9375</v>
      </c>
      <c r="H18" s="10">
        <f>'P&amp;L'!H7/1000000</f>
        <v>264.375</v>
      </c>
      <c r="I18" s="10">
        <f>'P&amp;L'!I7/1000000</f>
        <v>270</v>
      </c>
    </row>
    <row r="19" spans="2:9" x14ac:dyDescent="0.2">
      <c r="B19" s="2" t="s">
        <v>80</v>
      </c>
      <c r="C19" s="10">
        <f>'P&amp;L'!C8/1000000</f>
        <v>0.875</v>
      </c>
      <c r="D19" s="10">
        <f>'P&amp;L'!D8/1000000</f>
        <v>4.2949999999999999</v>
      </c>
      <c r="E19" s="10">
        <f>'P&amp;L'!E8/1000000</f>
        <v>10.26</v>
      </c>
      <c r="F19" s="10">
        <f>'P&amp;L'!F8/1000000</f>
        <v>18.77</v>
      </c>
      <c r="G19" s="10">
        <f>'P&amp;L'!G8/1000000</f>
        <v>28.95</v>
      </c>
      <c r="H19" s="10">
        <f>'P&amp;L'!H8/1000000</f>
        <v>39.130000000000003</v>
      </c>
      <c r="I19" s="10">
        <f>'P&amp;L'!I8/1000000</f>
        <v>51.06</v>
      </c>
    </row>
    <row r="20" spans="2:9" x14ac:dyDescent="0.2">
      <c r="B20" s="2" t="s">
        <v>81</v>
      </c>
      <c r="C20" s="10">
        <f>'P&amp;L'!C9/1000000</f>
        <v>0</v>
      </c>
      <c r="D20" s="10">
        <f>'P&amp;L'!D9/1000000</f>
        <v>3.2813000000000002E-2</v>
      </c>
      <c r="E20" s="10">
        <f>'P&amp;L'!E9/1000000</f>
        <v>0.24211299999999999</v>
      </c>
      <c r="F20" s="10">
        <f>'P&amp;L'!F9/1000000</f>
        <v>0.84820499999999999</v>
      </c>
      <c r="G20" s="10">
        <f>'P&amp;L'!G9/1000000</f>
        <v>2.0922809999999998</v>
      </c>
      <c r="H20" s="10">
        <f>'P&amp;L'!H9/1000000</f>
        <v>4.2049519999999996</v>
      </c>
      <c r="I20" s="10">
        <f>'P&amp;L'!I9/1000000</f>
        <v>6.5948460000000004</v>
      </c>
    </row>
    <row r="21" spans="2:9" x14ac:dyDescent="0.2">
      <c r="B21" s="1" t="s">
        <v>82</v>
      </c>
      <c r="C21" s="59">
        <f>'P&amp;L'!C11/1000000</f>
        <v>0.875</v>
      </c>
      <c r="D21" s="59">
        <f>'P&amp;L'!D11/1000000</f>
        <v>16.140312999999999</v>
      </c>
      <c r="E21" s="59">
        <f>'P&amp;L'!E11/1000000</f>
        <v>88.314612999999994</v>
      </c>
      <c r="F21" s="59">
        <f>'P&amp;L'!F11/1000000</f>
        <v>161.18070499999999</v>
      </c>
      <c r="G21" s="59">
        <f>'P&amp;L'!G11/1000000</f>
        <v>241.979781</v>
      </c>
      <c r="H21" s="59">
        <f>'P&amp;L'!H11/1000000</f>
        <v>307.70995199999999</v>
      </c>
      <c r="I21" s="59">
        <f>'P&amp;L'!I11/1000000</f>
        <v>327.65484600000002</v>
      </c>
    </row>
    <row r="22" spans="2:9" x14ac:dyDescent="0.2">
      <c r="B22" s="2" t="s">
        <v>83</v>
      </c>
      <c r="C22" s="10">
        <f>'P&amp;L'!C10/1000000</f>
        <v>0</v>
      </c>
      <c r="D22" s="10">
        <f>'P&amp;L'!D10/1000000</f>
        <v>1.4175</v>
      </c>
      <c r="E22" s="10">
        <f>'P&amp;L'!E10/1000000</f>
        <v>8.8874999999999993</v>
      </c>
      <c r="F22" s="10">
        <f>'P&amp;L'!F10/1000000</f>
        <v>10.8</v>
      </c>
      <c r="G22" s="10">
        <f>'P&amp;L'!G10/1000000</f>
        <v>10.8</v>
      </c>
      <c r="H22" s="10">
        <f>'P&amp;L'!H10/1000000</f>
        <v>10.8</v>
      </c>
      <c r="I22" s="10">
        <f>'P&amp;L'!I10/1000000</f>
        <v>10.8</v>
      </c>
    </row>
    <row r="24" spans="2:9" x14ac:dyDescent="0.2">
      <c r="B24" s="1" t="s">
        <v>84</v>
      </c>
      <c r="C24" s="60">
        <f>'P&amp;L'!C31/1000000</f>
        <v>-2.6531975999999999</v>
      </c>
      <c r="D24" s="60">
        <f>'P&amp;L'!D31/1000000</f>
        <v>3.6952451908000019</v>
      </c>
      <c r="E24" s="60">
        <f>'P&amp;L'!E31/1000000</f>
        <v>54.545917373200005</v>
      </c>
      <c r="F24" s="60">
        <f>'P&amp;L'!F31/1000000</f>
        <v>104.4879104964</v>
      </c>
      <c r="G24" s="60">
        <f>'P&amp;L'!G31/1000000</f>
        <v>158.1698780884</v>
      </c>
      <c r="H24" s="60">
        <f>'P&amp;L'!H31/1000000</f>
        <v>201.71963953039997</v>
      </c>
      <c r="I24" s="60">
        <f>'P&amp;L'!I31/1000000</f>
        <v>209.4311188984</v>
      </c>
    </row>
    <row r="25" spans="2:9" x14ac:dyDescent="0.2">
      <c r="B25" s="1" t="s">
        <v>85</v>
      </c>
      <c r="C25" s="60">
        <f>'P&amp;L'!C40/1000000</f>
        <v>-2.7831066</v>
      </c>
      <c r="D25" s="60">
        <f>'P&amp;L'!D40/1000000</f>
        <v>2.5922607992840012</v>
      </c>
      <c r="E25" s="60">
        <f>'P&amp;L'!E40/1000000</f>
        <v>44.489635652436</v>
      </c>
      <c r="F25" s="60">
        <f>'P&amp;L'!F40/1000000</f>
        <v>81.157013062372002</v>
      </c>
      <c r="G25" s="60">
        <f>'P&amp;L'!G40/1000000</f>
        <v>118.45502248453199</v>
      </c>
      <c r="H25" s="60">
        <f>'P&amp;L'!H40/1000000</f>
        <v>148.04108768719198</v>
      </c>
      <c r="I25" s="60">
        <f>'P&amp;L'!I40/1000000</f>
        <v>152.475470765832</v>
      </c>
    </row>
    <row r="26" spans="2:9" x14ac:dyDescent="0.2">
      <c r="B26" s="1" t="s">
        <v>86</v>
      </c>
      <c r="C26" s="60">
        <f>'P&amp;L'!C43/1000000</f>
        <v>1.2890919999999999</v>
      </c>
      <c r="D26" s="60">
        <f>'P&amp;L'!D43/1000000</f>
        <v>49.613512999999998</v>
      </c>
      <c r="E26" s="60">
        <f>'P&amp;L'!E43/1000000</f>
        <v>139.487718</v>
      </c>
      <c r="F26" s="60">
        <f>'P&amp;L'!F43/1000000</f>
        <v>224.15179800000001</v>
      </c>
      <c r="G26" s="60">
        <f>'P&amp;L'!G43/1000000</f>
        <v>478.384683</v>
      </c>
      <c r="H26" s="60">
        <f>'P&amp;L'!H43/1000000</f>
        <v>684.95994599999995</v>
      </c>
      <c r="I26" s="60">
        <f>'P&amp;L'!I43/1000000</f>
        <v>832.78198299999997</v>
      </c>
    </row>
    <row r="27" spans="2:9" x14ac:dyDescent="0.2">
      <c r="B27" s="2" t="s">
        <v>87</v>
      </c>
      <c r="C27" s="19">
        <f>'P&amp;L'!C32</f>
        <v>-3.0322258285714287</v>
      </c>
      <c r="D27" s="19">
        <f>'P&amp;L'!D32</f>
        <v>0.22894507626958671</v>
      </c>
      <c r="E27" s="19">
        <f>'P&amp;L'!E32</f>
        <v>0.61763184506283242</v>
      </c>
      <c r="F27" s="19">
        <f>'P&amp;L'!F32</f>
        <v>0.64826562519626652</v>
      </c>
      <c r="G27" s="19">
        <f>'P&amp;L'!G32</f>
        <v>0.65364914967172405</v>
      </c>
      <c r="H27" s="19">
        <f>'P&amp;L'!H32</f>
        <v>0.65555123654369152</v>
      </c>
      <c r="I27" s="19">
        <f>'P&amp;L'!I32</f>
        <v>0.63918211940134106</v>
      </c>
    </row>
    <row r="29" spans="2:9" ht="17" x14ac:dyDescent="0.2">
      <c r="B29" s="6" t="s">
        <v>88</v>
      </c>
      <c r="C29" s="7"/>
      <c r="D29" s="7"/>
      <c r="E29" s="7"/>
      <c r="F29" s="7"/>
      <c r="G29" s="7"/>
      <c r="H29" s="7"/>
      <c r="I29" s="7"/>
    </row>
    <row r="30" spans="2:9" x14ac:dyDescent="0.2">
      <c r="B30" s="76" t="s">
        <v>89</v>
      </c>
      <c r="C30" s="72"/>
      <c r="D30" s="72"/>
      <c r="E30" s="72"/>
      <c r="F30" s="72"/>
      <c r="G30" s="72"/>
      <c r="H30" s="72"/>
      <c r="I30" s="72"/>
    </row>
    <row r="31" spans="2:9" x14ac:dyDescent="0.2">
      <c r="B31" s="76" t="s">
        <v>90</v>
      </c>
      <c r="C31" s="72"/>
      <c r="D31" s="72"/>
      <c r="E31" s="72"/>
      <c r="F31" s="72"/>
      <c r="G31" s="72"/>
      <c r="H31" s="72"/>
      <c r="I31" s="72"/>
    </row>
    <row r="32" spans="2:9" x14ac:dyDescent="0.2">
      <c r="B32" s="76" t="s">
        <v>91</v>
      </c>
      <c r="C32" s="72"/>
      <c r="D32" s="72"/>
      <c r="E32" s="72"/>
      <c r="F32" s="72"/>
      <c r="G32" s="72"/>
      <c r="H32" s="72"/>
      <c r="I32" s="72"/>
    </row>
    <row r="33" spans="2:9" x14ac:dyDescent="0.2">
      <c r="B33" s="76" t="s">
        <v>92</v>
      </c>
      <c r="C33" s="72"/>
      <c r="D33" s="72"/>
      <c r="E33" s="72"/>
      <c r="F33" s="72"/>
      <c r="G33" s="72"/>
      <c r="H33" s="72"/>
      <c r="I33" s="72"/>
    </row>
    <row r="34" spans="2:9" x14ac:dyDescent="0.2">
      <c r="B34" s="76" t="s">
        <v>93</v>
      </c>
      <c r="C34" s="72"/>
      <c r="D34" s="72"/>
      <c r="E34" s="72"/>
      <c r="F34" s="72"/>
      <c r="G34" s="72"/>
      <c r="H34" s="72"/>
      <c r="I34" s="72"/>
    </row>
    <row r="35" spans="2:9" x14ac:dyDescent="0.2">
      <c r="B35" s="76" t="s">
        <v>94</v>
      </c>
      <c r="C35" s="72"/>
      <c r="D35" s="72"/>
      <c r="E35" s="72"/>
      <c r="F35" s="72"/>
      <c r="G35" s="72"/>
      <c r="H35" s="72"/>
      <c r="I35" s="72"/>
    </row>
    <row r="37" spans="2:9" ht="17" x14ac:dyDescent="0.2">
      <c r="B37" s="6" t="s">
        <v>95</v>
      </c>
      <c r="C37" s="7"/>
      <c r="D37" s="7"/>
      <c r="E37" s="7"/>
      <c r="F37" s="7"/>
      <c r="G37" s="7"/>
      <c r="H37" s="7"/>
      <c r="I37" s="7"/>
    </row>
    <row r="38" spans="2:9" ht="16" x14ac:dyDescent="0.2">
      <c r="B38" s="9" t="s">
        <v>96</v>
      </c>
      <c r="C38" s="9" t="s">
        <v>97</v>
      </c>
      <c r="D38" s="9" t="s">
        <v>98</v>
      </c>
    </row>
    <row r="39" spans="2:9" x14ac:dyDescent="0.2">
      <c r="B39" s="1" t="s">
        <v>99</v>
      </c>
      <c r="D39" s="2"/>
    </row>
    <row r="40" spans="2:9" x14ac:dyDescent="0.2">
      <c r="B40" s="2" t="s">
        <v>100</v>
      </c>
      <c r="C40" s="61">
        <v>1100000</v>
      </c>
      <c r="D40" s="2" t="s">
        <v>101</v>
      </c>
    </row>
    <row r="41" spans="2:9" x14ac:dyDescent="0.2">
      <c r="B41" s="2" t="s">
        <v>102</v>
      </c>
      <c r="C41" s="61">
        <v>1120000</v>
      </c>
      <c r="D41" s="2" t="s">
        <v>103</v>
      </c>
    </row>
    <row r="42" spans="2:9" x14ac:dyDescent="0.2">
      <c r="B42" s="2" t="s">
        <v>104</v>
      </c>
      <c r="C42" s="61">
        <v>2211496</v>
      </c>
      <c r="D42" s="2" t="s">
        <v>105</v>
      </c>
    </row>
    <row r="43" spans="2:9" x14ac:dyDescent="0.2">
      <c r="B43" s="2" t="s">
        <v>106</v>
      </c>
      <c r="C43" s="61">
        <v>475000</v>
      </c>
      <c r="D43" s="2" t="s">
        <v>107</v>
      </c>
    </row>
    <row r="44" spans="2:9" x14ac:dyDescent="0.2">
      <c r="B44" s="2" t="s">
        <v>108</v>
      </c>
      <c r="C44" s="61">
        <v>1911250</v>
      </c>
      <c r="D44" s="2" t="s">
        <v>109</v>
      </c>
    </row>
    <row r="45" spans="2:9" x14ac:dyDescent="0.2">
      <c r="B45" s="2" t="s">
        <v>110</v>
      </c>
      <c r="C45" s="61">
        <v>682254</v>
      </c>
      <c r="D45" s="2" t="s">
        <v>111</v>
      </c>
    </row>
    <row r="46" spans="2:9" x14ac:dyDescent="0.2">
      <c r="B46" s="1" t="s">
        <v>112</v>
      </c>
      <c r="D46" s="2"/>
    </row>
    <row r="47" spans="2:9" x14ac:dyDescent="0.2">
      <c r="B47" s="2" t="s">
        <v>113</v>
      </c>
      <c r="C47" s="61">
        <v>1951550</v>
      </c>
      <c r="D47" s="2" t="s">
        <v>114</v>
      </c>
    </row>
    <row r="48" spans="2:9" x14ac:dyDescent="0.2">
      <c r="B48" s="2" t="s">
        <v>115</v>
      </c>
      <c r="C48" s="61">
        <v>149151</v>
      </c>
      <c r="D48" s="2" t="s">
        <v>116</v>
      </c>
    </row>
    <row r="49" spans="2:9" x14ac:dyDescent="0.2">
      <c r="B49" s="2" t="s">
        <v>117</v>
      </c>
      <c r="C49" s="61">
        <v>399299</v>
      </c>
      <c r="D49" s="2" t="s">
        <v>118</v>
      </c>
    </row>
    <row r="51" spans="2:9" ht="17" x14ac:dyDescent="0.2">
      <c r="B51" s="6" t="s">
        <v>119</v>
      </c>
      <c r="C51" s="7"/>
      <c r="D51" s="7"/>
      <c r="E51" s="7"/>
      <c r="F51" s="7"/>
      <c r="G51" s="7"/>
      <c r="H51" s="7"/>
      <c r="I51" s="7"/>
    </row>
    <row r="52" spans="2:9" ht="16" x14ac:dyDescent="0.2">
      <c r="B52" s="1" t="s">
        <v>120</v>
      </c>
      <c r="C52" s="51" t="s">
        <v>121</v>
      </c>
    </row>
    <row r="53" spans="2:9" x14ac:dyDescent="0.2">
      <c r="B53" s="1" t="s">
        <v>122</v>
      </c>
      <c r="C53" s="38">
        <f>ASSUMPTIONS!C77</f>
        <v>10000000</v>
      </c>
    </row>
    <row r="54" spans="2:9" x14ac:dyDescent="0.2">
      <c r="B54" s="1" t="s">
        <v>68</v>
      </c>
      <c r="C54" s="38">
        <f>ASSUMPTIONS!C78</f>
        <v>40000000</v>
      </c>
    </row>
    <row r="55" spans="2:9" x14ac:dyDescent="0.2">
      <c r="B55" s="1" t="s">
        <v>123</v>
      </c>
      <c r="C55" s="38">
        <f>ASSUMPTIONS!C79</f>
        <v>47500000</v>
      </c>
    </row>
    <row r="56" spans="2:9" x14ac:dyDescent="0.2">
      <c r="B56" s="1" t="s">
        <v>124</v>
      </c>
      <c r="C56" s="46">
        <f>ASSUMPTIONS!C80</f>
        <v>0.15789473684210525</v>
      </c>
    </row>
    <row r="57" spans="2:9" ht="16" x14ac:dyDescent="0.2">
      <c r="B57" s="1" t="s">
        <v>125</v>
      </c>
      <c r="C57" s="51" t="s">
        <v>126</v>
      </c>
    </row>
    <row r="58" spans="2:9" ht="16" x14ac:dyDescent="0.2">
      <c r="B58" s="1" t="s">
        <v>127</v>
      </c>
      <c r="C58" s="51" t="s">
        <v>128</v>
      </c>
    </row>
  </sheetData>
  <mergeCells count="6">
    <mergeCell ref="B30:I30"/>
    <mergeCell ref="B35:I35"/>
    <mergeCell ref="B33:I33"/>
    <mergeCell ref="B34:I34"/>
    <mergeCell ref="B31:I31"/>
    <mergeCell ref="B32:I32"/>
  </mergeCell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39C12"/>
    <pageSetUpPr fitToPage="1"/>
  </sheetPr>
  <dimension ref="B1:I147"/>
  <sheetViews>
    <sheetView workbookViewId="0">
      <pane xSplit="1" ySplit="3" topLeftCell="B4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4" customWidth="1"/>
    <col min="2" max="2" width="42" customWidth="1"/>
    <col min="3" max="3" width="18" customWidth="1"/>
    <col min="4" max="4" width="14" customWidth="1"/>
    <col min="5" max="5" width="50" customWidth="1"/>
    <col min="6" max="7" width="12.1640625" bestFit="1" customWidth="1"/>
    <col min="8" max="8" width="13.6640625" bestFit="1" customWidth="1"/>
    <col min="9" max="9" width="12.1640625" bestFit="1" customWidth="1"/>
  </cols>
  <sheetData>
    <row r="1" spans="2:5" ht="21" x14ac:dyDescent="0.25">
      <c r="B1" s="4" t="s">
        <v>129</v>
      </c>
    </row>
    <row r="2" spans="2:5" x14ac:dyDescent="0.2">
      <c r="B2" s="5" t="s">
        <v>130</v>
      </c>
    </row>
    <row r="3" spans="2:5" ht="16" x14ac:dyDescent="0.2">
      <c r="B3" s="9" t="s">
        <v>131</v>
      </c>
      <c r="C3" s="9" t="s">
        <v>52</v>
      </c>
      <c r="D3" s="9" t="s">
        <v>132</v>
      </c>
      <c r="E3" s="9" t="s">
        <v>133</v>
      </c>
    </row>
    <row r="4" spans="2:5" ht="17" x14ac:dyDescent="0.2">
      <c r="B4" s="77" t="s">
        <v>134</v>
      </c>
      <c r="C4" s="72"/>
      <c r="D4" s="72"/>
      <c r="E4" s="72"/>
    </row>
    <row r="5" spans="2:5" x14ac:dyDescent="0.2">
      <c r="B5" s="2" t="s">
        <v>135</v>
      </c>
      <c r="C5" s="11">
        <v>0.04</v>
      </c>
      <c r="D5" s="5" t="s">
        <v>136</v>
      </c>
      <c r="E5" s="5" t="s">
        <v>137</v>
      </c>
    </row>
    <row r="6" spans="2:5" x14ac:dyDescent="0.2">
      <c r="B6" s="2" t="s">
        <v>138</v>
      </c>
      <c r="C6" s="11">
        <v>2.5000000000000001E-2</v>
      </c>
      <c r="D6" s="5" t="s">
        <v>136</v>
      </c>
      <c r="E6" s="5" t="s">
        <v>139</v>
      </c>
    </row>
    <row r="7" spans="2:5" x14ac:dyDescent="0.2">
      <c r="B7" s="2" t="s">
        <v>140</v>
      </c>
      <c r="C7" s="12">
        <v>42.2</v>
      </c>
      <c r="D7" s="5" t="s">
        <v>141</v>
      </c>
      <c r="E7" s="5" t="s">
        <v>142</v>
      </c>
    </row>
    <row r="8" spans="2:5" x14ac:dyDescent="0.2">
      <c r="B8" s="2" t="s">
        <v>143</v>
      </c>
      <c r="C8" s="12">
        <v>46.5</v>
      </c>
      <c r="D8" s="5" t="s">
        <v>141</v>
      </c>
      <c r="E8" s="5" t="s">
        <v>144</v>
      </c>
    </row>
    <row r="9" spans="2:5" x14ac:dyDescent="0.2">
      <c r="B9" s="2" t="s">
        <v>145</v>
      </c>
      <c r="C9" s="12">
        <v>42.8</v>
      </c>
      <c r="D9" s="5" t="s">
        <v>141</v>
      </c>
      <c r="E9" s="5" t="s">
        <v>146</v>
      </c>
    </row>
    <row r="10" spans="2:5" x14ac:dyDescent="0.2">
      <c r="B10" s="2" t="s">
        <v>147</v>
      </c>
      <c r="C10" s="12">
        <v>39.6</v>
      </c>
      <c r="D10" s="5" t="s">
        <v>141</v>
      </c>
      <c r="E10" s="5" t="s">
        <v>148</v>
      </c>
    </row>
    <row r="11" spans="2:5" x14ac:dyDescent="0.2">
      <c r="B11" s="2" t="s">
        <v>149</v>
      </c>
      <c r="C11" s="13">
        <v>0.95</v>
      </c>
      <c r="D11" s="5" t="s">
        <v>98</v>
      </c>
      <c r="E11" s="5" t="s">
        <v>150</v>
      </c>
    </row>
    <row r="12" spans="2:5" x14ac:dyDescent="0.2">
      <c r="B12" s="2" t="s">
        <v>151</v>
      </c>
      <c r="C12" s="12">
        <v>3.5</v>
      </c>
      <c r="D12" s="5" t="s">
        <v>141</v>
      </c>
      <c r="E12" s="5" t="s">
        <v>152</v>
      </c>
    </row>
    <row r="14" spans="2:5" ht="17" x14ac:dyDescent="0.2">
      <c r="B14" s="77" t="s">
        <v>153</v>
      </c>
      <c r="C14" s="72"/>
      <c r="D14" s="72"/>
      <c r="E14" s="72"/>
    </row>
    <row r="15" spans="2:5" x14ac:dyDescent="0.2">
      <c r="B15" s="2" t="s">
        <v>154</v>
      </c>
      <c r="C15" s="14">
        <v>25</v>
      </c>
      <c r="D15" s="5" t="s">
        <v>155</v>
      </c>
      <c r="E15" s="5" t="s">
        <v>156</v>
      </c>
    </row>
    <row r="16" spans="2:5" x14ac:dyDescent="0.2">
      <c r="B16" s="2" t="s">
        <v>157</v>
      </c>
      <c r="C16" s="14">
        <v>15</v>
      </c>
      <c r="D16" s="5" t="s">
        <v>155</v>
      </c>
      <c r="E16" s="5" t="s">
        <v>158</v>
      </c>
    </row>
    <row r="17" spans="2:5" x14ac:dyDescent="0.2">
      <c r="B17" s="2" t="s">
        <v>159</v>
      </c>
      <c r="C17" s="14">
        <v>20</v>
      </c>
      <c r="D17" s="5" t="s">
        <v>155</v>
      </c>
      <c r="E17" s="5" t="s">
        <v>160</v>
      </c>
    </row>
    <row r="18" spans="2:5" x14ac:dyDescent="0.2">
      <c r="B18" s="2" t="s">
        <v>161</v>
      </c>
      <c r="C18" s="14">
        <v>30</v>
      </c>
      <c r="D18" s="5" t="s">
        <v>155</v>
      </c>
      <c r="E18" s="5" t="s">
        <v>162</v>
      </c>
    </row>
    <row r="19" spans="2:5" x14ac:dyDescent="0.2">
      <c r="B19" s="2" t="s">
        <v>163</v>
      </c>
      <c r="C19" s="14">
        <v>47</v>
      </c>
      <c r="D19" s="5" t="s">
        <v>155</v>
      </c>
      <c r="E19" s="5" t="s">
        <v>164</v>
      </c>
    </row>
    <row r="21" spans="2:5" ht="17" x14ac:dyDescent="0.2">
      <c r="B21" s="77" t="s">
        <v>165</v>
      </c>
      <c r="C21" s="72"/>
      <c r="D21" s="72"/>
      <c r="E21" s="72"/>
    </row>
    <row r="22" spans="2:5" x14ac:dyDescent="0.2">
      <c r="B22" s="2" t="s">
        <v>166</v>
      </c>
      <c r="C22" s="15">
        <v>900000</v>
      </c>
      <c r="D22" s="5" t="s">
        <v>167</v>
      </c>
      <c r="E22" s="5" t="s">
        <v>168</v>
      </c>
    </row>
    <row r="23" spans="2:5" x14ac:dyDescent="0.2">
      <c r="B23" s="2" t="s">
        <v>169</v>
      </c>
      <c r="C23" s="15">
        <v>25</v>
      </c>
      <c r="D23" s="5" t="s">
        <v>170</v>
      </c>
      <c r="E23" s="5" t="s">
        <v>171</v>
      </c>
    </row>
    <row r="24" spans="2:5" x14ac:dyDescent="0.2">
      <c r="B24" s="2" t="s">
        <v>172</v>
      </c>
      <c r="C24" s="15">
        <v>125</v>
      </c>
      <c r="D24" s="5" t="s">
        <v>170</v>
      </c>
      <c r="E24" s="5" t="s">
        <v>171</v>
      </c>
    </row>
    <row r="25" spans="2:5" x14ac:dyDescent="0.2">
      <c r="B25" s="2" t="s">
        <v>173</v>
      </c>
      <c r="C25" s="13">
        <v>0.85</v>
      </c>
      <c r="D25" s="5" t="s">
        <v>98</v>
      </c>
      <c r="E25" s="5" t="s">
        <v>174</v>
      </c>
    </row>
    <row r="26" spans="2:5" x14ac:dyDescent="0.2">
      <c r="B26" s="2" t="s">
        <v>175</v>
      </c>
      <c r="C26" s="15">
        <v>9</v>
      </c>
      <c r="D26" s="5" t="s">
        <v>176</v>
      </c>
      <c r="E26" s="5" t="s">
        <v>177</v>
      </c>
    </row>
    <row r="27" spans="2:5" x14ac:dyDescent="0.2">
      <c r="B27" s="2" t="s">
        <v>178</v>
      </c>
      <c r="C27" s="16">
        <v>5.5599999999999998E-3</v>
      </c>
      <c r="D27" s="5" t="s">
        <v>179</v>
      </c>
      <c r="E27" s="5" t="s">
        <v>180</v>
      </c>
    </row>
    <row r="28" spans="2:5" x14ac:dyDescent="0.2">
      <c r="B28" s="2" t="s">
        <v>181</v>
      </c>
      <c r="C28" s="17">
        <v>0.9</v>
      </c>
      <c r="D28" s="5" t="s">
        <v>155</v>
      </c>
      <c r="E28" s="5" t="s">
        <v>182</v>
      </c>
    </row>
    <row r="30" spans="2:5" ht="17" x14ac:dyDescent="0.2">
      <c r="B30" s="77" t="s">
        <v>183</v>
      </c>
      <c r="C30" s="72"/>
      <c r="D30" s="72"/>
      <c r="E30" s="72"/>
    </row>
    <row r="31" spans="2:5" x14ac:dyDescent="0.2">
      <c r="B31" s="2" t="s">
        <v>184</v>
      </c>
      <c r="C31" s="18">
        <f>C7/C11*C5</f>
        <v>1.7768421052631582</v>
      </c>
      <c r="D31" s="5" t="s">
        <v>155</v>
      </c>
      <c r="E31" s="5" t="s">
        <v>185</v>
      </c>
    </row>
    <row r="32" spans="2:5" x14ac:dyDescent="0.2">
      <c r="B32" s="2" t="s">
        <v>186</v>
      </c>
      <c r="C32" s="18">
        <f>C12*C5</f>
        <v>0.14000000000000001</v>
      </c>
      <c r="D32" s="5" t="s">
        <v>155</v>
      </c>
      <c r="E32" s="5" t="s">
        <v>187</v>
      </c>
    </row>
    <row r="33" spans="2:5" x14ac:dyDescent="0.2">
      <c r="B33" s="2" t="s">
        <v>188</v>
      </c>
      <c r="C33" s="18">
        <f>C26*C27</f>
        <v>5.0040000000000001E-2</v>
      </c>
      <c r="D33" s="5" t="s">
        <v>155</v>
      </c>
      <c r="E33" s="5" t="s">
        <v>189</v>
      </c>
    </row>
    <row r="34" spans="2:5" x14ac:dyDescent="0.2">
      <c r="B34" s="2" t="s">
        <v>190</v>
      </c>
      <c r="C34" s="18">
        <f>C31+C32+C28+C33</f>
        <v>2.8668821052631581</v>
      </c>
      <c r="D34" s="5" t="s">
        <v>155</v>
      </c>
      <c r="E34" s="5" t="s">
        <v>191</v>
      </c>
    </row>
    <row r="36" spans="2:5" ht="17" x14ac:dyDescent="0.2">
      <c r="B36" s="77" t="s">
        <v>192</v>
      </c>
      <c r="C36" s="72"/>
      <c r="D36" s="72"/>
      <c r="E36" s="72"/>
    </row>
    <row r="37" spans="2:5" x14ac:dyDescent="0.2">
      <c r="B37" s="2" t="s">
        <v>193</v>
      </c>
      <c r="C37" s="14">
        <v>35000</v>
      </c>
      <c r="D37" s="5" t="s">
        <v>194</v>
      </c>
      <c r="E37" s="5" t="s">
        <v>195</v>
      </c>
    </row>
    <row r="38" spans="2:5" x14ac:dyDescent="0.2">
      <c r="B38" s="2" t="s">
        <v>196</v>
      </c>
      <c r="C38" s="14">
        <v>21000</v>
      </c>
      <c r="D38" s="5" t="s">
        <v>194</v>
      </c>
      <c r="E38" s="5" t="s">
        <v>197</v>
      </c>
    </row>
    <row r="39" spans="2:5" x14ac:dyDescent="0.2">
      <c r="B39" s="2" t="s">
        <v>198</v>
      </c>
      <c r="C39" s="19">
        <f>(C37-C38)/C37</f>
        <v>0.4</v>
      </c>
      <c r="D39" s="5" t="s">
        <v>98</v>
      </c>
      <c r="E39" s="5" t="s">
        <v>199</v>
      </c>
    </row>
    <row r="40" spans="2:5" x14ac:dyDescent="0.2">
      <c r="B40" s="2" t="s">
        <v>200</v>
      </c>
      <c r="C40" s="14">
        <v>167000</v>
      </c>
      <c r="D40" s="5" t="s">
        <v>194</v>
      </c>
      <c r="E40" s="5" t="s">
        <v>201</v>
      </c>
    </row>
    <row r="41" spans="2:5" x14ac:dyDescent="0.2">
      <c r="B41" s="2" t="s">
        <v>202</v>
      </c>
      <c r="C41" s="14">
        <v>100000</v>
      </c>
      <c r="D41" s="5" t="s">
        <v>194</v>
      </c>
      <c r="E41" s="5" t="s">
        <v>203</v>
      </c>
    </row>
    <row r="42" spans="2:5" x14ac:dyDescent="0.2">
      <c r="B42" s="2" t="s">
        <v>204</v>
      </c>
      <c r="C42" s="19">
        <f>(C40-C41)/C40</f>
        <v>0.40119760479041916</v>
      </c>
      <c r="D42" s="5" t="s">
        <v>98</v>
      </c>
      <c r="E42" s="5" t="s">
        <v>199</v>
      </c>
    </row>
    <row r="43" spans="2:5" x14ac:dyDescent="0.2">
      <c r="B43" s="2" t="s">
        <v>205</v>
      </c>
      <c r="C43" s="14">
        <v>3500</v>
      </c>
      <c r="D43" s="5" t="s">
        <v>206</v>
      </c>
      <c r="E43" s="5" t="s">
        <v>207</v>
      </c>
    </row>
    <row r="44" spans="2:5" x14ac:dyDescent="0.2">
      <c r="B44" s="2" t="s">
        <v>208</v>
      </c>
      <c r="C44" s="14">
        <v>16700</v>
      </c>
      <c r="D44" s="5" t="s">
        <v>206</v>
      </c>
      <c r="E44" s="5" t="s">
        <v>207</v>
      </c>
    </row>
    <row r="45" spans="2:5" x14ac:dyDescent="0.2">
      <c r="B45" s="2" t="s">
        <v>209</v>
      </c>
      <c r="C45" s="13">
        <v>0.2</v>
      </c>
      <c r="D45" s="5" t="s">
        <v>98</v>
      </c>
      <c r="E45" s="5" t="s">
        <v>210</v>
      </c>
    </row>
    <row r="46" spans="2:5" x14ac:dyDescent="0.2">
      <c r="B46" s="2" t="s">
        <v>211</v>
      </c>
      <c r="C46" s="13">
        <v>0.75</v>
      </c>
      <c r="D46" s="5" t="s">
        <v>98</v>
      </c>
      <c r="E46" s="5" t="s">
        <v>152</v>
      </c>
    </row>
    <row r="48" spans="2:5" ht="17" x14ac:dyDescent="0.2">
      <c r="B48" s="77" t="s">
        <v>212</v>
      </c>
      <c r="C48" s="72"/>
      <c r="D48" s="72"/>
      <c r="E48" s="72"/>
    </row>
    <row r="49" spans="2:5" x14ac:dyDescent="0.2">
      <c r="B49" s="2" t="s">
        <v>213</v>
      </c>
      <c r="C49" s="14">
        <v>3300000</v>
      </c>
      <c r="D49" s="5" t="s">
        <v>194</v>
      </c>
      <c r="E49" s="5" t="s">
        <v>214</v>
      </c>
    </row>
    <row r="50" spans="2:5" x14ac:dyDescent="0.2">
      <c r="B50" s="2" t="s">
        <v>215</v>
      </c>
      <c r="C50" s="14">
        <v>3075000</v>
      </c>
      <c r="D50" s="5" t="s">
        <v>194</v>
      </c>
      <c r="E50" s="5" t="s">
        <v>216</v>
      </c>
    </row>
    <row r="51" spans="2:5" x14ac:dyDescent="0.2">
      <c r="B51" s="2" t="s">
        <v>217</v>
      </c>
      <c r="C51" s="14">
        <v>1000000</v>
      </c>
      <c r="D51" s="5" t="s">
        <v>194</v>
      </c>
      <c r="E51" s="5" t="s">
        <v>214</v>
      </c>
    </row>
    <row r="52" spans="2:5" x14ac:dyDescent="0.2">
      <c r="B52" s="2" t="s">
        <v>218</v>
      </c>
      <c r="C52" s="14">
        <v>1500000</v>
      </c>
      <c r="D52" s="5" t="s">
        <v>194</v>
      </c>
      <c r="E52" s="5" t="s">
        <v>214</v>
      </c>
    </row>
    <row r="53" spans="2:5" x14ac:dyDescent="0.2">
      <c r="B53" s="2" t="s">
        <v>219</v>
      </c>
      <c r="C53" s="15">
        <v>9</v>
      </c>
      <c r="D53" s="5" t="s">
        <v>220</v>
      </c>
      <c r="E53" s="5" t="s">
        <v>221</v>
      </c>
    </row>
    <row r="54" spans="2:5" x14ac:dyDescent="0.2">
      <c r="B54" s="2" t="s">
        <v>222</v>
      </c>
      <c r="C54" s="15">
        <v>12</v>
      </c>
      <c r="D54" s="5" t="s">
        <v>223</v>
      </c>
      <c r="E54" s="5" t="s">
        <v>152</v>
      </c>
    </row>
    <row r="55" spans="2:5" x14ac:dyDescent="0.2">
      <c r="B55" s="2" t="s">
        <v>224</v>
      </c>
      <c r="C55" s="14">
        <v>1000</v>
      </c>
      <c r="D55" s="5" t="s">
        <v>225</v>
      </c>
      <c r="E55" s="5" t="s">
        <v>226</v>
      </c>
    </row>
    <row r="57" spans="2:5" ht="17" x14ac:dyDescent="0.2">
      <c r="B57" s="77" t="s">
        <v>227</v>
      </c>
      <c r="C57" s="72"/>
      <c r="D57" s="72"/>
      <c r="E57" s="72"/>
    </row>
    <row r="58" spans="2:5" x14ac:dyDescent="0.2">
      <c r="B58" s="2" t="s">
        <v>228</v>
      </c>
      <c r="C58" s="13">
        <v>0.03</v>
      </c>
      <c r="D58" s="5" t="s">
        <v>98</v>
      </c>
      <c r="E58" s="5" t="s">
        <v>229</v>
      </c>
    </row>
    <row r="59" spans="2:5" x14ac:dyDescent="0.2">
      <c r="B59" s="2" t="s">
        <v>230</v>
      </c>
      <c r="C59" s="17">
        <v>0.42</v>
      </c>
      <c r="D59" s="5" t="s">
        <v>155</v>
      </c>
      <c r="E59" s="5" t="s">
        <v>231</v>
      </c>
    </row>
    <row r="60" spans="2:5" x14ac:dyDescent="0.2">
      <c r="B60" s="2" t="s">
        <v>232</v>
      </c>
      <c r="C60" s="13">
        <v>0.37359999999999999</v>
      </c>
      <c r="D60" s="5" t="s">
        <v>98</v>
      </c>
      <c r="E60" s="5" t="s">
        <v>152</v>
      </c>
    </row>
    <row r="61" spans="2:5" x14ac:dyDescent="0.2">
      <c r="B61" s="2" t="s">
        <v>233</v>
      </c>
      <c r="C61" s="13">
        <v>0.03</v>
      </c>
      <c r="D61" s="5" t="s">
        <v>98</v>
      </c>
      <c r="E61" s="5" t="s">
        <v>234</v>
      </c>
    </row>
    <row r="62" spans="2:5" x14ac:dyDescent="0.2">
      <c r="B62" s="2" t="s">
        <v>235</v>
      </c>
      <c r="C62" s="13">
        <v>0.02</v>
      </c>
      <c r="D62" s="5" t="s">
        <v>98</v>
      </c>
      <c r="E62" s="5" t="s">
        <v>152</v>
      </c>
    </row>
    <row r="63" spans="2:5" x14ac:dyDescent="0.2">
      <c r="B63" s="2" t="s">
        <v>236</v>
      </c>
      <c r="C63" s="14">
        <v>8750</v>
      </c>
      <c r="D63" s="5" t="s">
        <v>237</v>
      </c>
      <c r="E63" s="5" t="s">
        <v>238</v>
      </c>
    </row>
    <row r="64" spans="2:5" x14ac:dyDescent="0.2">
      <c r="B64" s="2" t="s">
        <v>239</v>
      </c>
      <c r="C64" s="13">
        <v>2.5000000000000001E-2</v>
      </c>
      <c r="D64" s="5" t="s">
        <v>98</v>
      </c>
      <c r="E64" s="5" t="s">
        <v>240</v>
      </c>
    </row>
    <row r="66" spans="2:5" ht="17" x14ac:dyDescent="0.2">
      <c r="B66" s="77" t="s">
        <v>241</v>
      </c>
      <c r="C66" s="72"/>
      <c r="D66" s="72"/>
      <c r="E66" s="72"/>
    </row>
    <row r="67" spans="2:5" x14ac:dyDescent="0.2">
      <c r="B67" s="2" t="s">
        <v>242</v>
      </c>
      <c r="C67" s="13">
        <v>0.27</v>
      </c>
      <c r="D67" s="5" t="s">
        <v>98</v>
      </c>
      <c r="E67" s="5" t="s">
        <v>243</v>
      </c>
    </row>
    <row r="68" spans="2:5" x14ac:dyDescent="0.2">
      <c r="B68" s="2" t="s">
        <v>244</v>
      </c>
      <c r="C68" s="17">
        <v>3</v>
      </c>
      <c r="D68" s="5" t="s">
        <v>155</v>
      </c>
      <c r="E68" s="5" t="s">
        <v>245</v>
      </c>
    </row>
    <row r="69" spans="2:5" x14ac:dyDescent="0.2">
      <c r="B69" s="2" t="s">
        <v>246</v>
      </c>
      <c r="C69" s="15">
        <v>10</v>
      </c>
      <c r="D69" s="5" t="s">
        <v>220</v>
      </c>
      <c r="E69" s="5" t="s">
        <v>247</v>
      </c>
    </row>
    <row r="70" spans="2:5" x14ac:dyDescent="0.2">
      <c r="B70" s="2" t="s">
        <v>248</v>
      </c>
      <c r="C70" s="12">
        <v>0.03</v>
      </c>
      <c r="D70" s="5" t="s">
        <v>249</v>
      </c>
      <c r="E70" s="5" t="s">
        <v>250</v>
      </c>
    </row>
    <row r="71" spans="2:5" x14ac:dyDescent="0.2">
      <c r="B71" s="2" t="s">
        <v>251</v>
      </c>
      <c r="C71" s="12">
        <v>0.45</v>
      </c>
      <c r="D71" s="5" t="s">
        <v>249</v>
      </c>
      <c r="E71" s="5" t="s">
        <v>252</v>
      </c>
    </row>
    <row r="72" spans="2:5" x14ac:dyDescent="0.2">
      <c r="B72" s="2" t="s">
        <v>253</v>
      </c>
      <c r="C72" s="15">
        <v>1</v>
      </c>
      <c r="D72" s="5"/>
      <c r="E72" s="5" t="s">
        <v>254</v>
      </c>
    </row>
    <row r="74" spans="2:5" ht="17" x14ac:dyDescent="0.2">
      <c r="B74" s="77" t="s">
        <v>255</v>
      </c>
      <c r="C74" s="72"/>
      <c r="D74" s="72"/>
      <c r="E74" s="72"/>
    </row>
    <row r="75" spans="2:5" x14ac:dyDescent="0.2">
      <c r="B75" s="2" t="s">
        <v>256</v>
      </c>
      <c r="C75" s="14">
        <v>7500000</v>
      </c>
      <c r="D75" s="5" t="s">
        <v>194</v>
      </c>
      <c r="E75" s="5" t="s">
        <v>257</v>
      </c>
    </row>
    <row r="76" spans="2:5" x14ac:dyDescent="0.2">
      <c r="B76" s="2" t="s">
        <v>258</v>
      </c>
      <c r="C76" s="14">
        <v>2500000</v>
      </c>
      <c r="D76" s="5" t="s">
        <v>194</v>
      </c>
      <c r="E76" s="5" t="s">
        <v>259</v>
      </c>
    </row>
    <row r="77" spans="2:5" x14ac:dyDescent="0.2">
      <c r="B77" s="2" t="s">
        <v>260</v>
      </c>
      <c r="C77" s="20">
        <f>C75+C76</f>
        <v>10000000</v>
      </c>
      <c r="D77" s="5" t="s">
        <v>194</v>
      </c>
      <c r="E77" s="5" t="s">
        <v>261</v>
      </c>
    </row>
    <row r="78" spans="2:5" x14ac:dyDescent="0.2">
      <c r="B78" s="2" t="s">
        <v>68</v>
      </c>
      <c r="C78" s="14">
        <v>40000000</v>
      </c>
      <c r="D78" s="5" t="s">
        <v>194</v>
      </c>
      <c r="E78" s="5" t="s">
        <v>69</v>
      </c>
    </row>
    <row r="79" spans="2:5" x14ac:dyDescent="0.2">
      <c r="B79" s="2" t="s">
        <v>123</v>
      </c>
      <c r="C79" s="20">
        <f>C78+C75</f>
        <v>47500000</v>
      </c>
      <c r="D79" s="5" t="s">
        <v>194</v>
      </c>
      <c r="E79" s="5" t="s">
        <v>262</v>
      </c>
    </row>
    <row r="80" spans="2:5" x14ac:dyDescent="0.2">
      <c r="B80" s="2" t="s">
        <v>263</v>
      </c>
      <c r="C80" s="19">
        <f>C75/C79</f>
        <v>0.15789473684210525</v>
      </c>
      <c r="D80" s="5" t="s">
        <v>98</v>
      </c>
      <c r="E80" s="5" t="s">
        <v>264</v>
      </c>
    </row>
    <row r="81" spans="2:9" x14ac:dyDescent="0.2">
      <c r="B81" s="2" t="s">
        <v>265</v>
      </c>
      <c r="C81" s="13">
        <v>7.0000000000000007E-2</v>
      </c>
      <c r="D81" s="5" t="s">
        <v>98</v>
      </c>
      <c r="E81" s="5" t="s">
        <v>266</v>
      </c>
    </row>
    <row r="82" spans="2:9" x14ac:dyDescent="0.2">
      <c r="B82" s="2" t="s">
        <v>267</v>
      </c>
      <c r="C82" s="15">
        <v>36</v>
      </c>
      <c r="D82" s="5" t="s">
        <v>223</v>
      </c>
      <c r="E82" s="5" t="s">
        <v>152</v>
      </c>
    </row>
    <row r="83" spans="2:9" x14ac:dyDescent="0.2">
      <c r="B83" s="2" t="s">
        <v>268</v>
      </c>
      <c r="C83" s="15">
        <v>6</v>
      </c>
      <c r="D83" s="5" t="s">
        <v>223</v>
      </c>
      <c r="E83" s="5" t="s">
        <v>269</v>
      </c>
    </row>
    <row r="84" spans="2:9" x14ac:dyDescent="0.2">
      <c r="B84" s="2" t="s">
        <v>270</v>
      </c>
      <c r="C84" s="14">
        <v>682500</v>
      </c>
      <c r="D84" s="5" t="s">
        <v>194</v>
      </c>
      <c r="E84" s="5" t="s">
        <v>271</v>
      </c>
    </row>
    <row r="85" spans="2:9" x14ac:dyDescent="0.2">
      <c r="B85" s="2" t="s">
        <v>272</v>
      </c>
      <c r="C85" s="14">
        <v>2050000</v>
      </c>
      <c r="D85" s="5" t="s">
        <v>194</v>
      </c>
      <c r="E85" s="5" t="s">
        <v>273</v>
      </c>
    </row>
    <row r="86" spans="2:9" x14ac:dyDescent="0.2">
      <c r="B86" s="2" t="s">
        <v>274</v>
      </c>
      <c r="C86" s="14">
        <v>-1367500</v>
      </c>
      <c r="D86" s="5" t="s">
        <v>194</v>
      </c>
      <c r="E86" s="5" t="s">
        <v>275</v>
      </c>
    </row>
    <row r="88" spans="2:9" ht="17" x14ac:dyDescent="0.2">
      <c r="B88" s="77" t="s">
        <v>276</v>
      </c>
      <c r="C88" s="72"/>
      <c r="D88" s="72"/>
      <c r="E88" s="72"/>
    </row>
    <row r="89" spans="2:9" ht="48" x14ac:dyDescent="0.2">
      <c r="B89" s="9" t="s">
        <v>120</v>
      </c>
      <c r="C89" s="9" t="s">
        <v>277</v>
      </c>
      <c r="D89" s="9" t="s">
        <v>278</v>
      </c>
      <c r="E89" s="9" t="s">
        <v>279</v>
      </c>
      <c r="F89" s="9" t="s">
        <v>280</v>
      </c>
      <c r="G89" s="9" t="s">
        <v>281</v>
      </c>
      <c r="H89" s="9" t="s">
        <v>282</v>
      </c>
      <c r="I89" s="9" t="s">
        <v>283</v>
      </c>
    </row>
    <row r="90" spans="2:9" x14ac:dyDescent="0.2">
      <c r="B90" s="2" t="s">
        <v>284</v>
      </c>
      <c r="C90" s="2" t="s">
        <v>285</v>
      </c>
      <c r="D90" s="14">
        <v>8000000</v>
      </c>
      <c r="E90" s="14">
        <v>2050000</v>
      </c>
      <c r="F90" s="14">
        <v>0</v>
      </c>
      <c r="G90" s="14">
        <v>2050000</v>
      </c>
      <c r="H90" s="14">
        <v>10050000</v>
      </c>
      <c r="I90" s="2" t="s">
        <v>286</v>
      </c>
    </row>
    <row r="91" spans="2:9" x14ac:dyDescent="0.2">
      <c r="B91" s="2" t="s">
        <v>287</v>
      </c>
      <c r="C91" s="2" t="s">
        <v>128</v>
      </c>
      <c r="D91" s="14">
        <v>40000000</v>
      </c>
      <c r="E91" s="14">
        <v>7500000</v>
      </c>
      <c r="F91" s="14">
        <v>2500000</v>
      </c>
      <c r="G91" s="14">
        <v>10000000</v>
      </c>
      <c r="H91" s="14">
        <v>47500000</v>
      </c>
      <c r="I91" s="2" t="s">
        <v>126</v>
      </c>
    </row>
    <row r="92" spans="2:9" x14ac:dyDescent="0.2">
      <c r="B92" s="2" t="s">
        <v>288</v>
      </c>
      <c r="C92" s="2" t="s">
        <v>289</v>
      </c>
      <c r="D92" s="14">
        <v>210000000</v>
      </c>
      <c r="E92" s="14">
        <v>40000000</v>
      </c>
      <c r="F92" s="14">
        <v>17000000</v>
      </c>
      <c r="G92" s="14">
        <v>57000000</v>
      </c>
      <c r="H92" s="14">
        <v>250000000</v>
      </c>
      <c r="I92" s="2" t="s">
        <v>290</v>
      </c>
    </row>
    <row r="93" spans="2:9" x14ac:dyDescent="0.2">
      <c r="B93" s="2" t="s">
        <v>291</v>
      </c>
      <c r="C93" s="2" t="s">
        <v>292</v>
      </c>
      <c r="D93" s="14">
        <v>500000000</v>
      </c>
      <c r="E93" s="14">
        <v>60000000</v>
      </c>
      <c r="F93" s="14">
        <v>30000000</v>
      </c>
      <c r="G93" s="14">
        <v>90000000</v>
      </c>
      <c r="H93" s="14">
        <v>560000000</v>
      </c>
      <c r="I93" s="2" t="s">
        <v>293</v>
      </c>
    </row>
    <row r="94" spans="2:9" x14ac:dyDescent="0.2">
      <c r="B94" s="2" t="s">
        <v>294</v>
      </c>
      <c r="C94" s="2" t="s">
        <v>295</v>
      </c>
      <c r="D94" s="14">
        <v>1500000000</v>
      </c>
      <c r="E94" s="14">
        <v>150000000</v>
      </c>
      <c r="F94" s="14">
        <v>75000000</v>
      </c>
      <c r="G94" s="14">
        <v>225000000</v>
      </c>
      <c r="H94" s="14">
        <v>1650000000</v>
      </c>
      <c r="I94" s="2" t="s">
        <v>296</v>
      </c>
    </row>
    <row r="95" spans="2:9" x14ac:dyDescent="0.2">
      <c r="B95" s="2" t="s">
        <v>297</v>
      </c>
      <c r="C95" s="2" t="s">
        <v>298</v>
      </c>
      <c r="D95" s="14">
        <v>3500000000</v>
      </c>
      <c r="E95" s="14">
        <v>250000000</v>
      </c>
      <c r="F95" s="14">
        <v>100000000</v>
      </c>
      <c r="G95" s="14">
        <v>350000000</v>
      </c>
      <c r="H95" s="14">
        <v>3750000000</v>
      </c>
      <c r="I95" s="2" t="s">
        <v>299</v>
      </c>
    </row>
    <row r="97" spans="2:9" ht="17" x14ac:dyDescent="0.2">
      <c r="B97" s="77" t="s">
        <v>300</v>
      </c>
      <c r="C97" s="72"/>
      <c r="D97" s="72"/>
      <c r="E97" s="72"/>
    </row>
    <row r="98" spans="2:9" ht="16" x14ac:dyDescent="0.2">
      <c r="B98" s="9"/>
      <c r="C98" s="9" t="s">
        <v>72</v>
      </c>
      <c r="D98" s="9" t="s">
        <v>73</v>
      </c>
      <c r="E98" s="9" t="s">
        <v>74</v>
      </c>
      <c r="F98" s="9" t="s">
        <v>75</v>
      </c>
      <c r="G98" s="9" t="s">
        <v>76</v>
      </c>
      <c r="H98" s="9" t="s">
        <v>77</v>
      </c>
      <c r="I98" s="9" t="s">
        <v>78</v>
      </c>
    </row>
    <row r="99" spans="2:9" x14ac:dyDescent="0.2">
      <c r="B99" s="2" t="s">
        <v>301</v>
      </c>
      <c r="C99" s="15">
        <v>25</v>
      </c>
      <c r="D99" s="15">
        <v>75</v>
      </c>
      <c r="E99" s="15">
        <v>150</v>
      </c>
      <c r="F99" s="15">
        <v>250</v>
      </c>
      <c r="G99" s="15">
        <v>350</v>
      </c>
      <c r="H99" s="15">
        <v>450</v>
      </c>
      <c r="I99" s="15">
        <v>600</v>
      </c>
    </row>
    <row r="100" spans="2:9" x14ac:dyDescent="0.2">
      <c r="B100" s="2" t="s">
        <v>302</v>
      </c>
      <c r="C100" s="15">
        <v>0</v>
      </c>
      <c r="D100" s="15">
        <v>10</v>
      </c>
      <c r="E100" s="15">
        <v>30</v>
      </c>
      <c r="F100" s="15">
        <v>60</v>
      </c>
      <c r="G100" s="15">
        <v>100</v>
      </c>
      <c r="H100" s="15">
        <v>140</v>
      </c>
      <c r="I100" s="15">
        <v>180</v>
      </c>
    </row>
    <row r="101" spans="2:9" x14ac:dyDescent="0.2">
      <c r="B101" s="1" t="s">
        <v>303</v>
      </c>
      <c r="C101" s="21">
        <f t="shared" ref="C101:I101" si="0">C99+C100</f>
        <v>25</v>
      </c>
      <c r="D101" s="21">
        <f t="shared" si="0"/>
        <v>85</v>
      </c>
      <c r="E101" s="21">
        <f t="shared" si="0"/>
        <v>180</v>
      </c>
      <c r="F101" s="21">
        <f t="shared" si="0"/>
        <v>310</v>
      </c>
      <c r="G101" s="21">
        <f t="shared" si="0"/>
        <v>450</v>
      </c>
      <c r="H101" s="21">
        <f t="shared" si="0"/>
        <v>590</v>
      </c>
      <c r="I101" s="21">
        <f t="shared" si="0"/>
        <v>780</v>
      </c>
    </row>
    <row r="103" spans="2:9" ht="17" x14ac:dyDescent="0.2">
      <c r="B103" s="77" t="s">
        <v>304</v>
      </c>
      <c r="C103" s="72"/>
      <c r="D103" s="72"/>
      <c r="E103" s="72"/>
    </row>
    <row r="104" spans="2:9" ht="16" x14ac:dyDescent="0.2">
      <c r="B104" s="9"/>
      <c r="C104" s="9" t="s">
        <v>72</v>
      </c>
      <c r="D104" s="9" t="s">
        <v>73</v>
      </c>
      <c r="E104" s="9" t="s">
        <v>74</v>
      </c>
      <c r="F104" s="9" t="s">
        <v>75</v>
      </c>
      <c r="G104" s="9" t="s">
        <v>76</v>
      </c>
      <c r="H104" s="9" t="s">
        <v>77</v>
      </c>
      <c r="I104" s="9" t="s">
        <v>78</v>
      </c>
    </row>
    <row r="105" spans="2:9" x14ac:dyDescent="0.2">
      <c r="B105" s="2" t="s">
        <v>305</v>
      </c>
      <c r="C105" s="15">
        <v>0</v>
      </c>
      <c r="D105" s="15">
        <v>472500</v>
      </c>
      <c r="E105" s="15">
        <v>3112500</v>
      </c>
      <c r="F105" s="15">
        <v>5662500</v>
      </c>
      <c r="G105" s="15">
        <v>8437500</v>
      </c>
      <c r="H105" s="15">
        <v>10575000</v>
      </c>
      <c r="I105" s="15">
        <v>10800000</v>
      </c>
    </row>
    <row r="106" spans="2:9" x14ac:dyDescent="0.2">
      <c r="B106" s="2" t="s">
        <v>306</v>
      </c>
      <c r="C106" s="15">
        <v>0</v>
      </c>
      <c r="D106" s="15">
        <v>1</v>
      </c>
      <c r="E106" s="15">
        <v>4</v>
      </c>
      <c r="F106" s="15">
        <v>4</v>
      </c>
      <c r="G106" s="15">
        <v>6</v>
      </c>
      <c r="H106" s="15">
        <v>10</v>
      </c>
      <c r="I106" s="15">
        <v>12</v>
      </c>
    </row>
    <row r="107" spans="2:9" x14ac:dyDescent="0.2">
      <c r="B107" s="2" t="s">
        <v>307</v>
      </c>
      <c r="C107" s="15">
        <v>15</v>
      </c>
      <c r="D107" s="15">
        <v>50</v>
      </c>
      <c r="E107" s="15">
        <v>89</v>
      </c>
      <c r="F107" s="15">
        <v>135</v>
      </c>
      <c r="G107" s="15">
        <v>182</v>
      </c>
      <c r="H107" s="15">
        <v>205</v>
      </c>
      <c r="I107" s="15">
        <v>224</v>
      </c>
    </row>
    <row r="109" spans="2:9" ht="17" x14ac:dyDescent="0.2">
      <c r="B109" s="77" t="s">
        <v>308</v>
      </c>
      <c r="C109" s="72"/>
      <c r="D109" s="72"/>
      <c r="E109" s="72"/>
    </row>
    <row r="110" spans="2:9" ht="32" x14ac:dyDescent="0.2">
      <c r="B110" s="9" t="s">
        <v>309</v>
      </c>
      <c r="C110" s="9" t="s">
        <v>310</v>
      </c>
      <c r="D110" s="9" t="s">
        <v>311</v>
      </c>
      <c r="E110" s="9" t="s">
        <v>312</v>
      </c>
      <c r="F110" s="9" t="s">
        <v>313</v>
      </c>
      <c r="G110" s="9" t="s">
        <v>314</v>
      </c>
    </row>
    <row r="111" spans="2:9" x14ac:dyDescent="0.2">
      <c r="B111" s="2" t="s">
        <v>315</v>
      </c>
      <c r="C111" s="2" t="s">
        <v>316</v>
      </c>
      <c r="D111" s="22">
        <v>0.04</v>
      </c>
      <c r="E111" s="18">
        <f t="shared" ref="E111:E117" si="1">($C$7/$C$11*D111)+($C$12*D111)+$C$28+($C$26*$C$27)</f>
        <v>2.8668821052631581</v>
      </c>
      <c r="F111" s="2" t="s">
        <v>317</v>
      </c>
      <c r="G111" s="23" t="s">
        <v>318</v>
      </c>
    </row>
    <row r="112" spans="2:9" x14ac:dyDescent="0.2">
      <c r="B112" s="2" t="s">
        <v>319</v>
      </c>
      <c r="C112" s="2" t="s">
        <v>320</v>
      </c>
      <c r="D112" s="22">
        <v>0.04</v>
      </c>
      <c r="E112" s="18">
        <f t="shared" si="1"/>
        <v>2.8668821052631581</v>
      </c>
      <c r="F112" s="2" t="s">
        <v>321</v>
      </c>
      <c r="G112" s="23" t="s">
        <v>318</v>
      </c>
    </row>
    <row r="113" spans="2:9" x14ac:dyDescent="0.2">
      <c r="B113" s="2" t="s">
        <v>322</v>
      </c>
      <c r="C113" s="2" t="s">
        <v>323</v>
      </c>
      <c r="D113" s="22">
        <v>5.9499999999999997E-2</v>
      </c>
      <c r="E113" s="18">
        <f t="shared" si="1"/>
        <v>3.8013426315789474</v>
      </c>
      <c r="F113" s="2" t="s">
        <v>324</v>
      </c>
      <c r="G113" s="23" t="s">
        <v>318</v>
      </c>
    </row>
    <row r="114" spans="2:9" x14ac:dyDescent="0.2">
      <c r="B114" s="2" t="s">
        <v>325</v>
      </c>
      <c r="C114" s="2" t="s">
        <v>326</v>
      </c>
      <c r="D114" s="22">
        <v>4.1300000000000003E-2</v>
      </c>
      <c r="E114" s="18">
        <f t="shared" si="1"/>
        <v>2.9291794736842109</v>
      </c>
      <c r="F114" s="2" t="s">
        <v>327</v>
      </c>
      <c r="G114" s="23" t="s">
        <v>318</v>
      </c>
    </row>
    <row r="115" spans="2:9" x14ac:dyDescent="0.2">
      <c r="B115" s="2" t="s">
        <v>328</v>
      </c>
      <c r="C115" s="2" t="s">
        <v>329</v>
      </c>
      <c r="D115" s="22">
        <v>5.8700000000000002E-2</v>
      </c>
      <c r="E115" s="18">
        <f t="shared" si="1"/>
        <v>3.7630057894736844</v>
      </c>
      <c r="F115" s="2" t="s">
        <v>330</v>
      </c>
      <c r="G115" s="24" t="s">
        <v>331</v>
      </c>
    </row>
    <row r="116" spans="2:9" x14ac:dyDescent="0.2">
      <c r="B116" s="2" t="s">
        <v>332</v>
      </c>
      <c r="C116" s="2" t="s">
        <v>333</v>
      </c>
      <c r="D116" s="22">
        <v>4.2900000000000001E-2</v>
      </c>
      <c r="E116" s="18">
        <f t="shared" si="1"/>
        <v>3.0058531578947369</v>
      </c>
      <c r="F116" s="2" t="s">
        <v>334</v>
      </c>
      <c r="G116" s="24" t="s">
        <v>331</v>
      </c>
    </row>
    <row r="117" spans="2:9" x14ac:dyDescent="0.2">
      <c r="B117" s="2" t="s">
        <v>335</v>
      </c>
      <c r="C117" s="2" t="s">
        <v>336</v>
      </c>
      <c r="D117" s="22">
        <v>4.2900000000000001E-2</v>
      </c>
      <c r="E117" s="18">
        <f t="shared" si="1"/>
        <v>3.0058531578947369</v>
      </c>
      <c r="F117" s="2" t="s">
        <v>337</v>
      </c>
      <c r="G117" s="24" t="s">
        <v>331</v>
      </c>
    </row>
    <row r="119" spans="2:9" ht="17" x14ac:dyDescent="0.2">
      <c r="B119" s="77" t="s">
        <v>338</v>
      </c>
      <c r="C119" s="72"/>
      <c r="D119" s="72"/>
      <c r="E119" s="72"/>
    </row>
    <row r="120" spans="2:9" x14ac:dyDescent="0.2">
      <c r="B120" s="25"/>
      <c r="C120" s="25" t="s">
        <v>72</v>
      </c>
      <c r="D120" s="25" t="s">
        <v>73</v>
      </c>
      <c r="E120" s="25" t="s">
        <v>74</v>
      </c>
      <c r="F120" s="25" t="s">
        <v>75</v>
      </c>
      <c r="G120" s="25" t="s">
        <v>76</v>
      </c>
      <c r="H120" s="25" t="s">
        <v>77</v>
      </c>
      <c r="I120" s="25" t="s">
        <v>78</v>
      </c>
    </row>
    <row r="121" spans="2:9" x14ac:dyDescent="0.2">
      <c r="B121" s="2" t="s">
        <v>339</v>
      </c>
      <c r="C121" s="14">
        <v>962750</v>
      </c>
      <c r="D121" s="14">
        <v>2387000</v>
      </c>
      <c r="E121" s="14">
        <v>2150000</v>
      </c>
      <c r="F121" s="14">
        <v>600000</v>
      </c>
      <c r="G121" s="14">
        <v>750000</v>
      </c>
      <c r="H121" s="14">
        <v>1000000</v>
      </c>
      <c r="I121" s="14">
        <v>1250000</v>
      </c>
    </row>
    <row r="123" spans="2:9" ht="17" x14ac:dyDescent="0.2">
      <c r="B123" s="77" t="s">
        <v>340</v>
      </c>
      <c r="C123" s="72"/>
      <c r="D123" s="72"/>
      <c r="E123" s="72"/>
    </row>
    <row r="124" spans="2:9" x14ac:dyDescent="0.2">
      <c r="B124" s="2" t="s">
        <v>341</v>
      </c>
      <c r="C124" s="14">
        <v>8750</v>
      </c>
      <c r="D124" s="5" t="s">
        <v>237</v>
      </c>
    </row>
    <row r="125" spans="2:9" x14ac:dyDescent="0.2">
      <c r="B125" s="2" t="s">
        <v>319</v>
      </c>
      <c r="C125" s="14">
        <v>8750</v>
      </c>
      <c r="D125" s="5" t="s">
        <v>237</v>
      </c>
    </row>
    <row r="126" spans="2:9" x14ac:dyDescent="0.2">
      <c r="B126" s="2" t="s">
        <v>322</v>
      </c>
      <c r="C126" s="14">
        <v>12500</v>
      </c>
      <c r="D126" s="5" t="s">
        <v>237</v>
      </c>
    </row>
    <row r="127" spans="2:9" x14ac:dyDescent="0.2">
      <c r="B127" s="2" t="s">
        <v>325</v>
      </c>
      <c r="C127" s="14">
        <v>11500</v>
      </c>
      <c r="D127" s="5" t="s">
        <v>237</v>
      </c>
    </row>
    <row r="128" spans="2:9" x14ac:dyDescent="0.2">
      <c r="B128" s="2" t="s">
        <v>328</v>
      </c>
      <c r="C128" s="14">
        <v>10500</v>
      </c>
      <c r="D128" s="5" t="s">
        <v>237</v>
      </c>
    </row>
    <row r="129" spans="2:9" x14ac:dyDescent="0.2">
      <c r="B129" s="2" t="s">
        <v>332</v>
      </c>
      <c r="C129" s="14">
        <v>8750</v>
      </c>
      <c r="D129" s="5" t="s">
        <v>237</v>
      </c>
    </row>
    <row r="130" spans="2:9" x14ac:dyDescent="0.2">
      <c r="B130" s="2" t="s">
        <v>342</v>
      </c>
      <c r="C130" s="14">
        <v>10000</v>
      </c>
      <c r="D130" s="5" t="s">
        <v>237</v>
      </c>
    </row>
    <row r="132" spans="2:9" ht="17" x14ac:dyDescent="0.2">
      <c r="B132" s="77" t="s">
        <v>343</v>
      </c>
      <c r="C132" s="72"/>
      <c r="D132" s="72"/>
      <c r="E132" s="72"/>
      <c r="F132" s="72"/>
      <c r="G132" s="72"/>
      <c r="H132" s="72"/>
      <c r="I132" s="72"/>
    </row>
    <row r="133" spans="2:9" ht="16" x14ac:dyDescent="0.2">
      <c r="B133" s="9"/>
      <c r="C133" s="9" t="s">
        <v>72</v>
      </c>
      <c r="D133" s="9" t="s">
        <v>73</v>
      </c>
      <c r="E133" s="9" t="s">
        <v>74</v>
      </c>
      <c r="F133" s="9" t="s">
        <v>75</v>
      </c>
      <c r="G133" s="9" t="s">
        <v>76</v>
      </c>
      <c r="H133" s="9" t="s">
        <v>77</v>
      </c>
      <c r="I133" s="9" t="s">
        <v>78</v>
      </c>
    </row>
    <row r="134" spans="2:9" x14ac:dyDescent="0.2">
      <c r="B134" s="2" t="s">
        <v>344</v>
      </c>
      <c r="C134" s="11">
        <v>0</v>
      </c>
      <c r="D134" s="11">
        <v>2.6850000000000001</v>
      </c>
      <c r="E134" s="11">
        <v>3.1259999999999999</v>
      </c>
      <c r="F134" s="11">
        <v>3.3439999999999999</v>
      </c>
      <c r="G134" s="11">
        <v>3.3929999999999998</v>
      </c>
      <c r="H134" s="11">
        <v>3.4609999999999999</v>
      </c>
      <c r="I134" s="11">
        <v>3.544</v>
      </c>
    </row>
    <row r="135" spans="2:9" x14ac:dyDescent="0.2">
      <c r="B135" s="5" t="s">
        <v>345</v>
      </c>
      <c r="C135" s="56">
        <f t="shared" ref="C135:I135" si="2">C105</f>
        <v>0</v>
      </c>
      <c r="D135" s="56">
        <f t="shared" si="2"/>
        <v>472500</v>
      </c>
      <c r="E135" s="56">
        <f t="shared" si="2"/>
        <v>3112500</v>
      </c>
      <c r="F135" s="56">
        <f t="shared" si="2"/>
        <v>5662500</v>
      </c>
      <c r="G135" s="56">
        <f t="shared" si="2"/>
        <v>8437500</v>
      </c>
      <c r="H135" s="56">
        <f t="shared" si="2"/>
        <v>10575000</v>
      </c>
      <c r="I135" s="56">
        <f t="shared" si="2"/>
        <v>10800000</v>
      </c>
    </row>
    <row r="136" spans="2:9" x14ac:dyDescent="0.2">
      <c r="B136" s="1" t="s">
        <v>346</v>
      </c>
      <c r="C136" s="38">
        <f t="shared" ref="C136:I136" si="3">C134*C135</f>
        <v>0</v>
      </c>
      <c r="D136" s="38">
        <f t="shared" si="3"/>
        <v>1268662.5</v>
      </c>
      <c r="E136" s="38">
        <f t="shared" si="3"/>
        <v>9729675</v>
      </c>
      <c r="F136" s="38">
        <f t="shared" si="3"/>
        <v>18935400</v>
      </c>
      <c r="G136" s="38">
        <f t="shared" si="3"/>
        <v>28628437.5</v>
      </c>
      <c r="H136" s="38">
        <f t="shared" si="3"/>
        <v>36600075</v>
      </c>
      <c r="I136" s="38">
        <f t="shared" si="3"/>
        <v>38275200</v>
      </c>
    </row>
    <row r="138" spans="2:9" ht="17" x14ac:dyDescent="0.2">
      <c r="B138" s="77" t="s">
        <v>347</v>
      </c>
      <c r="C138" s="72"/>
      <c r="D138" s="72"/>
      <c r="E138" s="72"/>
      <c r="F138" s="72"/>
      <c r="G138" s="72"/>
      <c r="H138" s="72"/>
      <c r="I138" s="72"/>
    </row>
    <row r="139" spans="2:9" ht="16" x14ac:dyDescent="0.2">
      <c r="B139" s="9"/>
      <c r="C139" s="9" t="s">
        <v>72</v>
      </c>
      <c r="D139" s="9" t="s">
        <v>73</v>
      </c>
      <c r="E139" s="9" t="s">
        <v>74</v>
      </c>
      <c r="F139" s="9" t="s">
        <v>75</v>
      </c>
      <c r="G139" s="9" t="s">
        <v>76</v>
      </c>
      <c r="H139" s="9" t="s">
        <v>77</v>
      </c>
      <c r="I139" s="9" t="s">
        <v>78</v>
      </c>
    </row>
    <row r="140" spans="2:9" x14ac:dyDescent="0.2">
      <c r="B140" s="2" t="s">
        <v>348</v>
      </c>
      <c r="C140" s="14">
        <v>0</v>
      </c>
      <c r="D140" s="14">
        <v>32813</v>
      </c>
      <c r="E140" s="14">
        <v>242113</v>
      </c>
      <c r="F140" s="14">
        <v>848205</v>
      </c>
      <c r="G140" s="14">
        <v>2092281</v>
      </c>
      <c r="H140" s="14">
        <v>4204952</v>
      </c>
      <c r="I140" s="14">
        <v>6594846</v>
      </c>
    </row>
    <row r="141" spans="2:9" x14ac:dyDescent="0.2">
      <c r="B141" s="2" t="s">
        <v>349</v>
      </c>
      <c r="C141" s="14">
        <v>0</v>
      </c>
      <c r="D141" s="14">
        <v>1417500</v>
      </c>
      <c r="E141" s="14">
        <v>8887500</v>
      </c>
      <c r="F141" s="14">
        <v>10800000</v>
      </c>
      <c r="G141" s="14">
        <v>10800000</v>
      </c>
      <c r="H141" s="14">
        <v>10800000</v>
      </c>
      <c r="I141" s="14">
        <v>10800000</v>
      </c>
    </row>
    <row r="142" spans="2:9" x14ac:dyDescent="0.2">
      <c r="B142" s="2" t="s">
        <v>350</v>
      </c>
      <c r="C142" s="14">
        <v>1263500</v>
      </c>
      <c r="D142" s="14">
        <v>3509147</v>
      </c>
      <c r="E142" s="14">
        <v>7590438</v>
      </c>
      <c r="F142" s="14">
        <v>12122426</v>
      </c>
      <c r="G142" s="14">
        <v>16827031</v>
      </c>
      <c r="H142" s="14">
        <v>19624011</v>
      </c>
      <c r="I142" s="14">
        <v>20817306</v>
      </c>
    </row>
    <row r="143" spans="2:9" x14ac:dyDescent="0.2">
      <c r="B143" s="2" t="s">
        <v>351</v>
      </c>
      <c r="C143" s="14">
        <v>262500</v>
      </c>
      <c r="D143" s="14">
        <v>580663</v>
      </c>
      <c r="E143" s="14">
        <v>848642</v>
      </c>
      <c r="F143" s="14">
        <v>1027354</v>
      </c>
      <c r="G143" s="14">
        <v>1450410</v>
      </c>
      <c r="H143" s="14">
        <v>1758208</v>
      </c>
      <c r="I143" s="14">
        <v>1802164</v>
      </c>
    </row>
    <row r="144" spans="2:9" x14ac:dyDescent="0.2">
      <c r="B144" s="2" t="s">
        <v>352</v>
      </c>
      <c r="C144" s="14">
        <v>978904</v>
      </c>
      <c r="D144" s="14">
        <v>2709806</v>
      </c>
      <c r="E144" s="14">
        <v>3916292</v>
      </c>
      <c r="F144" s="14">
        <v>3823614</v>
      </c>
      <c r="G144" s="14">
        <v>5589596</v>
      </c>
      <c r="H144" s="14">
        <v>7154199</v>
      </c>
      <c r="I144" s="14">
        <v>7803097</v>
      </c>
    </row>
    <row r="145" spans="2:9" x14ac:dyDescent="0.2">
      <c r="B145" s="2" t="s">
        <v>353</v>
      </c>
      <c r="C145" s="14">
        <v>0</v>
      </c>
      <c r="D145" s="14">
        <v>-706250</v>
      </c>
      <c r="E145" s="14">
        <v>-1581944</v>
      </c>
      <c r="F145" s="14">
        <v>-2598611</v>
      </c>
      <c r="G145" s="14">
        <v>-4640278</v>
      </c>
      <c r="H145" s="14">
        <v>-5986111</v>
      </c>
      <c r="I145" s="14">
        <v>-6236111</v>
      </c>
    </row>
    <row r="146" spans="2:9" x14ac:dyDescent="0.2">
      <c r="B146" s="2" t="s">
        <v>354</v>
      </c>
      <c r="C146" s="14">
        <v>-129909</v>
      </c>
      <c r="D146" s="14">
        <v>-855453</v>
      </c>
      <c r="E146" s="14">
        <v>-906767</v>
      </c>
      <c r="F146" s="14">
        <v>-1515309</v>
      </c>
      <c r="G146" s="14">
        <v>-2062446</v>
      </c>
      <c r="H146" s="14">
        <v>-3737518</v>
      </c>
      <c r="I146" s="14">
        <v>-5124500</v>
      </c>
    </row>
    <row r="147" spans="2:9" x14ac:dyDescent="0.2">
      <c r="B147" s="2" t="s">
        <v>355</v>
      </c>
      <c r="C147" s="14">
        <v>1289092</v>
      </c>
      <c r="D147" s="14">
        <v>49613513</v>
      </c>
      <c r="E147" s="14">
        <v>139487718</v>
      </c>
      <c r="F147" s="14">
        <v>224151798</v>
      </c>
      <c r="G147" s="14">
        <v>478384683</v>
      </c>
      <c r="H147" s="14">
        <v>684959946</v>
      </c>
      <c r="I147" s="14">
        <v>832781983</v>
      </c>
    </row>
  </sheetData>
  <mergeCells count="17">
    <mergeCell ref="B14:E14"/>
    <mergeCell ref="B57:E57"/>
    <mergeCell ref="B138:I138"/>
    <mergeCell ref="B4:E4"/>
    <mergeCell ref="B119:E119"/>
    <mergeCell ref="B74:E74"/>
    <mergeCell ref="B88:E88"/>
    <mergeCell ref="B97:E97"/>
    <mergeCell ref="B21:E21"/>
    <mergeCell ref="B30:E30"/>
    <mergeCell ref="B48:E48"/>
    <mergeCell ref="B66:E66"/>
    <mergeCell ref="B109:E109"/>
    <mergeCell ref="B103:E103"/>
    <mergeCell ref="B132:I132"/>
    <mergeCell ref="B123:E123"/>
    <mergeCell ref="B36:E36"/>
  </mergeCells>
  <pageMargins left="0.75" right="0.75" top="1" bottom="1" header="0.5" footer="0.5"/>
  <pageSetup fitToHeight="0"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E44AD"/>
    <pageSetUpPr fitToPage="1"/>
  </sheetPr>
  <dimension ref="A1:F69"/>
  <sheetViews>
    <sheetView tabSelected="1"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4" customWidth="1"/>
    <col min="2" max="2" width="40" customWidth="1"/>
    <col min="3" max="5" width="18" customWidth="1"/>
    <col min="6" max="6" width="30" customWidth="1"/>
  </cols>
  <sheetData>
    <row r="1" spans="1:6" ht="21" x14ac:dyDescent="0.25">
      <c r="B1" s="4" t="s">
        <v>356</v>
      </c>
    </row>
    <row r="2" spans="1:6" x14ac:dyDescent="0.2">
      <c r="B2" s="5" t="s">
        <v>357</v>
      </c>
    </row>
    <row r="4" spans="1:6" ht="17" x14ac:dyDescent="0.2">
      <c r="B4" s="6" t="s">
        <v>358</v>
      </c>
      <c r="C4" s="7"/>
      <c r="D4" s="7"/>
      <c r="E4" s="7"/>
      <c r="F4" s="7"/>
    </row>
    <row r="5" spans="1:6" ht="16" x14ac:dyDescent="0.2">
      <c r="B5" s="9" t="s">
        <v>359</v>
      </c>
      <c r="C5" s="9" t="s">
        <v>360</v>
      </c>
      <c r="D5" s="9" t="s">
        <v>361</v>
      </c>
      <c r="E5" s="9" t="s">
        <v>362</v>
      </c>
      <c r="F5" s="9" t="s">
        <v>363</v>
      </c>
    </row>
    <row r="6" spans="1:6" x14ac:dyDescent="0.2">
      <c r="B6" s="2" t="s">
        <v>364</v>
      </c>
      <c r="C6" s="18">
        <f>ASSUMPTIONS!C31</f>
        <v>1.7768421052631582</v>
      </c>
      <c r="D6" s="26">
        <v>1.25</v>
      </c>
      <c r="E6" s="27">
        <f>C6-D6</f>
        <v>0.52684210526315822</v>
      </c>
      <c r="F6" s="5" t="s">
        <v>365</v>
      </c>
    </row>
    <row r="7" spans="1:6" x14ac:dyDescent="0.2">
      <c r="B7" s="2" t="s">
        <v>366</v>
      </c>
      <c r="C7" s="18">
        <f>ASSUMPTIONS!C32</f>
        <v>0.14000000000000001</v>
      </c>
      <c r="D7" s="26">
        <v>0.75</v>
      </c>
      <c r="E7" s="27">
        <f>D7-C7</f>
        <v>0.61</v>
      </c>
      <c r="F7" s="5" t="s">
        <v>367</v>
      </c>
    </row>
    <row r="8" spans="1:6" x14ac:dyDescent="0.2">
      <c r="B8" s="2" t="s">
        <v>368</v>
      </c>
      <c r="C8" s="27">
        <f>ASSUMPTIONS!C28</f>
        <v>0.9</v>
      </c>
      <c r="D8" s="26">
        <v>8.25</v>
      </c>
      <c r="E8" s="27">
        <f>D8-C8</f>
        <v>7.35</v>
      </c>
      <c r="F8" s="5" t="s">
        <v>369</v>
      </c>
    </row>
    <row r="9" spans="1:6" x14ac:dyDescent="0.2">
      <c r="B9" s="2" t="s">
        <v>370</v>
      </c>
      <c r="C9" s="18">
        <f>ASSUMPTIONS!C33</f>
        <v>5.0040000000000001E-2</v>
      </c>
      <c r="D9" s="26">
        <v>0.05</v>
      </c>
      <c r="E9" s="27">
        <f>D9-C9</f>
        <v>-3.999999999999837E-5</v>
      </c>
      <c r="F9" s="5" t="s">
        <v>371</v>
      </c>
    </row>
    <row r="10" spans="1:6" x14ac:dyDescent="0.2">
      <c r="A10" s="28"/>
      <c r="B10" s="28" t="s">
        <v>372</v>
      </c>
      <c r="C10" s="29">
        <f>SUM(C6:C9)</f>
        <v>2.8668821052631581</v>
      </c>
      <c r="D10" s="30">
        <v>10.3</v>
      </c>
      <c r="E10" s="31">
        <f>D10-C10</f>
        <v>7.4331178947368421</v>
      </c>
      <c r="F10" s="28"/>
    </row>
    <row r="12" spans="1:6" x14ac:dyDescent="0.2">
      <c r="B12" s="2" t="s">
        <v>373</v>
      </c>
      <c r="C12" s="18">
        <v>1.389</v>
      </c>
      <c r="F12" s="5" t="s">
        <v>374</v>
      </c>
    </row>
    <row r="13" spans="1:6" x14ac:dyDescent="0.2">
      <c r="B13" s="2" t="s">
        <v>375</v>
      </c>
      <c r="C13" s="18">
        <f>ASSUMPTIONS!C49/ASSUMPTIONS!C53/ASSUMPTIONS!C22</f>
        <v>0.40740740740740744</v>
      </c>
      <c r="F13" s="5" t="s">
        <v>376</v>
      </c>
    </row>
    <row r="14" spans="1:6" x14ac:dyDescent="0.2">
      <c r="B14" s="2" t="s">
        <v>230</v>
      </c>
      <c r="C14" s="27">
        <f>ASSUMPTIONS!C59</f>
        <v>0.42</v>
      </c>
      <c r="F14" s="5" t="s">
        <v>377</v>
      </c>
    </row>
    <row r="15" spans="1:6" x14ac:dyDescent="0.2">
      <c r="A15" s="28"/>
      <c r="B15" s="28" t="s">
        <v>378</v>
      </c>
      <c r="C15" s="29">
        <f>C10+SUM(C12:C14)</f>
        <v>5.0832895126705662</v>
      </c>
      <c r="D15" s="30">
        <v>5.25</v>
      </c>
      <c r="E15" s="28"/>
      <c r="F15" s="28" t="s">
        <v>379</v>
      </c>
    </row>
    <row r="16" spans="1:6" x14ac:dyDescent="0.2">
      <c r="B16" s="1" t="s">
        <v>380</v>
      </c>
      <c r="C16" s="27">
        <f>ASSUMPTIONS!C15</f>
        <v>25</v>
      </c>
    </row>
    <row r="17" spans="1:6" x14ac:dyDescent="0.2">
      <c r="A17" s="28"/>
      <c r="B17" s="28" t="s">
        <v>381</v>
      </c>
      <c r="C17" s="31">
        <f>C16-C15</f>
        <v>19.916710487329432</v>
      </c>
      <c r="D17" s="28"/>
      <c r="E17" s="28"/>
      <c r="F17" s="28"/>
    </row>
    <row r="19" spans="1:6" ht="17" x14ac:dyDescent="0.2">
      <c r="B19" s="6" t="s">
        <v>382</v>
      </c>
      <c r="C19" s="7"/>
      <c r="D19" s="7"/>
      <c r="E19" s="7"/>
      <c r="F19" s="7"/>
    </row>
    <row r="20" spans="1:6" ht="16" x14ac:dyDescent="0.2">
      <c r="B20" s="9" t="s">
        <v>131</v>
      </c>
      <c r="C20" s="9" t="s">
        <v>383</v>
      </c>
      <c r="D20" s="9" t="s">
        <v>384</v>
      </c>
      <c r="E20" s="9" t="s">
        <v>385</v>
      </c>
    </row>
    <row r="21" spans="1:6" x14ac:dyDescent="0.2">
      <c r="B21" s="2" t="s">
        <v>386</v>
      </c>
      <c r="C21" s="32">
        <f>ASSUMPTIONS!C9</f>
        <v>42.8</v>
      </c>
      <c r="D21" s="32">
        <f>ASSUMPTIONS!C8</f>
        <v>46.5</v>
      </c>
      <c r="E21" s="32">
        <f>ASSUMPTIONS!C10</f>
        <v>39.6</v>
      </c>
    </row>
    <row r="22" spans="1:6" x14ac:dyDescent="0.2">
      <c r="B22" s="2" t="s">
        <v>387</v>
      </c>
      <c r="C22" s="32">
        <f>ASSUMPTIONS!C5</f>
        <v>0.04</v>
      </c>
      <c r="D22" s="32">
        <f>ASSUMPTIONS!C5</f>
        <v>0.04</v>
      </c>
      <c r="E22" s="32">
        <f>ASSUMPTIONS!C6</f>
        <v>2.5000000000000001E-2</v>
      </c>
    </row>
    <row r="23" spans="1:6" x14ac:dyDescent="0.2">
      <c r="B23" s="2" t="s">
        <v>388</v>
      </c>
      <c r="C23" s="33">
        <v>1200</v>
      </c>
      <c r="D23" s="32">
        <f>ASSUMPTIONS!C55</f>
        <v>1000</v>
      </c>
      <c r="E23" s="33">
        <v>800</v>
      </c>
    </row>
    <row r="24" spans="1:6" x14ac:dyDescent="0.2">
      <c r="B24" s="2" t="s">
        <v>389</v>
      </c>
      <c r="C24" s="33" t="s">
        <v>390</v>
      </c>
      <c r="D24" s="33" t="s">
        <v>391</v>
      </c>
      <c r="E24" s="33" t="s">
        <v>392</v>
      </c>
    </row>
    <row r="25" spans="1:6" x14ac:dyDescent="0.2">
      <c r="B25" s="2" t="s">
        <v>393</v>
      </c>
      <c r="C25" s="33" t="s">
        <v>394</v>
      </c>
      <c r="D25" s="33" t="s">
        <v>395</v>
      </c>
      <c r="E25" s="33" t="s">
        <v>396</v>
      </c>
    </row>
    <row r="26" spans="1:6" x14ac:dyDescent="0.2">
      <c r="A26" s="28"/>
      <c r="B26" s="28" t="s">
        <v>397</v>
      </c>
      <c r="C26" s="31">
        <v>3.61</v>
      </c>
      <c r="D26" s="31">
        <v>2.79</v>
      </c>
      <c r="E26" s="31">
        <v>2.06</v>
      </c>
    </row>
    <row r="28" spans="1:6" ht="17" x14ac:dyDescent="0.2">
      <c r="B28" s="6" t="s">
        <v>398</v>
      </c>
      <c r="C28" s="7"/>
      <c r="D28" s="7"/>
      <c r="E28" s="7"/>
      <c r="F28" s="7"/>
    </row>
    <row r="29" spans="1:6" ht="16" x14ac:dyDescent="0.2">
      <c r="B29" s="9" t="s">
        <v>399</v>
      </c>
      <c r="C29" s="9" t="s">
        <v>400</v>
      </c>
      <c r="D29" s="9" t="s">
        <v>401</v>
      </c>
      <c r="E29" s="9" t="s">
        <v>402</v>
      </c>
    </row>
    <row r="30" spans="1:6" x14ac:dyDescent="0.2">
      <c r="B30" s="14">
        <v>15</v>
      </c>
      <c r="C30" s="27">
        <f>C15</f>
        <v>5.0832895126705662</v>
      </c>
      <c r="D30" s="27">
        <f>B30-C30</f>
        <v>9.9167104873294338</v>
      </c>
      <c r="E30" s="19">
        <f>D30/B30</f>
        <v>0.66111403248862888</v>
      </c>
    </row>
    <row r="31" spans="1:6" x14ac:dyDescent="0.2">
      <c r="B31" s="14">
        <v>20</v>
      </c>
      <c r="C31" s="27">
        <f>C15</f>
        <v>5.0832895126705662</v>
      </c>
      <c r="D31" s="27">
        <f>B31-C31</f>
        <v>14.916710487329434</v>
      </c>
      <c r="E31" s="19">
        <f>D31/B31</f>
        <v>0.74583552436647171</v>
      </c>
    </row>
    <row r="32" spans="1:6" x14ac:dyDescent="0.2">
      <c r="B32" s="14">
        <v>25</v>
      </c>
      <c r="C32" s="27">
        <f>C15</f>
        <v>5.0832895126705662</v>
      </c>
      <c r="D32" s="27">
        <f>B32-C32</f>
        <v>19.916710487329432</v>
      </c>
      <c r="E32" s="19">
        <f>D32/B32</f>
        <v>0.79666841949317724</v>
      </c>
    </row>
    <row r="33" spans="2:6" x14ac:dyDescent="0.2">
      <c r="B33" s="14">
        <v>30</v>
      </c>
      <c r="C33" s="27">
        <f>C15</f>
        <v>5.0832895126705662</v>
      </c>
      <c r="D33" s="27">
        <f>B33-C33</f>
        <v>24.916710487329432</v>
      </c>
      <c r="E33" s="19">
        <f>D33/B33</f>
        <v>0.83055701624431444</v>
      </c>
    </row>
    <row r="34" spans="2:6" x14ac:dyDescent="0.2">
      <c r="B34" s="14">
        <v>47</v>
      </c>
      <c r="C34" s="27">
        <f>C15</f>
        <v>5.0832895126705662</v>
      </c>
      <c r="D34" s="27">
        <f>B34-C34</f>
        <v>41.916710487329432</v>
      </c>
      <c r="E34" s="19">
        <f>D34/B34</f>
        <v>0.89184490398573257</v>
      </c>
    </row>
    <row r="36" spans="2:6" ht="17" x14ac:dyDescent="0.2">
      <c r="B36" s="6" t="s">
        <v>403</v>
      </c>
      <c r="C36" s="7"/>
      <c r="D36" s="7"/>
      <c r="E36" s="7"/>
      <c r="F36" s="7"/>
    </row>
    <row r="37" spans="2:6" ht="16" x14ac:dyDescent="0.2">
      <c r="B37" s="9" t="s">
        <v>404</v>
      </c>
      <c r="C37" s="9" t="s">
        <v>405</v>
      </c>
      <c r="D37" s="9" t="s">
        <v>406</v>
      </c>
    </row>
    <row r="38" spans="2:6" x14ac:dyDescent="0.2">
      <c r="B38" s="2" t="s">
        <v>407</v>
      </c>
      <c r="C38" s="32" t="str">
        <f>ASSUMPTIONS!C23&amp;" kg/day"</f>
        <v>25 kg/day</v>
      </c>
      <c r="D38" s="32" t="str">
        <f>ASSUMPTIONS!C24&amp;" kg/day"</f>
        <v>125 kg/day</v>
      </c>
    </row>
    <row r="39" spans="2:6" x14ac:dyDescent="0.2">
      <c r="B39" s="2" t="s">
        <v>408</v>
      </c>
      <c r="C39" t="s">
        <v>409</v>
      </c>
      <c r="D39" t="s">
        <v>410</v>
      </c>
    </row>
    <row r="40" spans="2:6" x14ac:dyDescent="0.2">
      <c r="B40" s="2" t="s">
        <v>411</v>
      </c>
      <c r="C40" s="20">
        <f>ASSUMPTIONS!C37</f>
        <v>35000</v>
      </c>
      <c r="D40" s="20">
        <f>ASSUMPTIONS!C40</f>
        <v>167000</v>
      </c>
    </row>
    <row r="41" spans="2:6" x14ac:dyDescent="0.2">
      <c r="B41" s="2" t="s">
        <v>412</v>
      </c>
      <c r="C41" s="20">
        <f>ASSUMPTIONS!C38</f>
        <v>21000</v>
      </c>
      <c r="D41" s="20">
        <f>ASSUMPTIONS!C41</f>
        <v>100000</v>
      </c>
    </row>
    <row r="42" spans="2:6" x14ac:dyDescent="0.2">
      <c r="B42" s="2" t="s">
        <v>413</v>
      </c>
      <c r="C42" s="19">
        <f>ASSUMPTIONS!C39</f>
        <v>0.4</v>
      </c>
      <c r="D42" s="19">
        <f>ASSUMPTIONS!C42</f>
        <v>0.40119760479041916</v>
      </c>
    </row>
    <row r="44" spans="2:6" ht="17" x14ac:dyDescent="0.2">
      <c r="B44" s="6" t="s">
        <v>414</v>
      </c>
      <c r="C44" s="7"/>
      <c r="D44" s="7"/>
      <c r="E44" s="7"/>
      <c r="F44" s="7"/>
    </row>
    <row r="45" spans="2:6" x14ac:dyDescent="0.2">
      <c r="B45" s="2" t="s">
        <v>415</v>
      </c>
      <c r="C45" s="27">
        <f>C15</f>
        <v>5.0832895126705662</v>
      </c>
      <c r="D45" s="5" t="s">
        <v>155</v>
      </c>
    </row>
    <row r="46" spans="2:6" x14ac:dyDescent="0.2">
      <c r="B46" s="2" t="s">
        <v>416</v>
      </c>
      <c r="C46" s="26">
        <v>5.25</v>
      </c>
      <c r="D46" s="5" t="s">
        <v>155</v>
      </c>
    </row>
    <row r="47" spans="2:6" x14ac:dyDescent="0.2">
      <c r="B47" s="2" t="s">
        <v>417</v>
      </c>
      <c r="C47" s="26">
        <v>10.3</v>
      </c>
      <c r="D47" s="5" t="s">
        <v>155</v>
      </c>
    </row>
    <row r="48" spans="2:6" x14ac:dyDescent="0.2">
      <c r="B48" s="2" t="s">
        <v>418</v>
      </c>
      <c r="C48" t="s">
        <v>419</v>
      </c>
      <c r="D48" s="5" t="s">
        <v>155</v>
      </c>
    </row>
    <row r="49" spans="2:6" x14ac:dyDescent="0.2">
      <c r="B49" s="2" t="s">
        <v>420</v>
      </c>
      <c r="C49" s="26">
        <v>121.31</v>
      </c>
      <c r="D49" s="5" t="s">
        <v>155</v>
      </c>
    </row>
    <row r="51" spans="2:6" ht="17" x14ac:dyDescent="0.2">
      <c r="B51" s="6" t="s">
        <v>421</v>
      </c>
      <c r="C51" s="7"/>
      <c r="D51" s="7"/>
      <c r="E51" s="7"/>
      <c r="F51" s="7"/>
    </row>
    <row r="52" spans="2:6" ht="16" x14ac:dyDescent="0.2">
      <c r="B52" s="9" t="s">
        <v>51</v>
      </c>
      <c r="C52" s="9" t="s">
        <v>52</v>
      </c>
      <c r="D52" s="9" t="s">
        <v>53</v>
      </c>
    </row>
    <row r="53" spans="2:6" x14ac:dyDescent="0.2">
      <c r="B53" s="2" t="s">
        <v>422</v>
      </c>
      <c r="C53" s="27">
        <f>C15</f>
        <v>5.0832895126705662</v>
      </c>
      <c r="D53" s="5" t="s">
        <v>423</v>
      </c>
    </row>
    <row r="54" spans="2:6" x14ac:dyDescent="0.2">
      <c r="B54" s="2" t="s">
        <v>424</v>
      </c>
      <c r="C54" s="21">
        <f>C15</f>
        <v>5.0832895126705662</v>
      </c>
      <c r="D54" s="5" t="s">
        <v>425</v>
      </c>
    </row>
    <row r="55" spans="2:6" x14ac:dyDescent="0.2">
      <c r="B55" s="2" t="s">
        <v>426</v>
      </c>
      <c r="C55" s="27">
        <f>ASSUMPTIONS!C49/ASSUMPTIONS!C53+ASSUMPTIONS!C63*12</f>
        <v>471666.66666666669</v>
      </c>
      <c r="D55" s="5" t="s">
        <v>427</v>
      </c>
    </row>
    <row r="56" spans="2:6" x14ac:dyDescent="0.2">
      <c r="B56" s="2" t="s">
        <v>428</v>
      </c>
      <c r="C56" s="21">
        <f>C55/(ASSUMPTIONS!$C$15-ASSUMPTIONS!$C$34)</f>
        <v>21310.448392760198</v>
      </c>
      <c r="D56" s="5" t="s">
        <v>429</v>
      </c>
    </row>
    <row r="57" spans="2:6" x14ac:dyDescent="0.2">
      <c r="B57" s="2" t="s">
        <v>430</v>
      </c>
      <c r="C57" s="19">
        <f>C56/ASSUMPTIONS!C22</f>
        <v>2.3678275991955777E-2</v>
      </c>
      <c r="D57" s="5" t="s">
        <v>431</v>
      </c>
    </row>
    <row r="58" spans="2:6" x14ac:dyDescent="0.2">
      <c r="B58" s="2" t="s">
        <v>432</v>
      </c>
      <c r="C58" s="52">
        <f>ASSUMPTIONS!C49/((ASSUMPTIONS!$C$15-C15)*ASSUMPTIONS!C22/12)</f>
        <v>2.209200160236894</v>
      </c>
      <c r="D58" s="5" t="s">
        <v>223</v>
      </c>
    </row>
    <row r="60" spans="2:6" ht="17" x14ac:dyDescent="0.2">
      <c r="B60" s="6" t="s">
        <v>433</v>
      </c>
      <c r="C60" s="7"/>
      <c r="D60" s="7"/>
      <c r="E60" s="7"/>
      <c r="F60" s="7"/>
    </row>
    <row r="61" spans="2:6" ht="16" x14ac:dyDescent="0.2">
      <c r="B61" s="9" t="s">
        <v>434</v>
      </c>
      <c r="C61" s="9" t="s">
        <v>435</v>
      </c>
      <c r="D61" s="9" t="s">
        <v>436</v>
      </c>
      <c r="E61" s="9" t="s">
        <v>437</v>
      </c>
    </row>
    <row r="62" spans="2:6" x14ac:dyDescent="0.2">
      <c r="B62" s="2" t="s">
        <v>438</v>
      </c>
      <c r="C62" s="14">
        <v>21000</v>
      </c>
      <c r="D62" s="14">
        <v>100000</v>
      </c>
      <c r="E62" s="2" t="s">
        <v>439</v>
      </c>
    </row>
    <row r="63" spans="2:6" x14ac:dyDescent="0.2">
      <c r="B63" s="2" t="s">
        <v>440</v>
      </c>
      <c r="C63" s="14">
        <v>20160</v>
      </c>
      <c r="D63" s="14">
        <v>96000</v>
      </c>
      <c r="E63" s="2" t="s">
        <v>441</v>
      </c>
    </row>
    <row r="64" spans="2:6" x14ac:dyDescent="0.2">
      <c r="B64" s="2" t="s">
        <v>442</v>
      </c>
      <c r="C64" s="14">
        <v>19425</v>
      </c>
      <c r="D64" s="14">
        <v>92500</v>
      </c>
      <c r="E64" s="2" t="s">
        <v>443</v>
      </c>
    </row>
    <row r="65" spans="2:5" x14ac:dyDescent="0.2">
      <c r="B65" s="2" t="s">
        <v>444</v>
      </c>
      <c r="C65" s="14">
        <v>18375</v>
      </c>
      <c r="D65" s="14">
        <v>87500</v>
      </c>
      <c r="E65" s="2" t="s">
        <v>445</v>
      </c>
    </row>
    <row r="66" spans="2:5" x14ac:dyDescent="0.2">
      <c r="B66" s="2" t="s">
        <v>446</v>
      </c>
      <c r="C66" s="14">
        <v>17325</v>
      </c>
      <c r="D66" s="14">
        <v>82500</v>
      </c>
      <c r="E66" s="2" t="s">
        <v>447</v>
      </c>
    </row>
    <row r="67" spans="2:5" x14ac:dyDescent="0.2">
      <c r="B67" s="2" t="s">
        <v>448</v>
      </c>
      <c r="C67" s="14">
        <v>16800</v>
      </c>
      <c r="D67" s="14">
        <v>77500</v>
      </c>
      <c r="E67" s="2" t="s">
        <v>449</v>
      </c>
    </row>
    <row r="68" spans="2:5" x14ac:dyDescent="0.2">
      <c r="B68" s="78" t="s">
        <v>450</v>
      </c>
      <c r="C68" s="72"/>
      <c r="D68" s="72"/>
      <c r="E68" s="72"/>
    </row>
    <row r="69" spans="2:5" x14ac:dyDescent="0.2">
      <c r="B69" s="5" t="s">
        <v>451</v>
      </c>
    </row>
  </sheetData>
  <mergeCells count="1">
    <mergeCell ref="B68:E68"/>
  </mergeCells>
  <pageMargins left="0.75" right="0.75" top="1" bottom="1" header="0.5" footer="0.5"/>
  <pageSetup fitToHeight="0"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74C3C"/>
    <pageSetUpPr fitToPage="1"/>
  </sheetPr>
  <dimension ref="A1:I39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4" customWidth="1"/>
    <col min="2" max="2" width="35" customWidth="1"/>
    <col min="3" max="9" width="18" customWidth="1"/>
  </cols>
  <sheetData>
    <row r="1" spans="1:9" ht="21" x14ac:dyDescent="0.25">
      <c r="B1" s="4" t="s">
        <v>452</v>
      </c>
    </row>
    <row r="2" spans="1:9" x14ac:dyDescent="0.2">
      <c r="B2" s="5" t="s">
        <v>453</v>
      </c>
    </row>
    <row r="4" spans="1:9" ht="17" x14ac:dyDescent="0.2">
      <c r="B4" s="6" t="s">
        <v>454</v>
      </c>
      <c r="C4" s="7"/>
      <c r="D4" s="7"/>
      <c r="E4" s="7"/>
      <c r="F4" s="7"/>
      <c r="G4" s="7"/>
      <c r="H4" s="7"/>
      <c r="I4" s="7"/>
    </row>
    <row r="5" spans="1:9" ht="16" x14ac:dyDescent="0.2">
      <c r="B5" s="9"/>
      <c r="C5" s="9" t="s">
        <v>72</v>
      </c>
      <c r="D5" s="9" t="s">
        <v>73</v>
      </c>
      <c r="E5" s="9" t="s">
        <v>74</v>
      </c>
      <c r="F5" s="9" t="s">
        <v>75</v>
      </c>
      <c r="G5" s="9" t="s">
        <v>76</v>
      </c>
      <c r="H5" s="9" t="s">
        <v>77</v>
      </c>
      <c r="I5" s="9" t="s">
        <v>78</v>
      </c>
    </row>
    <row r="6" spans="1:9" x14ac:dyDescent="0.2">
      <c r="B6" s="2" t="s">
        <v>455</v>
      </c>
      <c r="C6" s="20">
        <f>ASSUMPTIONS!C105*ASSUMPTIONS!$C$15</f>
        <v>0</v>
      </c>
      <c r="D6" s="20">
        <f>ASSUMPTIONS!D105*ASSUMPTIONS!$C$15</f>
        <v>11812500</v>
      </c>
      <c r="E6" s="20">
        <f>ASSUMPTIONS!E105*ASSUMPTIONS!$C$15</f>
        <v>77812500</v>
      </c>
      <c r="F6" s="20">
        <f>ASSUMPTIONS!F105*ASSUMPTIONS!$C$15</f>
        <v>141562500</v>
      </c>
      <c r="G6" s="20">
        <f>ASSUMPTIONS!G105*ASSUMPTIONS!$C$15</f>
        <v>210937500</v>
      </c>
      <c r="H6" s="20">
        <f>ASSUMPTIONS!H105*ASSUMPTIONS!$C$15</f>
        <v>264375000</v>
      </c>
      <c r="I6" s="20">
        <f>ASSUMPTIONS!I105*ASSUMPTIONS!$C$15</f>
        <v>270000000</v>
      </c>
    </row>
    <row r="7" spans="1:9" x14ac:dyDescent="0.2">
      <c r="B7" s="2" t="s">
        <v>456</v>
      </c>
      <c r="C7" s="20">
        <f>ASSUMPTIONS!C99*ASSUMPTIONS!$C$37+ASSUMPTIONS!C100*ASSUMPTIONS!$C$40</f>
        <v>875000</v>
      </c>
      <c r="D7" s="20">
        <f>ASSUMPTIONS!D99*ASSUMPTIONS!$C$37+ASSUMPTIONS!D100*ASSUMPTIONS!$C$40</f>
        <v>4295000</v>
      </c>
      <c r="E7" s="20">
        <f>ASSUMPTIONS!E99*ASSUMPTIONS!$C$37+ASSUMPTIONS!E100*ASSUMPTIONS!$C$40</f>
        <v>10260000</v>
      </c>
      <c r="F7" s="20">
        <f>ASSUMPTIONS!F99*ASSUMPTIONS!$C$37+ASSUMPTIONS!F100*ASSUMPTIONS!$C$40</f>
        <v>18770000</v>
      </c>
      <c r="G7" s="20">
        <f>ASSUMPTIONS!G99*ASSUMPTIONS!$C$37+ASSUMPTIONS!G100*ASSUMPTIONS!$C$40</f>
        <v>28950000</v>
      </c>
      <c r="H7" s="20">
        <f>ASSUMPTIONS!H99*ASSUMPTIONS!$C$37+ASSUMPTIONS!H100*ASSUMPTIONS!$C$40</f>
        <v>39130000</v>
      </c>
      <c r="I7" s="20">
        <f>ASSUMPTIONS!I99*ASSUMPTIONS!$C$37+ASSUMPTIONS!I100*ASSUMPTIONS!$C$40</f>
        <v>51060000</v>
      </c>
    </row>
    <row r="8" spans="1:9" x14ac:dyDescent="0.2">
      <c r="B8" s="2" t="s">
        <v>457</v>
      </c>
      <c r="C8" s="20">
        <v>0</v>
      </c>
      <c r="D8" s="20">
        <v>32813</v>
      </c>
      <c r="E8" s="20">
        <v>242113</v>
      </c>
      <c r="F8" s="20">
        <v>848205</v>
      </c>
      <c r="G8" s="20">
        <v>2092281</v>
      </c>
      <c r="H8" s="20">
        <v>4204952</v>
      </c>
      <c r="I8" s="20">
        <v>6594846</v>
      </c>
    </row>
    <row r="9" spans="1:9" x14ac:dyDescent="0.2">
      <c r="A9" s="28"/>
      <c r="B9" s="28" t="s">
        <v>458</v>
      </c>
      <c r="C9" s="34">
        <f t="shared" ref="C9:I9" si="0">C6+C7+C8</f>
        <v>875000</v>
      </c>
      <c r="D9" s="34">
        <f t="shared" si="0"/>
        <v>16140313</v>
      </c>
      <c r="E9" s="34">
        <f t="shared" si="0"/>
        <v>88314613</v>
      </c>
      <c r="F9" s="34">
        <f t="shared" si="0"/>
        <v>161180705</v>
      </c>
      <c r="G9" s="34">
        <f t="shared" si="0"/>
        <v>241979781</v>
      </c>
      <c r="H9" s="34">
        <f t="shared" si="0"/>
        <v>307709952</v>
      </c>
      <c r="I9" s="34">
        <f t="shared" si="0"/>
        <v>327654846</v>
      </c>
    </row>
    <row r="10" spans="1:9" x14ac:dyDescent="0.2">
      <c r="B10" s="2" t="s">
        <v>459</v>
      </c>
      <c r="C10" s="20">
        <v>0</v>
      </c>
      <c r="D10" s="20">
        <v>1417500</v>
      </c>
      <c r="E10" s="20">
        <v>8887500</v>
      </c>
      <c r="F10" s="20">
        <v>10800000</v>
      </c>
      <c r="G10" s="20">
        <v>10800000</v>
      </c>
      <c r="H10" s="20">
        <v>10800000</v>
      </c>
      <c r="I10" s="20">
        <v>10800000</v>
      </c>
    </row>
    <row r="11" spans="1:9" x14ac:dyDescent="0.2">
      <c r="A11" s="28"/>
      <c r="B11" s="28" t="s">
        <v>460</v>
      </c>
      <c r="C11" s="34">
        <f t="shared" ref="C11:I11" si="1">C9+C10</f>
        <v>875000</v>
      </c>
      <c r="D11" s="34">
        <f t="shared" si="1"/>
        <v>17557813</v>
      </c>
      <c r="E11" s="34">
        <f t="shared" si="1"/>
        <v>97202113</v>
      </c>
      <c r="F11" s="34">
        <f t="shared" si="1"/>
        <v>171980705</v>
      </c>
      <c r="G11" s="34">
        <f t="shared" si="1"/>
        <v>252779781</v>
      </c>
      <c r="H11" s="34">
        <f t="shared" si="1"/>
        <v>318509952</v>
      </c>
      <c r="I11" s="34">
        <f t="shared" si="1"/>
        <v>338454846</v>
      </c>
    </row>
    <row r="13" spans="1:9" ht="17" x14ac:dyDescent="0.2">
      <c r="B13" s="3" t="s">
        <v>461</v>
      </c>
    </row>
    <row r="14" spans="1:9" x14ac:dyDescent="0.2">
      <c r="B14" s="2" t="s">
        <v>462</v>
      </c>
      <c r="C14" s="19">
        <f t="shared" ref="C14:I14" si="2">IF(C9=0,"—",C6/C9)</f>
        <v>0</v>
      </c>
      <c r="D14" s="19">
        <f t="shared" si="2"/>
        <v>0.73186313053532481</v>
      </c>
      <c r="E14" s="19">
        <f t="shared" si="2"/>
        <v>0.88108295282910887</v>
      </c>
      <c r="F14" s="19">
        <f t="shared" si="2"/>
        <v>0.87828440755362125</v>
      </c>
      <c r="G14" s="19">
        <f t="shared" si="2"/>
        <v>0.87171539344438043</v>
      </c>
      <c r="H14" s="19">
        <f t="shared" si="2"/>
        <v>0.85916948178523656</v>
      </c>
      <c r="I14" s="19">
        <f t="shared" si="2"/>
        <v>0.82403786574852</v>
      </c>
    </row>
    <row r="15" spans="1:9" x14ac:dyDescent="0.2">
      <c r="B15" s="2" t="s">
        <v>463</v>
      </c>
      <c r="C15" s="19">
        <f t="shared" ref="C15:I15" si="3">IF(C9=0,"—",C7/C9)</f>
        <v>1</v>
      </c>
      <c r="D15" s="19">
        <f t="shared" si="3"/>
        <v>0.26610388534596574</v>
      </c>
      <c r="E15" s="19">
        <f t="shared" si="3"/>
        <v>0.11617556428628635</v>
      </c>
      <c r="F15" s="19">
        <f t="shared" si="3"/>
        <v>0.11645314493443865</v>
      </c>
      <c r="G15" s="19">
        <f t="shared" si="3"/>
        <v>0.1196380948869443</v>
      </c>
      <c r="H15" s="19">
        <f t="shared" si="3"/>
        <v>0.12716520783832172</v>
      </c>
      <c r="I15" s="19">
        <f t="shared" si="3"/>
        <v>0.15583471638933122</v>
      </c>
    </row>
    <row r="16" spans="1:9" x14ac:dyDescent="0.2">
      <c r="B16" s="2" t="s">
        <v>464</v>
      </c>
      <c r="C16" s="19">
        <f t="shared" ref="C16:I16" si="4">IF(C9=0,"—",C8/C9)</f>
        <v>0</v>
      </c>
      <c r="D16" s="19">
        <f t="shared" si="4"/>
        <v>2.03298411870947E-3</v>
      </c>
      <c r="E16" s="19">
        <f t="shared" si="4"/>
        <v>2.741482884604839E-3</v>
      </c>
      <c r="F16" s="19">
        <f t="shared" si="4"/>
        <v>5.2624475119400927E-3</v>
      </c>
      <c r="G16" s="19">
        <f t="shared" si="4"/>
        <v>8.646511668675326E-3</v>
      </c>
      <c r="H16" s="19">
        <f t="shared" si="4"/>
        <v>1.3665310376441774E-2</v>
      </c>
      <c r="I16" s="19">
        <f t="shared" si="4"/>
        <v>2.0127417862148757E-2</v>
      </c>
    </row>
    <row r="18" spans="2:9" ht="17" x14ac:dyDescent="0.2">
      <c r="B18" s="6" t="s">
        <v>465</v>
      </c>
      <c r="C18" s="7"/>
      <c r="D18" s="7"/>
      <c r="E18" s="7"/>
      <c r="F18" s="7"/>
      <c r="G18" s="7"/>
      <c r="H18" s="7"/>
      <c r="I18" s="7"/>
    </row>
    <row r="19" spans="2:9" ht="16" x14ac:dyDescent="0.2">
      <c r="B19" s="9" t="s">
        <v>466</v>
      </c>
      <c r="C19" s="9" t="s">
        <v>170</v>
      </c>
      <c r="D19" s="9" t="s">
        <v>155</v>
      </c>
      <c r="E19" s="9" t="s">
        <v>467</v>
      </c>
      <c r="F19" s="9" t="s">
        <v>468</v>
      </c>
      <c r="G19" s="9" t="s">
        <v>469</v>
      </c>
    </row>
    <row r="20" spans="2:9" x14ac:dyDescent="0.2">
      <c r="B20" s="2" t="s">
        <v>470</v>
      </c>
      <c r="C20" s="2">
        <v>50</v>
      </c>
      <c r="D20" s="35">
        <v>30</v>
      </c>
      <c r="E20" s="2" t="s">
        <v>471</v>
      </c>
      <c r="F20" s="35">
        <v>547500</v>
      </c>
      <c r="G20" s="2" t="s">
        <v>472</v>
      </c>
    </row>
    <row r="21" spans="2:9" x14ac:dyDescent="0.2">
      <c r="B21" s="2" t="s">
        <v>473</v>
      </c>
      <c r="C21" s="2">
        <v>500</v>
      </c>
      <c r="D21" s="35">
        <v>15</v>
      </c>
      <c r="E21" s="2" t="s">
        <v>474</v>
      </c>
      <c r="F21" s="35">
        <v>2737500</v>
      </c>
      <c r="G21" s="2" t="s">
        <v>475</v>
      </c>
    </row>
    <row r="22" spans="2:9" x14ac:dyDescent="0.2">
      <c r="B22" s="2" t="s">
        <v>476</v>
      </c>
      <c r="C22" s="2">
        <v>133</v>
      </c>
      <c r="D22" s="35">
        <v>25</v>
      </c>
      <c r="E22" s="2" t="s">
        <v>474</v>
      </c>
      <c r="F22" s="35">
        <v>1214125</v>
      </c>
      <c r="G22" s="2" t="s">
        <v>477</v>
      </c>
    </row>
    <row r="23" spans="2:9" x14ac:dyDescent="0.2">
      <c r="B23" s="2" t="s">
        <v>478</v>
      </c>
      <c r="C23" s="2">
        <v>32</v>
      </c>
      <c r="D23" s="35">
        <v>20</v>
      </c>
      <c r="E23" s="2" t="s">
        <v>474</v>
      </c>
      <c r="F23" s="35">
        <v>233600</v>
      </c>
      <c r="G23" s="2" t="s">
        <v>479</v>
      </c>
    </row>
    <row r="24" spans="2:9" x14ac:dyDescent="0.2">
      <c r="B24" s="2" t="s">
        <v>480</v>
      </c>
      <c r="C24" s="2">
        <v>250</v>
      </c>
      <c r="D24" s="35">
        <v>25</v>
      </c>
      <c r="E24" s="2" t="s">
        <v>474</v>
      </c>
      <c r="F24" s="35">
        <v>2281250</v>
      </c>
      <c r="G24" s="2" t="s">
        <v>481</v>
      </c>
    </row>
    <row r="25" spans="2:9" x14ac:dyDescent="0.2">
      <c r="B25" s="2" t="s">
        <v>482</v>
      </c>
      <c r="C25" s="2">
        <v>1250</v>
      </c>
      <c r="D25" s="35">
        <v>25</v>
      </c>
      <c r="E25" s="2" t="s">
        <v>474</v>
      </c>
      <c r="F25" s="35">
        <v>11406250</v>
      </c>
      <c r="G25" s="2" t="s">
        <v>483</v>
      </c>
    </row>
    <row r="26" spans="2:9" x14ac:dyDescent="0.2">
      <c r="B26" s="2" t="s">
        <v>484</v>
      </c>
      <c r="C26" s="2">
        <v>500</v>
      </c>
      <c r="D26" s="35">
        <v>25</v>
      </c>
      <c r="E26" s="2" t="s">
        <v>485</v>
      </c>
      <c r="F26" s="35">
        <v>4562500</v>
      </c>
      <c r="G26" s="2" t="s">
        <v>486</v>
      </c>
    </row>
    <row r="27" spans="2:9" x14ac:dyDescent="0.2">
      <c r="B27" s="2" t="s">
        <v>487</v>
      </c>
      <c r="C27" s="2" t="s">
        <v>488</v>
      </c>
      <c r="D27" s="35">
        <v>25</v>
      </c>
      <c r="E27" s="2" t="s">
        <v>489</v>
      </c>
      <c r="F27" s="2" t="s">
        <v>286</v>
      </c>
      <c r="G27" s="2" t="s">
        <v>490</v>
      </c>
    </row>
    <row r="29" spans="2:9" x14ac:dyDescent="0.2">
      <c r="B29" s="1" t="s">
        <v>491</v>
      </c>
    </row>
    <row r="32" spans="2:9" ht="17" x14ac:dyDescent="0.2">
      <c r="B32" s="6" t="s">
        <v>492</v>
      </c>
      <c r="C32" s="7"/>
      <c r="D32" s="7"/>
      <c r="E32" s="7"/>
      <c r="F32" s="7"/>
      <c r="G32" s="7"/>
      <c r="H32" s="7"/>
      <c r="I32" s="7"/>
    </row>
    <row r="33" spans="2:9" ht="16" x14ac:dyDescent="0.2">
      <c r="B33" s="9"/>
      <c r="C33" s="9" t="s">
        <v>72</v>
      </c>
      <c r="D33" s="9" t="s">
        <v>73</v>
      </c>
      <c r="E33" s="9" t="s">
        <v>74</v>
      </c>
      <c r="F33" s="9" t="s">
        <v>75</v>
      </c>
      <c r="G33" s="9" t="s">
        <v>76</v>
      </c>
      <c r="H33" s="9" t="s">
        <v>77</v>
      </c>
      <c r="I33" s="9" t="s">
        <v>78</v>
      </c>
    </row>
    <row r="34" spans="2:9" x14ac:dyDescent="0.2">
      <c r="B34" s="2" t="s">
        <v>493</v>
      </c>
      <c r="C34" s="19">
        <v>0</v>
      </c>
      <c r="D34" s="19">
        <v>0.73199999999999998</v>
      </c>
      <c r="E34" s="19">
        <v>0.88099999999999989</v>
      </c>
      <c r="F34" s="19">
        <v>0.878</v>
      </c>
      <c r="G34" s="19">
        <v>0.872</v>
      </c>
      <c r="H34" s="19">
        <v>0.8590000000000001</v>
      </c>
      <c r="I34" s="19">
        <v>0.82400000000000007</v>
      </c>
    </row>
    <row r="35" spans="2:9" x14ac:dyDescent="0.2">
      <c r="B35" s="2" t="s">
        <v>80</v>
      </c>
      <c r="C35" s="19">
        <v>1</v>
      </c>
      <c r="D35" s="19">
        <v>0.26600000000000001</v>
      </c>
      <c r="E35" s="19">
        <v>0.11600000000000001</v>
      </c>
      <c r="F35" s="19">
        <v>0.11600000000000001</v>
      </c>
      <c r="G35" s="19">
        <v>0.12</v>
      </c>
      <c r="H35" s="19">
        <v>0.127</v>
      </c>
      <c r="I35" s="19">
        <v>0.156</v>
      </c>
    </row>
    <row r="36" spans="2:9" x14ac:dyDescent="0.2">
      <c r="B36" s="2" t="s">
        <v>494</v>
      </c>
      <c r="C36" s="19">
        <v>0</v>
      </c>
      <c r="D36" s="19">
        <v>2E-3</v>
      </c>
      <c r="E36" s="19">
        <v>3.0000000000000001E-3</v>
      </c>
      <c r="F36" s="19">
        <v>5.0000000000000001E-3</v>
      </c>
      <c r="G36" s="19">
        <v>9.0000000000000011E-3</v>
      </c>
      <c r="H36" s="19">
        <v>1.4E-2</v>
      </c>
      <c r="I36" s="19">
        <v>0.02</v>
      </c>
    </row>
    <row r="38" spans="2:9" x14ac:dyDescent="0.2">
      <c r="B38" s="78" t="s">
        <v>495</v>
      </c>
      <c r="C38" s="72"/>
      <c r="D38" s="72"/>
      <c r="E38" s="72"/>
      <c r="F38" s="72"/>
      <c r="G38" s="72"/>
      <c r="H38" s="72"/>
      <c r="I38" s="72"/>
    </row>
    <row r="39" spans="2:9" x14ac:dyDescent="0.2">
      <c r="B39" s="78" t="s">
        <v>496</v>
      </c>
      <c r="C39" s="72"/>
      <c r="D39" s="72"/>
      <c r="E39" s="72"/>
      <c r="F39" s="72"/>
      <c r="G39" s="72"/>
      <c r="H39" s="72"/>
      <c r="I39" s="72"/>
    </row>
  </sheetData>
  <mergeCells count="2">
    <mergeCell ref="B39:I39"/>
    <mergeCell ref="B38:I38"/>
  </mergeCells>
  <pageMargins left="0.75" right="0.75" top="1" bottom="1" header="0.5" footer="0.5"/>
  <pageSetup fitToHeight="0"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980B9"/>
    <pageSetUpPr fitToPage="1"/>
  </sheetPr>
  <dimension ref="A1:I46"/>
  <sheetViews>
    <sheetView workbookViewId="0">
      <pane xSplit="2" ySplit="5" topLeftCell="C6" activePane="bottomRight" state="frozen"/>
      <selection pane="topRight"/>
      <selection pane="bottomLeft"/>
      <selection pane="bottomRight" activeCell="C24" sqref="C24"/>
    </sheetView>
  </sheetViews>
  <sheetFormatPr baseColWidth="10" defaultColWidth="8.83203125" defaultRowHeight="15" x14ac:dyDescent="0.2"/>
  <cols>
    <col min="1" max="1" width="4" customWidth="1"/>
    <col min="2" max="2" width="38" customWidth="1"/>
    <col min="3" max="9" width="18" customWidth="1"/>
    <col min="10" max="10" width="5" customWidth="1"/>
    <col min="11" max="11" width="20" customWidth="1"/>
  </cols>
  <sheetData>
    <row r="1" spans="1:9" ht="21" x14ac:dyDescent="0.25">
      <c r="B1" s="4" t="s">
        <v>497</v>
      </c>
    </row>
    <row r="2" spans="1:9" x14ac:dyDescent="0.2">
      <c r="B2" s="5" t="s">
        <v>498</v>
      </c>
    </row>
    <row r="4" spans="1:9" ht="16" x14ac:dyDescent="0.2">
      <c r="B4" s="9"/>
      <c r="C4" s="9" t="s">
        <v>72</v>
      </c>
      <c r="D4" s="9" t="s">
        <v>73</v>
      </c>
      <c r="E4" s="9" t="s">
        <v>74</v>
      </c>
      <c r="F4" s="9" t="s">
        <v>75</v>
      </c>
      <c r="G4" s="9" t="s">
        <v>76</v>
      </c>
      <c r="H4" s="9" t="s">
        <v>77</v>
      </c>
      <c r="I4" s="9" t="s">
        <v>78</v>
      </c>
    </row>
    <row r="5" spans="1:9" x14ac:dyDescent="0.2">
      <c r="B5" s="5"/>
      <c r="C5" s="5" t="s">
        <v>499</v>
      </c>
      <c r="D5" s="5" t="s">
        <v>500</v>
      </c>
      <c r="E5" s="5" t="s">
        <v>501</v>
      </c>
      <c r="F5" s="5" t="s">
        <v>502</v>
      </c>
      <c r="G5" s="5" t="s">
        <v>503</v>
      </c>
      <c r="H5" s="5" t="s">
        <v>504</v>
      </c>
      <c r="I5" s="5" t="s">
        <v>505</v>
      </c>
    </row>
    <row r="6" spans="1:9" ht="17" x14ac:dyDescent="0.2">
      <c r="B6" s="6" t="s">
        <v>506</v>
      </c>
      <c r="C6" s="7"/>
      <c r="D6" s="7"/>
      <c r="E6" s="7"/>
      <c r="F6" s="7"/>
      <c r="G6" s="7"/>
      <c r="H6" s="7"/>
      <c r="I6" s="7"/>
    </row>
    <row r="7" spans="1:9" x14ac:dyDescent="0.2">
      <c r="B7" s="2" t="s">
        <v>455</v>
      </c>
      <c r="C7" s="20">
        <f>ASSUMPTIONS!C105*ASSUMPTIONS!$C$15</f>
        <v>0</v>
      </c>
      <c r="D7" s="20">
        <f>ASSUMPTIONS!D105*ASSUMPTIONS!$C$15</f>
        <v>11812500</v>
      </c>
      <c r="E7" s="20">
        <f>ASSUMPTIONS!E105*ASSUMPTIONS!$C$15</f>
        <v>77812500</v>
      </c>
      <c r="F7" s="20">
        <f>ASSUMPTIONS!F105*ASSUMPTIONS!$C$15</f>
        <v>141562500</v>
      </c>
      <c r="G7" s="20">
        <f>ASSUMPTIONS!G105*ASSUMPTIONS!$C$15</f>
        <v>210937500</v>
      </c>
      <c r="H7" s="20">
        <f>ASSUMPTIONS!H105*ASSUMPTIONS!$C$15</f>
        <v>264375000</v>
      </c>
      <c r="I7" s="20">
        <f>ASSUMPTIONS!I105*ASSUMPTIONS!$C$15</f>
        <v>270000000</v>
      </c>
    </row>
    <row r="8" spans="1:9" x14ac:dyDescent="0.2">
      <c r="B8" s="2" t="s">
        <v>456</v>
      </c>
      <c r="C8" s="20">
        <f>ASSUMPTIONS!C99*ASSUMPTIONS!$C$37+ASSUMPTIONS!C100*ASSUMPTIONS!$C$40</f>
        <v>875000</v>
      </c>
      <c r="D8" s="20">
        <f>ASSUMPTIONS!D99*ASSUMPTIONS!$C$37+ASSUMPTIONS!D100*ASSUMPTIONS!$C$40</f>
        <v>4295000</v>
      </c>
      <c r="E8" s="20">
        <f>ASSUMPTIONS!E99*ASSUMPTIONS!$C$37+ASSUMPTIONS!E100*ASSUMPTIONS!$C$40</f>
        <v>10260000</v>
      </c>
      <c r="F8" s="20">
        <f>ASSUMPTIONS!F99*ASSUMPTIONS!$C$37+ASSUMPTIONS!F100*ASSUMPTIONS!$C$40</f>
        <v>18770000</v>
      </c>
      <c r="G8" s="20">
        <f>ASSUMPTIONS!G99*ASSUMPTIONS!$C$37+ASSUMPTIONS!G100*ASSUMPTIONS!$C$40</f>
        <v>28950000</v>
      </c>
      <c r="H8" s="20">
        <f>ASSUMPTIONS!H99*ASSUMPTIONS!$C$37+ASSUMPTIONS!H100*ASSUMPTIONS!$C$40</f>
        <v>39130000</v>
      </c>
      <c r="I8" s="20">
        <f>ASSUMPTIONS!I99*ASSUMPTIONS!$C$37+ASSUMPTIONS!I100*ASSUMPTIONS!$C$40</f>
        <v>51060000</v>
      </c>
    </row>
    <row r="9" spans="1:9" x14ac:dyDescent="0.2">
      <c r="B9" s="2" t="s">
        <v>457</v>
      </c>
      <c r="C9" s="20">
        <f>ASSUMPTIONS!C140</f>
        <v>0</v>
      </c>
      <c r="D9" s="20">
        <f>ASSUMPTIONS!D140</f>
        <v>32813</v>
      </c>
      <c r="E9" s="20">
        <f>ASSUMPTIONS!E140</f>
        <v>242113</v>
      </c>
      <c r="F9" s="20">
        <f>ASSUMPTIONS!F140</f>
        <v>848205</v>
      </c>
      <c r="G9" s="20">
        <f>ASSUMPTIONS!G140</f>
        <v>2092281</v>
      </c>
      <c r="H9" s="20">
        <f>ASSUMPTIONS!H140</f>
        <v>4204952</v>
      </c>
      <c r="I9" s="20">
        <f>ASSUMPTIONS!I140</f>
        <v>6594846</v>
      </c>
    </row>
    <row r="10" spans="1:9" x14ac:dyDescent="0.2">
      <c r="B10" s="2" t="s">
        <v>459</v>
      </c>
      <c r="C10" s="20">
        <f>ASSUMPTIONS!C141</f>
        <v>0</v>
      </c>
      <c r="D10" s="20">
        <f>ASSUMPTIONS!D141</f>
        <v>1417500</v>
      </c>
      <c r="E10" s="20">
        <f>ASSUMPTIONS!E141</f>
        <v>8887500</v>
      </c>
      <c r="F10" s="20">
        <f>ASSUMPTIONS!F141</f>
        <v>10800000</v>
      </c>
      <c r="G10" s="20">
        <f>ASSUMPTIONS!G141</f>
        <v>10800000</v>
      </c>
      <c r="H10" s="20">
        <f>ASSUMPTIONS!H141</f>
        <v>10800000</v>
      </c>
      <c r="I10" s="20">
        <f>ASSUMPTIONS!I141</f>
        <v>10800000</v>
      </c>
    </row>
    <row r="11" spans="1:9" x14ac:dyDescent="0.2">
      <c r="A11" s="28"/>
      <c r="B11" s="28" t="s">
        <v>458</v>
      </c>
      <c r="C11" s="34">
        <f t="shared" ref="C11:I11" si="0">C7+C8+C9</f>
        <v>875000</v>
      </c>
      <c r="D11" s="34">
        <f t="shared" si="0"/>
        <v>16140313</v>
      </c>
      <c r="E11" s="34">
        <f t="shared" si="0"/>
        <v>88314613</v>
      </c>
      <c r="F11" s="34">
        <f t="shared" si="0"/>
        <v>161180705</v>
      </c>
      <c r="G11" s="34">
        <f t="shared" si="0"/>
        <v>241979781</v>
      </c>
      <c r="H11" s="34">
        <f t="shared" si="0"/>
        <v>307709952</v>
      </c>
      <c r="I11" s="34">
        <f t="shared" si="0"/>
        <v>327654846</v>
      </c>
    </row>
    <row r="13" spans="1:9" ht="17" x14ac:dyDescent="0.2">
      <c r="B13" s="6" t="s">
        <v>507</v>
      </c>
      <c r="C13" s="7"/>
      <c r="D13" s="7"/>
      <c r="E13" s="7"/>
      <c r="F13" s="7"/>
      <c r="G13" s="7"/>
      <c r="H13" s="7"/>
      <c r="I13" s="7"/>
    </row>
    <row r="14" spans="1:9" x14ac:dyDescent="0.2">
      <c r="B14" s="2" t="s">
        <v>508</v>
      </c>
      <c r="C14" s="20">
        <f>ASSUMPTIONS!C105*ASSUMPTIONS!C134</f>
        <v>0</v>
      </c>
      <c r="D14" s="20">
        <f>ASSUMPTIONS!D105*ASSUMPTIONS!D134</f>
        <v>1268662.5</v>
      </c>
      <c r="E14" s="20">
        <f>ASSUMPTIONS!E105*ASSUMPTIONS!E134</f>
        <v>9729675</v>
      </c>
      <c r="F14" s="20">
        <f>ASSUMPTIONS!F105*ASSUMPTIONS!F134</f>
        <v>18935400</v>
      </c>
      <c r="G14" s="20">
        <f>ASSUMPTIONS!G105*ASSUMPTIONS!G134</f>
        <v>28628437.5</v>
      </c>
      <c r="H14" s="20">
        <f>ASSUMPTIONS!H105*ASSUMPTIONS!H134</f>
        <v>36600075</v>
      </c>
      <c r="I14" s="20">
        <f>ASSUMPTIONS!I105*ASSUMPTIONS!I134</f>
        <v>38275200</v>
      </c>
    </row>
    <row r="15" spans="1:9" x14ac:dyDescent="0.2">
      <c r="B15" s="2" t="s">
        <v>509</v>
      </c>
      <c r="C15" s="20">
        <f>ASSUMPTIONS!C99*ASSUMPTIONS!$C$38+ASSUMPTIONS!C100*ASSUMPTIONS!$C$41</f>
        <v>525000</v>
      </c>
      <c r="D15" s="20">
        <f>ASSUMPTIONS!D99*ASSUMPTIONS!$C$38+ASSUMPTIONS!D100*ASSUMPTIONS!$C$41</f>
        <v>2575000</v>
      </c>
      <c r="E15" s="20">
        <f>ASSUMPTIONS!E99*ASSUMPTIONS!$C$38+ASSUMPTIONS!E100*ASSUMPTIONS!$C$41</f>
        <v>6150000</v>
      </c>
      <c r="F15" s="20">
        <f>ASSUMPTIONS!F99*ASSUMPTIONS!$C$38+ASSUMPTIONS!F100*ASSUMPTIONS!$C$41</f>
        <v>11250000</v>
      </c>
      <c r="G15" s="20">
        <f>ASSUMPTIONS!G99*ASSUMPTIONS!$C$38+ASSUMPTIONS!G100*ASSUMPTIONS!$C$41</f>
        <v>17350000</v>
      </c>
      <c r="H15" s="20">
        <f>ASSUMPTIONS!H99*ASSUMPTIONS!$C$38+ASSUMPTIONS!H100*ASSUMPTIONS!$C$41</f>
        <v>23450000</v>
      </c>
      <c r="I15" s="20">
        <f>ASSUMPTIONS!I99*ASSUMPTIONS!$C$38+ASSUMPTIONS!I100*ASSUMPTIONS!$C$41</f>
        <v>30600000</v>
      </c>
    </row>
    <row r="16" spans="1:9" x14ac:dyDescent="0.2">
      <c r="B16" s="2" t="s">
        <v>510</v>
      </c>
      <c r="C16" s="20">
        <f>C9*ASSUMPTIONS!$C$45</f>
        <v>0</v>
      </c>
      <c r="D16" s="20">
        <f>D9*ASSUMPTIONS!$C$45</f>
        <v>6562.6</v>
      </c>
      <c r="E16" s="20">
        <f>E9*ASSUMPTIONS!$C$45</f>
        <v>48422.600000000006</v>
      </c>
      <c r="F16" s="20">
        <f>F9*ASSUMPTIONS!$C$45</f>
        <v>169641</v>
      </c>
      <c r="G16" s="20">
        <f>G9*ASSUMPTIONS!$C$45</f>
        <v>418456.2</v>
      </c>
      <c r="H16" s="20">
        <f>H9*ASSUMPTIONS!$C$45</f>
        <v>840990.4</v>
      </c>
      <c r="I16" s="20">
        <f>I9*ASSUMPTIONS!$C$45</f>
        <v>1318969.2000000002</v>
      </c>
    </row>
    <row r="17" spans="1:9" x14ac:dyDescent="0.2">
      <c r="A17" s="28"/>
      <c r="B17" s="28" t="s">
        <v>511</v>
      </c>
      <c r="C17" s="34">
        <f t="shared" ref="C17:I17" si="1">C14+C15+C16</f>
        <v>525000</v>
      </c>
      <c r="D17" s="34">
        <f t="shared" si="1"/>
        <v>3850225.1</v>
      </c>
      <c r="E17" s="34">
        <f t="shared" si="1"/>
        <v>15928097.6</v>
      </c>
      <c r="F17" s="34">
        <f t="shared" si="1"/>
        <v>30355041</v>
      </c>
      <c r="G17" s="34">
        <f t="shared" si="1"/>
        <v>46396893.700000003</v>
      </c>
      <c r="H17" s="34">
        <f t="shared" si="1"/>
        <v>60891065.399999999</v>
      </c>
      <c r="I17" s="34">
        <f t="shared" si="1"/>
        <v>70194169.200000003</v>
      </c>
    </row>
    <row r="19" spans="1:9" x14ac:dyDescent="0.2">
      <c r="A19" s="28"/>
      <c r="B19" s="28" t="s">
        <v>512</v>
      </c>
      <c r="C19" s="34">
        <f t="shared" ref="C19:I19" si="2">C11-C17</f>
        <v>350000</v>
      </c>
      <c r="D19" s="34">
        <f t="shared" si="2"/>
        <v>12290087.9</v>
      </c>
      <c r="E19" s="34">
        <f t="shared" si="2"/>
        <v>72386515.400000006</v>
      </c>
      <c r="F19" s="34">
        <f t="shared" si="2"/>
        <v>130825664</v>
      </c>
      <c r="G19" s="34">
        <f t="shared" si="2"/>
        <v>195582887.30000001</v>
      </c>
      <c r="H19" s="34">
        <f t="shared" si="2"/>
        <v>246818886.59999999</v>
      </c>
      <c r="I19" s="34">
        <f t="shared" si="2"/>
        <v>257460676.80000001</v>
      </c>
    </row>
    <row r="20" spans="1:9" x14ac:dyDescent="0.2">
      <c r="B20" s="2" t="s">
        <v>402</v>
      </c>
      <c r="C20" s="19">
        <f t="shared" ref="C20:I20" si="3">IF(C11=0,0,C19/C11)</f>
        <v>0.4</v>
      </c>
      <c r="D20" s="19">
        <f t="shared" si="3"/>
        <v>0.76145288508345532</v>
      </c>
      <c r="E20" s="19">
        <f t="shared" si="3"/>
        <v>0.81964369135603876</v>
      </c>
      <c r="F20" s="19">
        <f t="shared" si="3"/>
        <v>0.81167075178136239</v>
      </c>
      <c r="G20" s="19">
        <f t="shared" si="3"/>
        <v>0.8082612790694278</v>
      </c>
      <c r="H20" s="19">
        <f t="shared" si="3"/>
        <v>0.80211538494536572</v>
      </c>
      <c r="I20" s="19">
        <f t="shared" si="3"/>
        <v>0.78576795046089454</v>
      </c>
    </row>
    <row r="22" spans="1:9" ht="17" x14ac:dyDescent="0.2">
      <c r="B22" s="6" t="s">
        <v>227</v>
      </c>
      <c r="C22" s="7"/>
      <c r="D22" s="7"/>
      <c r="E22" s="7"/>
      <c r="F22" s="7"/>
      <c r="G22" s="7"/>
      <c r="H22" s="7"/>
      <c r="I22" s="7"/>
    </row>
    <row r="23" spans="1:9" x14ac:dyDescent="0.2">
      <c r="B23" s="2" t="s">
        <v>350</v>
      </c>
      <c r="C23" s="20">
        <f>ASSUMPTIONS!C142</f>
        <v>1263500</v>
      </c>
      <c r="D23" s="20">
        <f>ASSUMPTIONS!D142</f>
        <v>3509147</v>
      </c>
      <c r="E23" s="20">
        <f>ASSUMPTIONS!E142</f>
        <v>7590438</v>
      </c>
      <c r="F23" s="20">
        <f>ASSUMPTIONS!F142</f>
        <v>12122426</v>
      </c>
      <c r="G23" s="20">
        <f>ASSUMPTIONS!G142</f>
        <v>16827031</v>
      </c>
      <c r="H23" s="20">
        <f>ASSUMPTIONS!H142</f>
        <v>19624011</v>
      </c>
      <c r="I23" s="20">
        <f>ASSUMPTIONS!I142</f>
        <v>20817306</v>
      </c>
    </row>
    <row r="24" spans="1:9" x14ac:dyDescent="0.2">
      <c r="B24" s="2" t="s">
        <v>513</v>
      </c>
      <c r="C24" s="20">
        <f>C23*ASSUMPTIONS!$C$60</f>
        <v>472043.6</v>
      </c>
      <c r="D24" s="20">
        <f>D23*ASSUMPTIONS!$C$60</f>
        <v>1311017.3192</v>
      </c>
      <c r="E24" s="20">
        <f>E23*ASSUMPTIONS!$C$60</f>
        <v>2835787.6368</v>
      </c>
      <c r="F24" s="20">
        <f>F23*ASSUMPTIONS!$C$60</f>
        <v>4528938.3536</v>
      </c>
      <c r="G24" s="20">
        <f>G23*ASSUMPTIONS!$C$60</f>
        <v>6286578.7815999994</v>
      </c>
      <c r="H24" s="20">
        <f>H23*ASSUMPTIONS!$C$60</f>
        <v>7331530.5095999995</v>
      </c>
      <c r="I24" s="20">
        <f>I23*ASSUMPTIONS!$C$60</f>
        <v>7777345.5215999996</v>
      </c>
    </row>
    <row r="25" spans="1:9" x14ac:dyDescent="0.2">
      <c r="B25" s="2" t="s">
        <v>514</v>
      </c>
      <c r="C25" s="20">
        <f>ASSUMPTIONS!C143</f>
        <v>262500</v>
      </c>
      <c r="D25" s="20">
        <f>ASSUMPTIONS!D143</f>
        <v>580663</v>
      </c>
      <c r="E25" s="20">
        <f>ASSUMPTIONS!E143</f>
        <v>848642</v>
      </c>
      <c r="F25" s="20">
        <f>ASSUMPTIONS!F143</f>
        <v>1027354</v>
      </c>
      <c r="G25" s="20">
        <f>ASSUMPTIONS!G143</f>
        <v>1450410</v>
      </c>
      <c r="H25" s="20">
        <f>ASSUMPTIONS!H143</f>
        <v>1758208</v>
      </c>
      <c r="I25" s="20">
        <f>ASSUMPTIONS!I143</f>
        <v>1802164</v>
      </c>
    </row>
    <row r="26" spans="1:9" x14ac:dyDescent="0.2">
      <c r="B26" s="2" t="s">
        <v>515</v>
      </c>
      <c r="C26" s="20">
        <f>C11*ASSUMPTIONS!$C$61</f>
        <v>26250</v>
      </c>
      <c r="D26" s="20">
        <f>D11*ASSUMPTIONS!$C$61</f>
        <v>484209.38999999996</v>
      </c>
      <c r="E26" s="20">
        <f>E11*ASSUMPTIONS!$C$61</f>
        <v>2649438.39</v>
      </c>
      <c r="F26" s="20">
        <f>F11*ASSUMPTIONS!$C$61</f>
        <v>4835421.1499999994</v>
      </c>
      <c r="G26" s="20">
        <f>G11*ASSUMPTIONS!$C$61</f>
        <v>7259393.4299999997</v>
      </c>
      <c r="H26" s="20">
        <f>H11*ASSUMPTIONS!$C$61</f>
        <v>9231298.5600000005</v>
      </c>
      <c r="I26" s="20">
        <f>I11*ASSUMPTIONS!$C$61</f>
        <v>9829645.379999999</v>
      </c>
    </row>
    <row r="27" spans="1:9" x14ac:dyDescent="0.2">
      <c r="B27" s="2" t="s">
        <v>516</v>
      </c>
      <c r="C27" s="20">
        <f>ASSUMPTIONS!C144</f>
        <v>978904</v>
      </c>
      <c r="D27" s="20">
        <f>ASSUMPTIONS!D144</f>
        <v>2709806</v>
      </c>
      <c r="E27" s="20">
        <f>ASSUMPTIONS!E144</f>
        <v>3916292</v>
      </c>
      <c r="F27" s="20">
        <f>ASSUMPTIONS!F144</f>
        <v>3823614</v>
      </c>
      <c r="G27" s="20">
        <f>ASSUMPTIONS!G144</f>
        <v>5589596</v>
      </c>
      <c r="H27" s="20">
        <f>ASSUMPTIONS!H144</f>
        <v>7154199</v>
      </c>
      <c r="I27" s="20">
        <f>ASSUMPTIONS!I144</f>
        <v>7803097</v>
      </c>
    </row>
    <row r="28" spans="1:9" x14ac:dyDescent="0.2">
      <c r="A28" s="28"/>
      <c r="B28" s="28" t="s">
        <v>517</v>
      </c>
      <c r="C28" s="34">
        <f t="shared" ref="C28:I28" si="4">SUM(C23:C27)</f>
        <v>3003197.6</v>
      </c>
      <c r="D28" s="34">
        <f t="shared" si="4"/>
        <v>8594842.7091999985</v>
      </c>
      <c r="E28" s="34">
        <f t="shared" si="4"/>
        <v>17840598.026799999</v>
      </c>
      <c r="F28" s="34">
        <f t="shared" si="4"/>
        <v>26337753.503599998</v>
      </c>
      <c r="G28" s="34">
        <f t="shared" si="4"/>
        <v>37413009.211599998</v>
      </c>
      <c r="H28" s="34">
        <f t="shared" si="4"/>
        <v>45099247.069600001</v>
      </c>
      <c r="I28" s="34">
        <f t="shared" si="4"/>
        <v>48029557.901600003</v>
      </c>
    </row>
    <row r="29" spans="1:9" x14ac:dyDescent="0.2">
      <c r="B29" s="36" t="s">
        <v>307</v>
      </c>
      <c r="C29" s="21">
        <f>ASSUMPTIONS!C107</f>
        <v>15</v>
      </c>
      <c r="D29" s="21">
        <f>ASSUMPTIONS!D107</f>
        <v>50</v>
      </c>
      <c r="E29" s="21">
        <f>ASSUMPTIONS!E107</f>
        <v>89</v>
      </c>
      <c r="F29" s="21">
        <f>ASSUMPTIONS!F107</f>
        <v>135</v>
      </c>
      <c r="G29" s="21">
        <f>ASSUMPTIONS!G107</f>
        <v>182</v>
      </c>
      <c r="H29" s="21">
        <f>ASSUMPTIONS!H107</f>
        <v>205</v>
      </c>
      <c r="I29" s="21">
        <f>ASSUMPTIONS!I107</f>
        <v>224</v>
      </c>
    </row>
    <row r="31" spans="1:9" x14ac:dyDescent="0.2">
      <c r="A31" s="28"/>
      <c r="B31" s="28" t="s">
        <v>518</v>
      </c>
      <c r="C31" s="34">
        <f t="shared" ref="C31:I31" si="5">C19-C28</f>
        <v>-2653197.6</v>
      </c>
      <c r="D31" s="34">
        <f t="shared" si="5"/>
        <v>3695245.1908000018</v>
      </c>
      <c r="E31" s="34">
        <f t="shared" si="5"/>
        <v>54545917.373200007</v>
      </c>
      <c r="F31" s="34">
        <f t="shared" si="5"/>
        <v>104487910.4964</v>
      </c>
      <c r="G31" s="34">
        <f t="shared" si="5"/>
        <v>158169878.08840001</v>
      </c>
      <c r="H31" s="34">
        <f t="shared" si="5"/>
        <v>201719639.53039998</v>
      </c>
      <c r="I31" s="34">
        <f t="shared" si="5"/>
        <v>209431118.89840001</v>
      </c>
    </row>
    <row r="32" spans="1:9" x14ac:dyDescent="0.2">
      <c r="B32" s="2" t="s">
        <v>87</v>
      </c>
      <c r="C32" s="19">
        <f t="shared" ref="C32:I32" si="6">IF(C11=0,0,C31/C11)</f>
        <v>-3.0322258285714287</v>
      </c>
      <c r="D32" s="19">
        <f t="shared" si="6"/>
        <v>0.22894507626958671</v>
      </c>
      <c r="E32" s="19">
        <f t="shared" si="6"/>
        <v>0.61763184506283242</v>
      </c>
      <c r="F32" s="19">
        <f t="shared" si="6"/>
        <v>0.64826562519626652</v>
      </c>
      <c r="G32" s="19">
        <f t="shared" si="6"/>
        <v>0.65364914967172405</v>
      </c>
      <c r="H32" s="19">
        <f t="shared" si="6"/>
        <v>0.65555123654369152</v>
      </c>
      <c r="I32" s="19">
        <f t="shared" si="6"/>
        <v>0.63918211940134106</v>
      </c>
    </row>
    <row r="34" spans="1:9" x14ac:dyDescent="0.2">
      <c r="B34" s="2" t="s">
        <v>353</v>
      </c>
      <c r="C34" s="20">
        <f>ASSUMPTIONS!C145</f>
        <v>0</v>
      </c>
      <c r="D34" s="20">
        <f>ASSUMPTIONS!D145</f>
        <v>-706250</v>
      </c>
      <c r="E34" s="20">
        <f>ASSUMPTIONS!E145</f>
        <v>-1581944</v>
      </c>
      <c r="F34" s="20">
        <f>ASSUMPTIONS!F145</f>
        <v>-2598611</v>
      </c>
      <c r="G34" s="20">
        <f>ASSUMPTIONS!G145</f>
        <v>-4640278</v>
      </c>
      <c r="H34" s="20">
        <f>ASSUMPTIONS!H145</f>
        <v>-5986111</v>
      </c>
      <c r="I34" s="20">
        <f>ASSUMPTIONS!I145</f>
        <v>-6236111</v>
      </c>
    </row>
    <row r="35" spans="1:9" x14ac:dyDescent="0.2">
      <c r="B35" s="2" t="s">
        <v>519</v>
      </c>
      <c r="C35" s="20">
        <f t="shared" ref="C35:I35" si="7">C10</f>
        <v>0</v>
      </c>
      <c r="D35" s="20">
        <f t="shared" si="7"/>
        <v>1417500</v>
      </c>
      <c r="E35" s="20">
        <f t="shared" si="7"/>
        <v>8887500</v>
      </c>
      <c r="F35" s="20">
        <f t="shared" si="7"/>
        <v>10800000</v>
      </c>
      <c r="G35" s="20">
        <f t="shared" si="7"/>
        <v>10800000</v>
      </c>
      <c r="H35" s="20">
        <f t="shared" si="7"/>
        <v>10800000</v>
      </c>
      <c r="I35" s="20">
        <f t="shared" si="7"/>
        <v>10800000</v>
      </c>
    </row>
    <row r="36" spans="1:9" x14ac:dyDescent="0.2">
      <c r="A36" s="28"/>
      <c r="B36" s="28" t="s">
        <v>520</v>
      </c>
      <c r="C36" s="34">
        <f t="shared" ref="C36:I36" si="8">C31+C34+C35</f>
        <v>-2653197.6</v>
      </c>
      <c r="D36" s="34">
        <f t="shared" si="8"/>
        <v>4406495.1908000018</v>
      </c>
      <c r="E36" s="34">
        <f t="shared" si="8"/>
        <v>61851473.373200007</v>
      </c>
      <c r="F36" s="34">
        <f t="shared" si="8"/>
        <v>112689299.4964</v>
      </c>
      <c r="G36" s="34">
        <f t="shared" si="8"/>
        <v>164329600.08840001</v>
      </c>
      <c r="H36" s="34">
        <f t="shared" si="8"/>
        <v>206533528.53039998</v>
      </c>
      <c r="I36" s="34">
        <f t="shared" si="8"/>
        <v>213995007.89840001</v>
      </c>
    </row>
    <row r="37" spans="1:9" x14ac:dyDescent="0.2">
      <c r="B37" s="2" t="s">
        <v>354</v>
      </c>
      <c r="C37" s="20">
        <f>ASSUMPTIONS!C146</f>
        <v>-129909</v>
      </c>
      <c r="D37" s="20">
        <f>ASSUMPTIONS!D146</f>
        <v>-855453</v>
      </c>
      <c r="E37" s="20">
        <f>ASSUMPTIONS!E146</f>
        <v>-906767</v>
      </c>
      <c r="F37" s="20">
        <f>ASSUMPTIONS!F146</f>
        <v>-1515309</v>
      </c>
      <c r="G37" s="20">
        <f>ASSUMPTIONS!G146</f>
        <v>-2062446</v>
      </c>
      <c r="H37" s="20">
        <f>ASSUMPTIONS!H146</f>
        <v>-3737518</v>
      </c>
      <c r="I37" s="20">
        <f>ASSUMPTIONS!I146</f>
        <v>-5124500</v>
      </c>
    </row>
    <row r="38" spans="1:9" x14ac:dyDescent="0.2">
      <c r="B38" s="1" t="s">
        <v>521</v>
      </c>
      <c r="C38" s="34">
        <f t="shared" ref="C38:I38" si="9">C36+C37</f>
        <v>-2783106.6</v>
      </c>
      <c r="D38" s="34">
        <f t="shared" si="9"/>
        <v>3551042.1908000018</v>
      </c>
      <c r="E38" s="34">
        <f t="shared" si="9"/>
        <v>60944706.373200007</v>
      </c>
      <c r="F38" s="34">
        <f t="shared" si="9"/>
        <v>111173990.4964</v>
      </c>
      <c r="G38" s="34">
        <f t="shared" si="9"/>
        <v>162267154.08840001</v>
      </c>
      <c r="H38" s="34">
        <f t="shared" si="9"/>
        <v>202796010.53039998</v>
      </c>
      <c r="I38" s="34">
        <f t="shared" si="9"/>
        <v>208870507.89840001</v>
      </c>
    </row>
    <row r="39" spans="1:9" x14ac:dyDescent="0.2">
      <c r="B39" s="2" t="s">
        <v>522</v>
      </c>
      <c r="C39" s="20">
        <f>IF(C38&gt;0,-C38*ASSUMPTIONS!$C$67,0)</f>
        <v>0</v>
      </c>
      <c r="D39" s="20">
        <f>IF(D38&gt;0,-D38*ASSUMPTIONS!$C$67,0)</f>
        <v>-958781.39151600061</v>
      </c>
      <c r="E39" s="20">
        <f>IF(E38&gt;0,-E38*ASSUMPTIONS!$C$67,0)</f>
        <v>-16455070.720764004</v>
      </c>
      <c r="F39" s="20">
        <f>IF(F38&gt;0,-F38*ASSUMPTIONS!$C$67,0)</f>
        <v>-30016977.434028003</v>
      </c>
      <c r="G39" s="20">
        <f>IF(G38&gt;0,-G38*ASSUMPTIONS!$C$67,0)</f>
        <v>-43812131.603868008</v>
      </c>
      <c r="H39" s="20">
        <f>IF(H38&gt;0,-H38*ASSUMPTIONS!$C$67,0)</f>
        <v>-54754922.843208</v>
      </c>
      <c r="I39" s="20">
        <f>IF(I38&gt;0,-I38*ASSUMPTIONS!$C$67,0)</f>
        <v>-56395037.132568009</v>
      </c>
    </row>
    <row r="40" spans="1:9" x14ac:dyDescent="0.2">
      <c r="A40" s="28"/>
      <c r="B40" s="28" t="s">
        <v>523</v>
      </c>
      <c r="C40" s="34">
        <f t="shared" ref="C40:I40" si="10">C38+C39</f>
        <v>-2783106.6</v>
      </c>
      <c r="D40" s="34">
        <f t="shared" si="10"/>
        <v>2592260.7992840013</v>
      </c>
      <c r="E40" s="34">
        <f t="shared" si="10"/>
        <v>44489635.652436003</v>
      </c>
      <c r="F40" s="34">
        <f t="shared" si="10"/>
        <v>81157013.062371999</v>
      </c>
      <c r="G40" s="34">
        <f t="shared" si="10"/>
        <v>118455022.484532</v>
      </c>
      <c r="H40" s="34">
        <f t="shared" si="10"/>
        <v>148041087.68719196</v>
      </c>
      <c r="I40" s="34">
        <f t="shared" si="10"/>
        <v>152475470.76583201</v>
      </c>
    </row>
    <row r="41" spans="1:9" x14ac:dyDescent="0.2">
      <c r="B41" s="2" t="s">
        <v>524</v>
      </c>
      <c r="C41" s="19">
        <f t="shared" ref="C41:I41" si="11">IF(C11=0,0,C40/C11)</f>
        <v>-3.1806932571428574</v>
      </c>
      <c r="D41" s="19">
        <f t="shared" si="11"/>
        <v>0.1606078394690364</v>
      </c>
      <c r="E41" s="19">
        <f t="shared" si="11"/>
        <v>0.50376301430926274</v>
      </c>
      <c r="F41" s="19">
        <f t="shared" si="11"/>
        <v>0.50351568484808407</v>
      </c>
      <c r="G41" s="19">
        <f t="shared" si="11"/>
        <v>0.48952446355231638</v>
      </c>
      <c r="H41" s="19">
        <f t="shared" si="11"/>
        <v>0.48110594644398097</v>
      </c>
      <c r="I41" s="19">
        <f t="shared" si="11"/>
        <v>0.4653539315143595</v>
      </c>
    </row>
    <row r="43" spans="1:9" x14ac:dyDescent="0.2">
      <c r="A43" s="28"/>
      <c r="B43" s="28" t="s">
        <v>355</v>
      </c>
      <c r="C43" s="34">
        <f>ASSUMPTIONS!C147</f>
        <v>1289092</v>
      </c>
      <c r="D43" s="34">
        <f>ASSUMPTIONS!D147</f>
        <v>49613513</v>
      </c>
      <c r="E43" s="34">
        <f>ASSUMPTIONS!E147</f>
        <v>139487718</v>
      </c>
      <c r="F43" s="34">
        <f>ASSUMPTIONS!F147</f>
        <v>224151798</v>
      </c>
      <c r="G43" s="34">
        <f>ASSUMPTIONS!G147</f>
        <v>478384683</v>
      </c>
      <c r="H43" s="34">
        <f>ASSUMPTIONS!H147</f>
        <v>684959946</v>
      </c>
      <c r="I43" s="34">
        <f>ASSUMPTIONS!I147</f>
        <v>832781983</v>
      </c>
    </row>
    <row r="45" spans="1:9" x14ac:dyDescent="0.2">
      <c r="B45" s="1" t="s">
        <v>525</v>
      </c>
    </row>
    <row r="46" spans="1:9" x14ac:dyDescent="0.2">
      <c r="B46" s="78" t="s">
        <v>526</v>
      </c>
      <c r="C46" s="72"/>
      <c r="D46" s="72"/>
      <c r="E46" s="72"/>
      <c r="F46" s="72"/>
      <c r="G46" s="72"/>
      <c r="H46" s="72"/>
      <c r="I46" s="72"/>
    </row>
  </sheetData>
  <mergeCells count="1">
    <mergeCell ref="B46:I46"/>
  </mergeCells>
  <pageMargins left="0.75" right="0.75" top="1" bottom="1" header="0.5" footer="0.5"/>
  <pageSetup fitToHeight="0"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6A085"/>
    <pageSetUpPr fitToPage="1"/>
  </sheetPr>
  <dimension ref="A1:I35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4" customWidth="1"/>
    <col min="2" max="2" width="38" customWidth="1"/>
    <col min="3" max="9" width="18" customWidth="1"/>
  </cols>
  <sheetData>
    <row r="1" spans="1:9" ht="21" x14ac:dyDescent="0.25">
      <c r="B1" s="4" t="s">
        <v>527</v>
      </c>
    </row>
    <row r="2" spans="1:9" x14ac:dyDescent="0.2">
      <c r="B2" s="5" t="s">
        <v>528</v>
      </c>
    </row>
    <row r="4" spans="1:9" ht="16" x14ac:dyDescent="0.2">
      <c r="B4" s="9"/>
      <c r="C4" s="9" t="s">
        <v>72</v>
      </c>
      <c r="D4" s="9" t="s">
        <v>73</v>
      </c>
      <c r="E4" s="9" t="s">
        <v>74</v>
      </c>
      <c r="F4" s="9" t="s">
        <v>75</v>
      </c>
      <c r="G4" s="9" t="s">
        <v>76</v>
      </c>
      <c r="H4" s="9" t="s">
        <v>77</v>
      </c>
      <c r="I4" s="9" t="s">
        <v>78</v>
      </c>
    </row>
    <row r="5" spans="1:9" ht="17" x14ac:dyDescent="0.2">
      <c r="B5" s="6" t="s">
        <v>529</v>
      </c>
      <c r="C5" s="7"/>
      <c r="D5" s="7"/>
      <c r="E5" s="7"/>
      <c r="F5" s="7"/>
      <c r="G5" s="7"/>
      <c r="H5" s="7"/>
      <c r="I5" s="7"/>
    </row>
    <row r="6" spans="1:9" x14ac:dyDescent="0.2">
      <c r="B6" s="2" t="s">
        <v>530</v>
      </c>
      <c r="C6" s="20">
        <f>'P&amp;L'!C40</f>
        <v>-2783106.6</v>
      </c>
      <c r="D6" s="20">
        <f>'P&amp;L'!D40</f>
        <v>2592260.7992840013</v>
      </c>
      <c r="E6" s="20">
        <f>'P&amp;L'!E40</f>
        <v>44489635.652436003</v>
      </c>
      <c r="F6" s="20">
        <f>'P&amp;L'!F40</f>
        <v>81157013.062371999</v>
      </c>
      <c r="G6" s="20">
        <f>'P&amp;L'!G40</f>
        <v>118455022.484532</v>
      </c>
      <c r="H6" s="20">
        <f>'P&amp;L'!H40</f>
        <v>148041087.68719196</v>
      </c>
      <c r="I6" s="20">
        <f>'P&amp;L'!I40</f>
        <v>152475470.76583201</v>
      </c>
    </row>
    <row r="7" spans="1:9" x14ac:dyDescent="0.2">
      <c r="B7" s="2" t="s">
        <v>531</v>
      </c>
      <c r="C7" s="20">
        <f>ABS('P&amp;L'!C34)</f>
        <v>0</v>
      </c>
      <c r="D7" s="20">
        <f>ABS('P&amp;L'!D34)</f>
        <v>706250</v>
      </c>
      <c r="E7" s="20">
        <f>ABS('P&amp;L'!E34)</f>
        <v>1581944</v>
      </c>
      <c r="F7" s="20">
        <f>ABS('P&amp;L'!F34)</f>
        <v>2598611</v>
      </c>
      <c r="G7" s="20">
        <f>ABS('P&amp;L'!G34)</f>
        <v>4640278</v>
      </c>
      <c r="H7" s="20">
        <f>ABS('P&amp;L'!H34)</f>
        <v>5986111</v>
      </c>
      <c r="I7" s="20">
        <f>ABS('P&amp;L'!I34)</f>
        <v>6236111</v>
      </c>
    </row>
    <row r="8" spans="1:9" x14ac:dyDescent="0.2">
      <c r="B8" s="2" t="s">
        <v>532</v>
      </c>
      <c r="C8" s="20">
        <v>26346</v>
      </c>
      <c r="D8" s="37">
        <v>-503485</v>
      </c>
      <c r="E8" s="37">
        <v>-2850622</v>
      </c>
      <c r="F8" s="37">
        <v>-2877244</v>
      </c>
      <c r="G8" s="37">
        <v>-3175979</v>
      </c>
      <c r="H8" s="37">
        <v>-2598698</v>
      </c>
      <c r="I8" s="37">
        <v>-793393</v>
      </c>
    </row>
    <row r="9" spans="1:9" x14ac:dyDescent="0.2">
      <c r="A9" s="28"/>
      <c r="B9" s="28" t="s">
        <v>533</v>
      </c>
      <c r="C9" s="34">
        <f t="shared" ref="C9:I9" si="0">C6+C7+C8</f>
        <v>-2756760.6</v>
      </c>
      <c r="D9" s="34">
        <f t="shared" si="0"/>
        <v>2795025.7992840013</v>
      </c>
      <c r="E9" s="34">
        <f t="shared" si="0"/>
        <v>43220957.652436003</v>
      </c>
      <c r="F9" s="34">
        <f t="shared" si="0"/>
        <v>80878380.062371999</v>
      </c>
      <c r="G9" s="34">
        <f t="shared" si="0"/>
        <v>119919321.484532</v>
      </c>
      <c r="H9" s="34">
        <f t="shared" si="0"/>
        <v>151428500.68719196</v>
      </c>
      <c r="I9" s="34">
        <f t="shared" si="0"/>
        <v>157918188.76583201</v>
      </c>
    </row>
    <row r="11" spans="1:9" ht="17" x14ac:dyDescent="0.2">
      <c r="B11" s="6" t="s">
        <v>534</v>
      </c>
      <c r="C11" s="7"/>
      <c r="D11" s="7"/>
      <c r="E11" s="7"/>
      <c r="F11" s="7"/>
      <c r="G11" s="7"/>
      <c r="H11" s="7"/>
      <c r="I11" s="7"/>
    </row>
    <row r="12" spans="1:9" x14ac:dyDescent="0.2">
      <c r="B12" s="2" t="s">
        <v>535</v>
      </c>
      <c r="C12" s="37">
        <v>-7375000</v>
      </c>
      <c r="D12" s="37">
        <v>-10650000</v>
      </c>
      <c r="E12" s="37">
        <v>-12150000</v>
      </c>
      <c r="F12" s="37">
        <v>-12150000</v>
      </c>
      <c r="G12" s="37">
        <v>-30450000</v>
      </c>
      <c r="H12" s="37">
        <v>-9000000</v>
      </c>
      <c r="I12" s="37">
        <v>0</v>
      </c>
    </row>
    <row r="13" spans="1:9" x14ac:dyDescent="0.2">
      <c r="A13" s="28"/>
      <c r="B13" s="28" t="s">
        <v>536</v>
      </c>
      <c r="C13" s="34">
        <f t="shared" ref="C13:I13" si="1">C12</f>
        <v>-7375000</v>
      </c>
      <c r="D13" s="34">
        <f t="shared" si="1"/>
        <v>-10650000</v>
      </c>
      <c r="E13" s="34">
        <f t="shared" si="1"/>
        <v>-12150000</v>
      </c>
      <c r="F13" s="34">
        <f t="shared" si="1"/>
        <v>-12150000</v>
      </c>
      <c r="G13" s="34">
        <f t="shared" si="1"/>
        <v>-30450000</v>
      </c>
      <c r="H13" s="34">
        <f t="shared" si="1"/>
        <v>-9000000</v>
      </c>
      <c r="I13" s="34">
        <f t="shared" si="1"/>
        <v>0</v>
      </c>
    </row>
    <row r="15" spans="1:9" ht="17" x14ac:dyDescent="0.2">
      <c r="B15" s="6" t="s">
        <v>537</v>
      </c>
      <c r="C15" s="7"/>
      <c r="D15" s="7"/>
      <c r="E15" s="7"/>
      <c r="F15" s="7"/>
      <c r="G15" s="7"/>
      <c r="H15" s="7"/>
      <c r="I15" s="7"/>
    </row>
    <row r="16" spans="1:9" x14ac:dyDescent="0.2">
      <c r="B16" s="2" t="s">
        <v>538</v>
      </c>
      <c r="C16" s="20">
        <v>7500000</v>
      </c>
      <c r="D16" s="20">
        <v>40000000</v>
      </c>
      <c r="E16" s="20">
        <v>0</v>
      </c>
      <c r="F16" s="20">
        <v>60000000</v>
      </c>
      <c r="G16" s="20">
        <v>0</v>
      </c>
      <c r="H16" s="20">
        <v>150000000</v>
      </c>
      <c r="I16" s="20">
        <v>0</v>
      </c>
    </row>
    <row r="17" spans="1:9" x14ac:dyDescent="0.2">
      <c r="B17" s="2" t="s">
        <v>539</v>
      </c>
      <c r="C17" s="20">
        <v>2500000</v>
      </c>
      <c r="D17" s="20">
        <v>14496827</v>
      </c>
      <c r="E17" s="37">
        <v>-3641599</v>
      </c>
      <c r="F17" s="20">
        <v>20737923</v>
      </c>
      <c r="G17" s="37">
        <v>-6354526</v>
      </c>
      <c r="H17" s="20">
        <v>49574106</v>
      </c>
      <c r="I17" s="37">
        <v>-15750588</v>
      </c>
    </row>
    <row r="18" spans="1:9" x14ac:dyDescent="0.2">
      <c r="B18" s="2" t="s">
        <v>540</v>
      </c>
      <c r="C18" s="37">
        <v>-129909</v>
      </c>
      <c r="D18" s="37">
        <v>-855453</v>
      </c>
      <c r="E18" s="37">
        <v>-906767</v>
      </c>
      <c r="F18" s="37">
        <v>-1515309</v>
      </c>
      <c r="G18" s="37">
        <v>-2062446</v>
      </c>
      <c r="H18" s="37">
        <v>-3737518</v>
      </c>
      <c r="I18" s="37">
        <v>-5124500</v>
      </c>
    </row>
    <row r="19" spans="1:9" x14ac:dyDescent="0.2">
      <c r="A19" s="28"/>
      <c r="B19" s="28" t="s">
        <v>541</v>
      </c>
      <c r="C19" s="34">
        <f t="shared" ref="C19:I19" si="2">C16+C17+C18</f>
        <v>9870091</v>
      </c>
      <c r="D19" s="34">
        <f t="shared" si="2"/>
        <v>53641374</v>
      </c>
      <c r="E19" s="34">
        <f t="shared" si="2"/>
        <v>-4548366</v>
      </c>
      <c r="F19" s="34">
        <f t="shared" si="2"/>
        <v>79222614</v>
      </c>
      <c r="G19" s="34">
        <f t="shared" si="2"/>
        <v>-8416972</v>
      </c>
      <c r="H19" s="34">
        <f t="shared" si="2"/>
        <v>195836588</v>
      </c>
      <c r="I19" s="34">
        <f t="shared" si="2"/>
        <v>-20875088</v>
      </c>
    </row>
    <row r="21" spans="1:9" ht="17" x14ac:dyDescent="0.2">
      <c r="B21" s="6" t="s">
        <v>542</v>
      </c>
      <c r="C21" s="7"/>
      <c r="D21" s="7"/>
      <c r="E21" s="7"/>
      <c r="F21" s="7"/>
      <c r="G21" s="7"/>
      <c r="H21" s="7"/>
      <c r="I21" s="7"/>
    </row>
    <row r="22" spans="1:9" x14ac:dyDescent="0.2">
      <c r="B22" s="2" t="s">
        <v>543</v>
      </c>
      <c r="C22" s="20">
        <v>682500</v>
      </c>
      <c r="D22" s="20">
        <v>1289092</v>
      </c>
      <c r="E22" s="20">
        <v>49613513</v>
      </c>
      <c r="F22" s="20">
        <v>139487718</v>
      </c>
      <c r="G22" s="20">
        <v>224151798</v>
      </c>
      <c r="H22" s="20">
        <v>478384683</v>
      </c>
      <c r="I22" s="20">
        <v>684959946</v>
      </c>
    </row>
    <row r="23" spans="1:9" x14ac:dyDescent="0.2">
      <c r="B23" s="2" t="s">
        <v>544</v>
      </c>
      <c r="C23" s="20">
        <f t="shared" ref="C23:I23" si="3">C9+C13+C19</f>
        <v>-261669.59999999963</v>
      </c>
      <c r="D23" s="20">
        <f t="shared" si="3"/>
        <v>45786399.799284004</v>
      </c>
      <c r="E23" s="20">
        <f t="shared" si="3"/>
        <v>26522591.652436003</v>
      </c>
      <c r="F23" s="20">
        <f t="shared" si="3"/>
        <v>147950994.062372</v>
      </c>
      <c r="G23" s="20">
        <f t="shared" si="3"/>
        <v>81052349.484531999</v>
      </c>
      <c r="H23" s="20">
        <f t="shared" si="3"/>
        <v>338265088.68719196</v>
      </c>
      <c r="I23" s="20">
        <f t="shared" si="3"/>
        <v>137043100.76583201</v>
      </c>
    </row>
    <row r="24" spans="1:9" x14ac:dyDescent="0.2">
      <c r="A24" s="28"/>
      <c r="B24" s="28" t="s">
        <v>545</v>
      </c>
      <c r="C24" s="34">
        <f t="shared" ref="C24:I24" si="4">C22+C23</f>
        <v>420830.40000000037</v>
      </c>
      <c r="D24" s="34">
        <f t="shared" si="4"/>
        <v>47075491.799284004</v>
      </c>
      <c r="E24" s="34">
        <f t="shared" si="4"/>
        <v>76136104.652436003</v>
      </c>
      <c r="F24" s="34">
        <f t="shared" si="4"/>
        <v>287438712.06237197</v>
      </c>
      <c r="G24" s="34">
        <f t="shared" si="4"/>
        <v>305204147.484532</v>
      </c>
      <c r="H24" s="34">
        <f t="shared" si="4"/>
        <v>816649771.68719196</v>
      </c>
      <c r="I24" s="34">
        <f t="shared" si="4"/>
        <v>822003046.76583195</v>
      </c>
    </row>
    <row r="26" spans="1:9" x14ac:dyDescent="0.2">
      <c r="B26" s="1" t="s">
        <v>546</v>
      </c>
      <c r="C26" s="78" t="s">
        <v>547</v>
      </c>
      <c r="D26" s="72"/>
      <c r="E26" s="72"/>
      <c r="F26" s="72"/>
      <c r="G26" s="72"/>
      <c r="H26" s="72"/>
      <c r="I26" s="72"/>
    </row>
    <row r="28" spans="1:9" ht="17" x14ac:dyDescent="0.2">
      <c r="B28" s="6" t="s">
        <v>548</v>
      </c>
      <c r="C28" s="7"/>
      <c r="D28" s="7"/>
      <c r="E28" s="7"/>
      <c r="F28" s="7"/>
      <c r="G28" s="7"/>
      <c r="H28" s="7"/>
      <c r="I28" s="7"/>
    </row>
    <row r="29" spans="1:9" ht="16" x14ac:dyDescent="0.2">
      <c r="B29" s="9" t="s">
        <v>549</v>
      </c>
      <c r="C29" s="9" t="s">
        <v>97</v>
      </c>
      <c r="D29" s="9" t="s">
        <v>550</v>
      </c>
      <c r="E29" s="9" t="s">
        <v>551</v>
      </c>
      <c r="F29" s="9" t="s">
        <v>552</v>
      </c>
      <c r="G29" s="9" t="s">
        <v>553</v>
      </c>
      <c r="H29" s="9" t="s">
        <v>554</v>
      </c>
    </row>
    <row r="30" spans="1:9" x14ac:dyDescent="0.2">
      <c r="B30" s="2" t="s">
        <v>258</v>
      </c>
      <c r="C30" s="14">
        <v>2500000</v>
      </c>
      <c r="D30" s="2" t="s">
        <v>555</v>
      </c>
      <c r="E30" s="2" t="s">
        <v>556</v>
      </c>
      <c r="F30" s="2" t="s">
        <v>128</v>
      </c>
      <c r="G30" s="2" t="s">
        <v>557</v>
      </c>
      <c r="H30" s="20">
        <v>77193</v>
      </c>
    </row>
    <row r="31" spans="1:9" x14ac:dyDescent="0.2">
      <c r="B31" s="2" t="s">
        <v>558</v>
      </c>
      <c r="C31" s="14">
        <v>17000000</v>
      </c>
      <c r="D31" s="2" t="s">
        <v>555</v>
      </c>
      <c r="E31" s="2" t="s">
        <v>556</v>
      </c>
      <c r="F31" s="2" t="s">
        <v>289</v>
      </c>
      <c r="G31" s="2" t="s">
        <v>559</v>
      </c>
      <c r="H31" s="20">
        <v>524909</v>
      </c>
    </row>
    <row r="32" spans="1:9" x14ac:dyDescent="0.2">
      <c r="B32" s="2" t="s">
        <v>560</v>
      </c>
      <c r="C32" s="14">
        <v>30000000</v>
      </c>
      <c r="D32" s="2" t="s">
        <v>555</v>
      </c>
      <c r="E32" s="2" t="s">
        <v>556</v>
      </c>
      <c r="F32" s="2" t="s">
        <v>561</v>
      </c>
      <c r="G32" s="2" t="s">
        <v>559</v>
      </c>
      <c r="H32" s="20">
        <v>926310</v>
      </c>
    </row>
    <row r="33" spans="2:9" x14ac:dyDescent="0.2">
      <c r="B33" s="2" t="s">
        <v>562</v>
      </c>
      <c r="C33" s="14">
        <v>75000000</v>
      </c>
      <c r="D33" s="2" t="s">
        <v>555</v>
      </c>
      <c r="E33" s="2" t="s">
        <v>556</v>
      </c>
      <c r="F33" s="2" t="s">
        <v>563</v>
      </c>
      <c r="G33" s="2" t="s">
        <v>559</v>
      </c>
      <c r="H33" s="20">
        <v>2315776</v>
      </c>
    </row>
    <row r="35" spans="2:9" x14ac:dyDescent="0.2">
      <c r="B35" s="78" t="s">
        <v>564</v>
      </c>
      <c r="C35" s="72"/>
      <c r="D35" s="72"/>
      <c r="E35" s="72"/>
      <c r="F35" s="72"/>
      <c r="G35" s="72"/>
      <c r="H35" s="72"/>
      <c r="I35" s="72"/>
    </row>
  </sheetData>
  <mergeCells count="2">
    <mergeCell ref="C26:I26"/>
    <mergeCell ref="B35:I35"/>
  </mergeCells>
  <pageMargins left="0.75" right="0.75" top="1" bottom="1" header="0.5" footer="0.5"/>
  <pageSetup fitToHeight="0" orientation="landscape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35400"/>
    <pageSetUpPr fitToPage="1"/>
  </sheetPr>
  <dimension ref="A1:J39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4" customWidth="1"/>
    <col min="2" max="2" width="22" customWidth="1"/>
    <col min="3" max="3" width="18" customWidth="1"/>
    <col min="4" max="5" width="14" customWidth="1"/>
    <col min="6" max="6" width="16" customWidth="1"/>
    <col min="7" max="7" width="14" customWidth="1"/>
    <col min="8" max="10" width="16" customWidth="1"/>
  </cols>
  <sheetData>
    <row r="1" spans="2:10" ht="21" x14ac:dyDescent="0.25">
      <c r="B1" s="4" t="s">
        <v>565</v>
      </c>
    </row>
    <row r="2" spans="2:10" x14ac:dyDescent="0.2">
      <c r="B2" s="5" t="s">
        <v>566</v>
      </c>
    </row>
    <row r="4" spans="2:10" ht="32" x14ac:dyDescent="0.2">
      <c r="B4" s="9" t="s">
        <v>309</v>
      </c>
      <c r="C4" s="9" t="s">
        <v>310</v>
      </c>
      <c r="D4" s="9" t="s">
        <v>567</v>
      </c>
      <c r="E4" s="9" t="s">
        <v>568</v>
      </c>
      <c r="F4" s="9" t="s">
        <v>313</v>
      </c>
      <c r="G4" s="9" t="s">
        <v>569</v>
      </c>
      <c r="H4" s="9" t="s">
        <v>570</v>
      </c>
      <c r="I4" s="9" t="s">
        <v>571</v>
      </c>
      <c r="J4" s="9" t="s">
        <v>572</v>
      </c>
    </row>
    <row r="5" spans="2:10" x14ac:dyDescent="0.2">
      <c r="B5" s="2" t="s">
        <v>573</v>
      </c>
      <c r="C5" s="2" t="s">
        <v>316</v>
      </c>
      <c r="D5" s="20">
        <f>'FACILITY AFE'!D31</f>
        <v>3300000</v>
      </c>
      <c r="E5" s="14">
        <v>3300000</v>
      </c>
      <c r="F5" s="2" t="s">
        <v>317</v>
      </c>
      <c r="G5" s="2" t="s">
        <v>574</v>
      </c>
      <c r="H5" s="22">
        <v>0.04</v>
      </c>
      <c r="I5" s="18">
        <f>(ASSUMPTIONS!$C$7/ASSUMPTIONS!$C$11*H5)+(ASSUMPTIONS!$C$12*H5)+ASSUMPTIONS!$C$28+(ASSUMPTIONS!$C$26*ASSUMPTIONS!$C$27)</f>
        <v>2.8668821052631581</v>
      </c>
      <c r="J5" s="23" t="s">
        <v>318</v>
      </c>
    </row>
    <row r="6" spans="2:10" x14ac:dyDescent="0.2">
      <c r="B6" s="2" t="s">
        <v>319</v>
      </c>
      <c r="C6" s="2" t="s">
        <v>320</v>
      </c>
      <c r="D6" s="20">
        <f>'FACILITY AFE'!D51</f>
        <v>3075000</v>
      </c>
      <c r="E6" s="14">
        <v>3075000</v>
      </c>
      <c r="F6" s="2" t="s">
        <v>321</v>
      </c>
      <c r="G6" s="2" t="s">
        <v>575</v>
      </c>
      <c r="H6" s="22">
        <v>0.04</v>
      </c>
      <c r="I6" s="18">
        <f>(ASSUMPTIONS!$C$7/ASSUMPTIONS!$C$11*H6)+(ASSUMPTIONS!$C$12*H6)+ASSUMPTIONS!$C$28+(ASSUMPTIONS!$C$26*ASSUMPTIONS!$C$27)</f>
        <v>2.8668821052631581</v>
      </c>
      <c r="J6" s="23" t="s">
        <v>318</v>
      </c>
    </row>
    <row r="7" spans="2:10" x14ac:dyDescent="0.2">
      <c r="B7" s="2" t="s">
        <v>322</v>
      </c>
      <c r="C7" s="2" t="s">
        <v>323</v>
      </c>
      <c r="D7" s="20">
        <f>'FACILITY AFE'!D51</f>
        <v>3075000</v>
      </c>
      <c r="E7" s="14">
        <v>3075000</v>
      </c>
      <c r="F7" s="2" t="s">
        <v>324</v>
      </c>
      <c r="G7" s="2" t="s">
        <v>575</v>
      </c>
      <c r="H7" s="22">
        <v>5.9499999999999997E-2</v>
      </c>
      <c r="I7" s="18">
        <f>(ASSUMPTIONS!$C$7/ASSUMPTIONS!$C$11*H7)+(ASSUMPTIONS!$C$12*H7)+ASSUMPTIONS!$C$28+(ASSUMPTIONS!$C$26*ASSUMPTIONS!$C$27)</f>
        <v>3.8013426315789474</v>
      </c>
      <c r="J7" s="23" t="s">
        <v>318</v>
      </c>
    </row>
    <row r="8" spans="2:10" x14ac:dyDescent="0.2">
      <c r="B8" s="2" t="s">
        <v>325</v>
      </c>
      <c r="C8" s="2" t="s">
        <v>326</v>
      </c>
      <c r="D8" s="20">
        <f>'FACILITY AFE'!D51</f>
        <v>3075000</v>
      </c>
      <c r="E8" s="14">
        <v>3075000</v>
      </c>
      <c r="F8" s="2" t="s">
        <v>327</v>
      </c>
      <c r="G8" s="2" t="s">
        <v>575</v>
      </c>
      <c r="H8" s="22">
        <v>4.1300000000000003E-2</v>
      </c>
      <c r="I8" s="18">
        <f>(ASSUMPTIONS!$C$7/ASSUMPTIONS!$C$11*H8)+(ASSUMPTIONS!$C$12*H8)+ASSUMPTIONS!$C$28+(ASSUMPTIONS!$C$26*ASSUMPTIONS!$C$27)</f>
        <v>2.9291794736842109</v>
      </c>
      <c r="J8" s="23" t="s">
        <v>318</v>
      </c>
    </row>
    <row r="9" spans="2:10" x14ac:dyDescent="0.2">
      <c r="B9" s="2" t="s">
        <v>328</v>
      </c>
      <c r="C9" s="2" t="s">
        <v>329</v>
      </c>
      <c r="D9" s="20">
        <f>'FACILITY AFE'!D51</f>
        <v>3075000</v>
      </c>
      <c r="E9" s="14">
        <v>3075000</v>
      </c>
      <c r="F9" s="2" t="s">
        <v>330</v>
      </c>
      <c r="G9" s="2" t="s">
        <v>576</v>
      </c>
      <c r="H9" s="22">
        <v>5.8700000000000002E-2</v>
      </c>
      <c r="I9" s="18">
        <f>(ASSUMPTIONS!$C$7/ASSUMPTIONS!$C$11*H9)+(ASSUMPTIONS!$C$12*H9)+ASSUMPTIONS!$C$28+(ASSUMPTIONS!$C$26*ASSUMPTIONS!$C$27)</f>
        <v>3.7630057894736844</v>
      </c>
      <c r="J9" s="39" t="s">
        <v>331</v>
      </c>
    </row>
    <row r="10" spans="2:10" x14ac:dyDescent="0.2">
      <c r="B10" s="2" t="s">
        <v>332</v>
      </c>
      <c r="C10" s="2" t="s">
        <v>333</v>
      </c>
      <c r="D10" s="20">
        <f>'FACILITY AFE'!D51</f>
        <v>3075000</v>
      </c>
      <c r="E10" s="14">
        <v>3075000</v>
      </c>
      <c r="F10" s="2" t="s">
        <v>334</v>
      </c>
      <c r="G10" s="2" t="s">
        <v>576</v>
      </c>
      <c r="H10" s="22">
        <v>4.2900000000000001E-2</v>
      </c>
      <c r="I10" s="18">
        <f>(ASSUMPTIONS!$C$7/ASSUMPTIONS!$C$11*H10)+(ASSUMPTIONS!$C$12*H10)+ASSUMPTIONS!$C$28+(ASSUMPTIONS!$C$26*ASSUMPTIONS!$C$27)</f>
        <v>3.0058531578947369</v>
      </c>
      <c r="J10" s="39" t="s">
        <v>331</v>
      </c>
    </row>
    <row r="11" spans="2:10" x14ac:dyDescent="0.2">
      <c r="B11" s="2" t="s">
        <v>577</v>
      </c>
      <c r="C11" s="2" t="s">
        <v>488</v>
      </c>
      <c r="D11" s="20">
        <f>'FACILITY AFE'!D51</f>
        <v>3075000</v>
      </c>
      <c r="E11" s="14">
        <v>3075000</v>
      </c>
      <c r="F11" s="2" t="s">
        <v>578</v>
      </c>
      <c r="G11" s="2" t="s">
        <v>579</v>
      </c>
      <c r="H11" s="22">
        <v>4.2900000000000001E-2</v>
      </c>
      <c r="I11" s="18">
        <f>(ASSUMPTIONS!$C$7/ASSUMPTIONS!$C$11*H11)+(ASSUMPTIONS!$C$12*H11)+ASSUMPTIONS!$C$28+(ASSUMPTIONS!$C$26*ASSUMPTIONS!$C$27)</f>
        <v>3.0058531578947369</v>
      </c>
      <c r="J11" s="39" t="s">
        <v>331</v>
      </c>
    </row>
    <row r="12" spans="2:10" x14ac:dyDescent="0.2">
      <c r="B12" s="2" t="s">
        <v>580</v>
      </c>
      <c r="C12" s="2" t="s">
        <v>488</v>
      </c>
      <c r="D12" s="20">
        <f>'FACILITY AFE'!D51</f>
        <v>3075000</v>
      </c>
      <c r="E12" s="14">
        <v>3075000</v>
      </c>
      <c r="F12" s="2" t="s">
        <v>581</v>
      </c>
      <c r="G12" s="2" t="s">
        <v>579</v>
      </c>
      <c r="H12" s="22">
        <v>4.2900000000000001E-2</v>
      </c>
      <c r="I12" s="18">
        <f>(ASSUMPTIONS!$C$7/ASSUMPTIONS!$C$11*H12)+(ASSUMPTIONS!$C$12*H12)+ASSUMPTIONS!$C$28+(ASSUMPTIONS!$C$26*ASSUMPTIONS!$C$27)</f>
        <v>3.0058531578947369</v>
      </c>
      <c r="J12" s="39" t="s">
        <v>331</v>
      </c>
    </row>
    <row r="13" spans="2:10" x14ac:dyDescent="0.2">
      <c r="B13" s="2" t="s">
        <v>582</v>
      </c>
      <c r="C13" s="2" t="s">
        <v>488</v>
      </c>
      <c r="D13" s="20">
        <f>'FACILITY AFE'!D51</f>
        <v>3075000</v>
      </c>
      <c r="E13" s="14">
        <v>3075000</v>
      </c>
      <c r="F13" s="2" t="s">
        <v>583</v>
      </c>
      <c r="G13" s="2" t="s">
        <v>579</v>
      </c>
      <c r="H13" s="22">
        <v>4.2900000000000001E-2</v>
      </c>
      <c r="I13" s="18">
        <f>(ASSUMPTIONS!$C$7/ASSUMPTIONS!$C$11*H13)+(ASSUMPTIONS!$C$12*H13)+ASSUMPTIONS!$C$28+(ASSUMPTIONS!$C$26*ASSUMPTIONS!$C$27)</f>
        <v>3.0058531578947369</v>
      </c>
      <c r="J13" s="39" t="s">
        <v>331</v>
      </c>
    </row>
    <row r="14" spans="2:10" x14ac:dyDescent="0.2">
      <c r="B14" s="2" t="s">
        <v>584</v>
      </c>
      <c r="C14" s="2" t="s">
        <v>488</v>
      </c>
      <c r="D14" s="20">
        <f>'FACILITY AFE'!D51</f>
        <v>3075000</v>
      </c>
      <c r="E14" s="14">
        <v>3075000</v>
      </c>
      <c r="F14" s="2" t="s">
        <v>585</v>
      </c>
      <c r="G14" s="2" t="s">
        <v>579</v>
      </c>
      <c r="H14" s="22">
        <v>4.2900000000000001E-2</v>
      </c>
      <c r="I14" s="18">
        <f>(ASSUMPTIONS!$C$7/ASSUMPTIONS!$C$11*H14)+(ASSUMPTIONS!$C$12*H14)+ASSUMPTIONS!$C$28+(ASSUMPTIONS!$C$26*ASSUMPTIONS!$C$27)</f>
        <v>3.0058531578947369</v>
      </c>
      <c r="J14" s="39" t="s">
        <v>331</v>
      </c>
    </row>
    <row r="15" spans="2:10" x14ac:dyDescent="0.2">
      <c r="B15" s="2" t="s">
        <v>586</v>
      </c>
      <c r="C15" s="2" t="s">
        <v>488</v>
      </c>
      <c r="D15" s="20">
        <f>'FACILITY AFE'!D51</f>
        <v>3075000</v>
      </c>
      <c r="E15" s="14">
        <v>3075000</v>
      </c>
      <c r="F15" s="2" t="s">
        <v>587</v>
      </c>
      <c r="G15" s="2" t="s">
        <v>579</v>
      </c>
      <c r="H15" s="22">
        <v>4.2900000000000001E-2</v>
      </c>
      <c r="I15" s="18">
        <f>(ASSUMPTIONS!$C$7/ASSUMPTIONS!$C$11*H15)+(ASSUMPTIONS!$C$12*H15)+ASSUMPTIONS!$C$28+(ASSUMPTIONS!$C$26*ASSUMPTIONS!$C$27)</f>
        <v>3.0058531578947369</v>
      </c>
      <c r="J15" s="39" t="s">
        <v>331</v>
      </c>
    </row>
    <row r="16" spans="2:10" x14ac:dyDescent="0.2">
      <c r="B16" s="2" t="s">
        <v>588</v>
      </c>
      <c r="C16" s="2" t="s">
        <v>488</v>
      </c>
      <c r="D16" s="20">
        <f>'FACILITY AFE'!D51</f>
        <v>3075000</v>
      </c>
      <c r="E16" s="14">
        <v>3075000</v>
      </c>
      <c r="F16" s="2" t="s">
        <v>589</v>
      </c>
      <c r="G16" s="2" t="s">
        <v>579</v>
      </c>
      <c r="H16" s="22">
        <v>4.2900000000000001E-2</v>
      </c>
      <c r="I16" s="18">
        <f>(ASSUMPTIONS!$C$7/ASSUMPTIONS!$C$11*H16)+(ASSUMPTIONS!$C$12*H16)+ASSUMPTIONS!$C$28+(ASSUMPTIONS!$C$26*ASSUMPTIONS!$C$27)</f>
        <v>3.0058531578947369</v>
      </c>
      <c r="J16" s="39" t="s">
        <v>331</v>
      </c>
    </row>
    <row r="17" spans="1:10" x14ac:dyDescent="0.2">
      <c r="A17" s="28"/>
      <c r="B17" s="28" t="s">
        <v>590</v>
      </c>
      <c r="C17" s="40">
        <v>10800000</v>
      </c>
      <c r="D17" s="34">
        <f>SUM(D5:D16)</f>
        <v>37125000</v>
      </c>
      <c r="E17" s="28"/>
      <c r="F17" s="28"/>
      <c r="G17" s="28"/>
      <c r="H17" s="28"/>
      <c r="I17" s="28"/>
      <c r="J17" s="28"/>
    </row>
    <row r="19" spans="1:10" ht="17" x14ac:dyDescent="0.2">
      <c r="B19" s="6" t="s">
        <v>591</v>
      </c>
      <c r="C19" s="7"/>
      <c r="D19" s="7"/>
      <c r="E19" s="7"/>
      <c r="F19" s="7"/>
      <c r="G19" s="7"/>
      <c r="H19" s="7"/>
      <c r="I19" s="7"/>
      <c r="J19" s="7"/>
    </row>
    <row r="20" spans="1:10" ht="16" x14ac:dyDescent="0.2">
      <c r="B20" s="9" t="s">
        <v>592</v>
      </c>
      <c r="C20" s="9" t="s">
        <v>593</v>
      </c>
      <c r="D20" s="9" t="s">
        <v>594</v>
      </c>
      <c r="E20" s="9" t="s">
        <v>595</v>
      </c>
      <c r="F20" s="9" t="s">
        <v>596</v>
      </c>
      <c r="G20" s="9" t="s">
        <v>597</v>
      </c>
      <c r="H20" s="9" t="s">
        <v>598</v>
      </c>
    </row>
    <row r="21" spans="1:10" x14ac:dyDescent="0.2">
      <c r="B21" s="2" t="s">
        <v>599</v>
      </c>
      <c r="C21" s="2" t="s">
        <v>600</v>
      </c>
      <c r="D21" s="2" t="s">
        <v>601</v>
      </c>
      <c r="E21" s="2" t="s">
        <v>602</v>
      </c>
      <c r="F21" s="2" t="s">
        <v>603</v>
      </c>
      <c r="G21" s="2" t="s">
        <v>604</v>
      </c>
      <c r="H21" s="2" t="s">
        <v>605</v>
      </c>
    </row>
    <row r="22" spans="1:10" x14ac:dyDescent="0.2">
      <c r="B22" s="2" t="s">
        <v>606</v>
      </c>
      <c r="C22" s="2" t="s">
        <v>607</v>
      </c>
      <c r="D22" s="2" t="s">
        <v>608</v>
      </c>
      <c r="E22" s="2" t="s">
        <v>602</v>
      </c>
      <c r="F22" s="2" t="s">
        <v>286</v>
      </c>
      <c r="G22" s="2" t="s">
        <v>609</v>
      </c>
      <c r="H22" s="2" t="s">
        <v>610</v>
      </c>
    </row>
    <row r="23" spans="1:10" x14ac:dyDescent="0.2">
      <c r="B23" s="2" t="s">
        <v>611</v>
      </c>
      <c r="C23" s="2" t="s">
        <v>612</v>
      </c>
      <c r="D23" s="2" t="s">
        <v>613</v>
      </c>
      <c r="E23" s="2" t="s">
        <v>614</v>
      </c>
      <c r="F23" s="2" t="s">
        <v>286</v>
      </c>
      <c r="G23" s="2" t="s">
        <v>615</v>
      </c>
      <c r="H23" s="2" t="s">
        <v>616</v>
      </c>
    </row>
    <row r="24" spans="1:10" x14ac:dyDescent="0.2">
      <c r="B24" s="2" t="s">
        <v>617</v>
      </c>
      <c r="C24" s="2" t="s">
        <v>618</v>
      </c>
      <c r="D24" s="2" t="s">
        <v>619</v>
      </c>
      <c r="E24" s="2" t="s">
        <v>620</v>
      </c>
      <c r="F24" s="2" t="s">
        <v>286</v>
      </c>
      <c r="G24" s="2" t="s">
        <v>621</v>
      </c>
      <c r="H24" s="2" t="s">
        <v>622</v>
      </c>
    </row>
    <row r="26" spans="1:10" ht="17" x14ac:dyDescent="0.2">
      <c r="B26" s="3" t="s">
        <v>623</v>
      </c>
    </row>
    <row r="27" spans="1:10" x14ac:dyDescent="0.2">
      <c r="B27" s="25"/>
      <c r="C27" s="25" t="s">
        <v>72</v>
      </c>
      <c r="D27" s="25" t="s">
        <v>73</v>
      </c>
      <c r="E27" s="25" t="s">
        <v>74</v>
      </c>
      <c r="F27" s="25" t="s">
        <v>75</v>
      </c>
      <c r="G27" s="25" t="s">
        <v>76</v>
      </c>
      <c r="H27" s="25" t="s">
        <v>77</v>
      </c>
      <c r="I27" s="25" t="s">
        <v>78</v>
      </c>
    </row>
    <row r="28" spans="1:10" x14ac:dyDescent="0.2">
      <c r="B28" s="2" t="s">
        <v>624</v>
      </c>
      <c r="C28" s="21">
        <v>0</v>
      </c>
      <c r="D28" s="21">
        <v>900000</v>
      </c>
      <c r="E28" s="21">
        <v>3600000</v>
      </c>
      <c r="F28" s="21">
        <v>3600000</v>
      </c>
      <c r="G28" s="21">
        <v>5400000</v>
      </c>
      <c r="H28" s="21">
        <v>9000000</v>
      </c>
      <c r="I28" s="21">
        <v>10800000</v>
      </c>
    </row>
    <row r="29" spans="1:10" x14ac:dyDescent="0.2">
      <c r="B29" s="2" t="s">
        <v>625</v>
      </c>
      <c r="C29" s="21">
        <v>0</v>
      </c>
      <c r="D29" s="21">
        <v>472500</v>
      </c>
      <c r="E29" s="21">
        <v>3112500</v>
      </c>
      <c r="F29" s="21">
        <v>5662500</v>
      </c>
      <c r="G29" s="21">
        <v>8437500</v>
      </c>
      <c r="H29" s="21">
        <v>10575000</v>
      </c>
      <c r="I29" s="21">
        <v>10800000</v>
      </c>
    </row>
    <row r="30" spans="1:10" x14ac:dyDescent="0.2">
      <c r="B30" s="2" t="s">
        <v>626</v>
      </c>
      <c r="C30" s="19">
        <v>0</v>
      </c>
      <c r="D30" s="19">
        <f t="shared" ref="D30:I30" si="0">D29/D28</f>
        <v>0.52500000000000002</v>
      </c>
      <c r="E30" s="19">
        <f t="shared" si="0"/>
        <v>0.86458333333333337</v>
      </c>
      <c r="F30" s="19">
        <f t="shared" si="0"/>
        <v>1.5729166666666667</v>
      </c>
      <c r="G30" s="19">
        <f t="shared" si="0"/>
        <v>1.5625</v>
      </c>
      <c r="H30" s="19">
        <f t="shared" si="0"/>
        <v>1.175</v>
      </c>
      <c r="I30" s="19">
        <f t="shared" si="0"/>
        <v>1</v>
      </c>
    </row>
    <row r="32" spans="1:10" ht="17" x14ac:dyDescent="0.2">
      <c r="B32" s="6" t="s">
        <v>627</v>
      </c>
      <c r="C32" s="7"/>
      <c r="D32" s="7"/>
      <c r="E32" s="7"/>
      <c r="F32" s="7"/>
      <c r="G32" s="7"/>
      <c r="H32" s="7"/>
      <c r="I32" s="7"/>
      <c r="J32" s="7"/>
    </row>
    <row r="33" spans="2:8" ht="32" x14ac:dyDescent="0.2">
      <c r="B33" s="9" t="s">
        <v>309</v>
      </c>
      <c r="C33" s="9" t="s">
        <v>568</v>
      </c>
      <c r="D33" s="9" t="s">
        <v>628</v>
      </c>
      <c r="E33" s="9" t="s">
        <v>629</v>
      </c>
      <c r="F33" s="9" t="s">
        <v>630</v>
      </c>
      <c r="G33" s="9" t="s">
        <v>631</v>
      </c>
      <c r="H33" s="9" t="s">
        <v>632</v>
      </c>
    </row>
    <row r="34" spans="2:8" x14ac:dyDescent="0.2">
      <c r="B34" s="2" t="s">
        <v>573</v>
      </c>
      <c r="C34" s="14">
        <v>3300000</v>
      </c>
      <c r="D34" s="20">
        <f>ASSUMPTIONS!$C$22*ASSUMPTIONS!$C$15</f>
        <v>22500000</v>
      </c>
      <c r="E34" s="20">
        <v>4574594</v>
      </c>
      <c r="F34" s="20">
        <f t="shared" ref="F34:F39" si="1">D34-E34</f>
        <v>17925406</v>
      </c>
      <c r="G34" s="52">
        <f t="shared" ref="G34:G39" si="2">C34/(F34/12)</f>
        <v>2.2091549837141766</v>
      </c>
      <c r="H34" s="53">
        <f>ASSUMPTIONS!$C$22*ASSUMPTIONS!$C$68</f>
        <v>2700000</v>
      </c>
    </row>
    <row r="35" spans="2:8" x14ac:dyDescent="0.2">
      <c r="B35" s="2" t="s">
        <v>319</v>
      </c>
      <c r="C35" s="14">
        <v>3075000</v>
      </c>
      <c r="D35" s="20">
        <f>ASSUMPTIONS!$C$22*ASSUMPTIONS!$C$15</f>
        <v>22500000</v>
      </c>
      <c r="E35" s="20">
        <v>4574594</v>
      </c>
      <c r="F35" s="20">
        <f t="shared" si="1"/>
        <v>17925406</v>
      </c>
      <c r="G35" s="52">
        <f t="shared" si="2"/>
        <v>2.0585307802791188</v>
      </c>
      <c r="H35" s="53">
        <f>ASSUMPTIONS!$C$22*ASSUMPTIONS!$C$68</f>
        <v>2700000</v>
      </c>
    </row>
    <row r="36" spans="2:8" x14ac:dyDescent="0.2">
      <c r="B36" s="2" t="s">
        <v>322</v>
      </c>
      <c r="C36" s="14">
        <v>3075000</v>
      </c>
      <c r="D36" s="20">
        <f>ASSUMPTIONS!$C$22*ASSUMPTIONS!$C$15</f>
        <v>22500000</v>
      </c>
      <c r="E36" s="20">
        <v>5415608</v>
      </c>
      <c r="F36" s="20">
        <f t="shared" si="1"/>
        <v>17084392</v>
      </c>
      <c r="G36" s="52">
        <f t="shared" si="2"/>
        <v>2.1598661515142008</v>
      </c>
      <c r="H36" s="53">
        <f>ASSUMPTIONS!$C$22*ASSUMPTIONS!$C$68</f>
        <v>2700000</v>
      </c>
    </row>
    <row r="37" spans="2:8" x14ac:dyDescent="0.2">
      <c r="B37" s="2" t="s">
        <v>325</v>
      </c>
      <c r="C37" s="14">
        <v>3075000</v>
      </c>
      <c r="D37" s="20">
        <f>ASSUMPTIONS!$C$22*ASSUMPTIONS!$C$15</f>
        <v>22500000</v>
      </c>
      <c r="E37" s="20">
        <v>4630662</v>
      </c>
      <c r="F37" s="20">
        <f t="shared" si="1"/>
        <v>17869338</v>
      </c>
      <c r="G37" s="52">
        <f t="shared" si="2"/>
        <v>2.0649897606727232</v>
      </c>
      <c r="H37" s="53">
        <f>ASSUMPTIONS!$C$22*ASSUMPTIONS!$C$68</f>
        <v>2700000</v>
      </c>
    </row>
    <row r="38" spans="2:8" x14ac:dyDescent="0.2">
      <c r="B38" s="2" t="s">
        <v>328</v>
      </c>
      <c r="C38" s="14">
        <v>3075000</v>
      </c>
      <c r="D38" s="20">
        <f>ASSUMPTIONS!$C$22*ASSUMPTIONS!$C$15</f>
        <v>22500000</v>
      </c>
      <c r="E38" s="20">
        <v>5381105</v>
      </c>
      <c r="F38" s="20">
        <f t="shared" si="1"/>
        <v>17118895</v>
      </c>
      <c r="G38" s="52">
        <f t="shared" si="2"/>
        <v>2.1555129580501546</v>
      </c>
      <c r="H38" s="54">
        <v>0</v>
      </c>
    </row>
    <row r="39" spans="2:8" x14ac:dyDescent="0.2">
      <c r="B39" s="2" t="s">
        <v>332</v>
      </c>
      <c r="C39" s="14">
        <v>3075000</v>
      </c>
      <c r="D39" s="20">
        <f>ASSUMPTIONS!$C$22*ASSUMPTIONS!$C$15</f>
        <v>22500000</v>
      </c>
      <c r="E39" s="20">
        <v>4699668</v>
      </c>
      <c r="F39" s="20">
        <f t="shared" si="1"/>
        <v>17800332</v>
      </c>
      <c r="G39" s="52">
        <f t="shared" si="2"/>
        <v>2.0729950430138047</v>
      </c>
      <c r="H39" s="54">
        <v>0</v>
      </c>
    </row>
  </sheetData>
  <pageMargins left="0.75" right="0.75" top="1" bottom="1" header="0.5" footer="0.5"/>
  <pageSetup fitToHeight="0" orientation="landscape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D35400"/>
    <pageSetUpPr fitToPage="1"/>
  </sheetPr>
  <dimension ref="B1:E67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4" customWidth="1"/>
    <col min="2" max="2" width="35" customWidth="1"/>
    <col min="3" max="3" width="32" customWidth="1"/>
    <col min="4" max="4" width="18" customWidth="1"/>
    <col min="5" max="5" width="25" customWidth="1"/>
  </cols>
  <sheetData>
    <row r="1" spans="2:5" ht="21" x14ac:dyDescent="0.25">
      <c r="B1" s="4" t="s">
        <v>633</v>
      </c>
    </row>
    <row r="2" spans="2:5" x14ac:dyDescent="0.2">
      <c r="B2" s="5" t="s">
        <v>634</v>
      </c>
    </row>
    <row r="4" spans="2:5" ht="17" x14ac:dyDescent="0.2">
      <c r="B4" s="77" t="s">
        <v>635</v>
      </c>
      <c r="C4" s="72"/>
      <c r="D4" s="72"/>
      <c r="E4" s="72"/>
    </row>
    <row r="5" spans="2:5" ht="16" x14ac:dyDescent="0.2">
      <c r="B5" s="9" t="s">
        <v>96</v>
      </c>
      <c r="C5" s="9" t="s">
        <v>636</v>
      </c>
      <c r="D5" s="9" t="s">
        <v>637</v>
      </c>
      <c r="E5" s="9" t="s">
        <v>53</v>
      </c>
    </row>
    <row r="6" spans="2:5" x14ac:dyDescent="0.2">
      <c r="B6" s="2" t="s">
        <v>638</v>
      </c>
      <c r="C6" s="2" t="s">
        <v>639</v>
      </c>
      <c r="D6" s="14">
        <v>50000</v>
      </c>
      <c r="E6" s="5"/>
    </row>
    <row r="7" spans="2:5" x14ac:dyDescent="0.2">
      <c r="B7" s="2" t="s">
        <v>640</v>
      </c>
      <c r="C7" s="2" t="s">
        <v>641</v>
      </c>
      <c r="D7" s="14">
        <v>700000</v>
      </c>
      <c r="E7" s="5"/>
    </row>
    <row r="8" spans="2:5" x14ac:dyDescent="0.2">
      <c r="B8" s="2" t="s">
        <v>640</v>
      </c>
      <c r="C8" s="2" t="s">
        <v>642</v>
      </c>
      <c r="D8" s="14">
        <v>250000</v>
      </c>
      <c r="E8" s="5"/>
    </row>
    <row r="9" spans="2:5" x14ac:dyDescent="0.2">
      <c r="B9" s="2" t="s">
        <v>640</v>
      </c>
      <c r="C9" s="2" t="s">
        <v>643</v>
      </c>
      <c r="D9" s="14">
        <v>300000</v>
      </c>
      <c r="E9" s="5"/>
    </row>
    <row r="10" spans="2:5" x14ac:dyDescent="0.2">
      <c r="B10" s="2" t="s">
        <v>640</v>
      </c>
      <c r="C10" s="2" t="s">
        <v>644</v>
      </c>
      <c r="D10" s="14">
        <v>150000</v>
      </c>
      <c r="E10" s="5"/>
    </row>
    <row r="11" spans="2:5" x14ac:dyDescent="0.2">
      <c r="B11" s="2" t="s">
        <v>640</v>
      </c>
      <c r="C11" s="2" t="s">
        <v>645</v>
      </c>
      <c r="D11" s="14">
        <v>50000</v>
      </c>
      <c r="E11" s="5"/>
    </row>
    <row r="12" spans="2:5" x14ac:dyDescent="0.2">
      <c r="B12" s="2" t="s">
        <v>640</v>
      </c>
      <c r="C12" s="2" t="s">
        <v>646</v>
      </c>
      <c r="D12" s="14">
        <v>30000</v>
      </c>
      <c r="E12" s="5"/>
    </row>
    <row r="13" spans="2:5" x14ac:dyDescent="0.2">
      <c r="B13" s="2" t="s">
        <v>640</v>
      </c>
      <c r="C13" s="2" t="s">
        <v>647</v>
      </c>
      <c r="D13" s="14">
        <v>50000</v>
      </c>
      <c r="E13" s="5"/>
    </row>
    <row r="14" spans="2:5" x14ac:dyDescent="0.2">
      <c r="B14" s="2" t="s">
        <v>640</v>
      </c>
      <c r="C14" s="2" t="s">
        <v>648</v>
      </c>
      <c r="D14" s="14">
        <v>50000</v>
      </c>
      <c r="E14" s="5"/>
    </row>
    <row r="15" spans="2:5" x14ac:dyDescent="0.2">
      <c r="B15" s="2" t="s">
        <v>649</v>
      </c>
      <c r="C15" s="2" t="s">
        <v>650</v>
      </c>
      <c r="D15" s="14">
        <v>140000</v>
      </c>
      <c r="E15" s="5"/>
    </row>
    <row r="16" spans="2:5" x14ac:dyDescent="0.2">
      <c r="B16" s="2" t="s">
        <v>649</v>
      </c>
      <c r="C16" s="2" t="s">
        <v>651</v>
      </c>
      <c r="D16" s="14">
        <v>90000</v>
      </c>
      <c r="E16" s="5"/>
    </row>
    <row r="17" spans="2:5" x14ac:dyDescent="0.2">
      <c r="B17" s="2" t="s">
        <v>649</v>
      </c>
      <c r="C17" s="2" t="s">
        <v>652</v>
      </c>
      <c r="D17" s="14">
        <v>30000</v>
      </c>
      <c r="E17" s="5"/>
    </row>
    <row r="18" spans="2:5" x14ac:dyDescent="0.2">
      <c r="B18" s="2" t="s">
        <v>653</v>
      </c>
      <c r="C18" s="2" t="s">
        <v>654</v>
      </c>
      <c r="D18" s="14">
        <v>40000</v>
      </c>
      <c r="E18" s="5"/>
    </row>
    <row r="19" spans="2:5" x14ac:dyDescent="0.2">
      <c r="B19" s="2" t="s">
        <v>653</v>
      </c>
      <c r="C19" s="2" t="s">
        <v>655</v>
      </c>
      <c r="D19" s="14">
        <v>80000</v>
      </c>
      <c r="E19" s="5"/>
    </row>
    <row r="20" spans="2:5" x14ac:dyDescent="0.2">
      <c r="B20" s="2" t="s">
        <v>656</v>
      </c>
      <c r="C20" s="2" t="s">
        <v>657</v>
      </c>
      <c r="D20" s="14">
        <v>10000</v>
      </c>
      <c r="E20" s="5"/>
    </row>
    <row r="21" spans="2:5" x14ac:dyDescent="0.2">
      <c r="B21" s="2" t="s">
        <v>658</v>
      </c>
      <c r="C21" s="2" t="s">
        <v>659</v>
      </c>
      <c r="D21" s="14">
        <v>150000</v>
      </c>
      <c r="E21" s="5"/>
    </row>
    <row r="22" spans="2:5" x14ac:dyDescent="0.2">
      <c r="B22" s="2" t="s">
        <v>658</v>
      </c>
      <c r="C22" s="2" t="s">
        <v>660</v>
      </c>
      <c r="D22" s="14">
        <v>100000</v>
      </c>
      <c r="E22" s="5"/>
    </row>
    <row r="23" spans="2:5" x14ac:dyDescent="0.2">
      <c r="B23" s="2" t="s">
        <v>658</v>
      </c>
      <c r="C23" s="2" t="s">
        <v>661</v>
      </c>
      <c r="D23" s="14">
        <v>50000</v>
      </c>
      <c r="E23" s="5"/>
    </row>
    <row r="24" spans="2:5" x14ac:dyDescent="0.2">
      <c r="B24" s="2" t="s">
        <v>662</v>
      </c>
      <c r="C24" s="2" t="s">
        <v>663</v>
      </c>
      <c r="D24" s="14">
        <v>50000</v>
      </c>
      <c r="E24" s="5"/>
    </row>
    <row r="25" spans="2:5" x14ac:dyDescent="0.2">
      <c r="B25" s="2" t="s">
        <v>662</v>
      </c>
      <c r="C25" s="2" t="s">
        <v>664</v>
      </c>
      <c r="D25" s="14">
        <v>20000</v>
      </c>
      <c r="E25" s="5"/>
    </row>
    <row r="26" spans="2:5" x14ac:dyDescent="0.2">
      <c r="B26" s="2" t="s">
        <v>665</v>
      </c>
      <c r="C26" s="2" t="s">
        <v>666</v>
      </c>
      <c r="D26" s="14">
        <v>300000</v>
      </c>
      <c r="E26" s="5"/>
    </row>
    <row r="27" spans="2:5" x14ac:dyDescent="0.2">
      <c r="B27" s="2" t="s">
        <v>667</v>
      </c>
      <c r="C27" s="2" t="s">
        <v>668</v>
      </c>
      <c r="D27" s="14">
        <v>50000</v>
      </c>
      <c r="E27" s="5"/>
    </row>
    <row r="28" spans="2:5" x14ac:dyDescent="0.2">
      <c r="B28" s="2" t="s">
        <v>667</v>
      </c>
      <c r="C28" s="2" t="s">
        <v>669</v>
      </c>
      <c r="D28" s="14">
        <v>30000</v>
      </c>
      <c r="E28" s="5"/>
    </row>
    <row r="29" spans="2:5" x14ac:dyDescent="0.2">
      <c r="B29" s="2" t="s">
        <v>667</v>
      </c>
      <c r="C29" s="2" t="s">
        <v>670</v>
      </c>
      <c r="D29" s="14">
        <v>70000</v>
      </c>
      <c r="E29" s="5"/>
    </row>
    <row r="30" spans="2:5" x14ac:dyDescent="0.2">
      <c r="B30" s="2" t="s">
        <v>671</v>
      </c>
      <c r="C30" s="2" t="s">
        <v>672</v>
      </c>
      <c r="D30" s="14">
        <v>460000</v>
      </c>
      <c r="E30" s="5"/>
    </row>
    <row r="31" spans="2:5" x14ac:dyDescent="0.2">
      <c r="B31" s="28" t="s">
        <v>673</v>
      </c>
      <c r="C31" s="28"/>
      <c r="D31" s="34">
        <f>SUM(D6:D30)</f>
        <v>3300000</v>
      </c>
      <c r="E31" s="68" t="s">
        <v>674</v>
      </c>
    </row>
    <row r="33" spans="2:5" ht="17" x14ac:dyDescent="0.2">
      <c r="B33" s="77" t="s">
        <v>675</v>
      </c>
      <c r="C33" s="72"/>
      <c r="D33" s="72"/>
      <c r="E33" s="72"/>
    </row>
    <row r="34" spans="2:5" ht="16" x14ac:dyDescent="0.2">
      <c r="B34" s="9" t="s">
        <v>96</v>
      </c>
      <c r="C34" s="9" t="s">
        <v>636</v>
      </c>
      <c r="D34" s="9" t="s">
        <v>637</v>
      </c>
      <c r="E34" s="9" t="s">
        <v>53</v>
      </c>
    </row>
    <row r="35" spans="2:5" x14ac:dyDescent="0.2">
      <c r="B35" s="2" t="s">
        <v>640</v>
      </c>
      <c r="C35" s="2" t="s">
        <v>676</v>
      </c>
      <c r="D35" s="14">
        <v>1500000</v>
      </c>
      <c r="E35" s="5"/>
    </row>
    <row r="36" spans="2:5" x14ac:dyDescent="0.2">
      <c r="B36" s="2" t="s">
        <v>640</v>
      </c>
      <c r="C36" s="2" t="s">
        <v>677</v>
      </c>
      <c r="D36" s="14">
        <v>400000</v>
      </c>
      <c r="E36" s="5"/>
    </row>
    <row r="37" spans="2:5" x14ac:dyDescent="0.2">
      <c r="B37" s="2" t="s">
        <v>640</v>
      </c>
      <c r="C37" s="2" t="s">
        <v>678</v>
      </c>
      <c r="D37" s="14">
        <v>300000</v>
      </c>
      <c r="E37" s="5"/>
    </row>
    <row r="38" spans="2:5" x14ac:dyDescent="0.2">
      <c r="B38" s="2" t="s">
        <v>640</v>
      </c>
      <c r="C38" s="2" t="s">
        <v>679</v>
      </c>
      <c r="D38" s="14">
        <v>150000</v>
      </c>
      <c r="E38" s="5"/>
    </row>
    <row r="39" spans="2:5" x14ac:dyDescent="0.2">
      <c r="B39" s="2" t="s">
        <v>640</v>
      </c>
      <c r="C39" s="2" t="s">
        <v>680</v>
      </c>
      <c r="D39" s="14">
        <v>75000</v>
      </c>
      <c r="E39" s="5"/>
    </row>
    <row r="40" spans="2:5" x14ac:dyDescent="0.2">
      <c r="B40" s="2" t="s">
        <v>640</v>
      </c>
      <c r="C40" s="2" t="s">
        <v>681</v>
      </c>
      <c r="D40" s="14">
        <v>50000</v>
      </c>
      <c r="E40" s="5"/>
    </row>
    <row r="41" spans="2:5" x14ac:dyDescent="0.2">
      <c r="B41" s="2" t="s">
        <v>640</v>
      </c>
      <c r="C41" s="2" t="s">
        <v>647</v>
      </c>
      <c r="D41" s="14">
        <v>75000</v>
      </c>
      <c r="E41" s="5"/>
    </row>
    <row r="42" spans="2:5" x14ac:dyDescent="0.2">
      <c r="B42" s="2" t="s">
        <v>640</v>
      </c>
      <c r="C42" s="2" t="s">
        <v>648</v>
      </c>
      <c r="D42" s="14">
        <v>50000</v>
      </c>
      <c r="E42" s="5"/>
    </row>
    <row r="43" spans="2:5" x14ac:dyDescent="0.2">
      <c r="B43" s="2" t="s">
        <v>682</v>
      </c>
      <c r="C43" s="2" t="s">
        <v>683</v>
      </c>
      <c r="D43" s="14">
        <v>-300000</v>
      </c>
      <c r="E43" s="5"/>
    </row>
    <row r="44" spans="2:5" x14ac:dyDescent="0.2">
      <c r="B44" s="2" t="s">
        <v>684</v>
      </c>
      <c r="C44" s="2" t="s">
        <v>685</v>
      </c>
      <c r="D44" s="14">
        <v>130000</v>
      </c>
      <c r="E44" s="5"/>
    </row>
    <row r="45" spans="2:5" x14ac:dyDescent="0.2">
      <c r="B45" s="2" t="s">
        <v>665</v>
      </c>
      <c r="C45" s="2" t="s">
        <v>686</v>
      </c>
      <c r="D45" s="14">
        <v>35000</v>
      </c>
      <c r="E45" s="5"/>
    </row>
    <row r="46" spans="2:5" x14ac:dyDescent="0.2">
      <c r="B46" s="2" t="s">
        <v>658</v>
      </c>
      <c r="C46" s="2" t="s">
        <v>659</v>
      </c>
      <c r="D46" s="14">
        <v>150000</v>
      </c>
      <c r="E46" s="5"/>
    </row>
    <row r="47" spans="2:5" x14ac:dyDescent="0.2">
      <c r="B47" s="2" t="s">
        <v>658</v>
      </c>
      <c r="C47" s="2" t="s">
        <v>660</v>
      </c>
      <c r="D47" s="14">
        <v>100000</v>
      </c>
      <c r="E47" s="5"/>
    </row>
    <row r="48" spans="2:5" x14ac:dyDescent="0.2">
      <c r="B48" s="2" t="s">
        <v>596</v>
      </c>
      <c r="C48" s="2" t="s">
        <v>687</v>
      </c>
      <c r="D48" s="14">
        <v>60000</v>
      </c>
      <c r="E48" s="5"/>
    </row>
    <row r="49" spans="2:5" x14ac:dyDescent="0.2">
      <c r="B49" s="2" t="s">
        <v>667</v>
      </c>
      <c r="C49" s="2" t="s">
        <v>688</v>
      </c>
      <c r="D49" s="14">
        <v>150000</v>
      </c>
      <c r="E49" s="5"/>
    </row>
    <row r="50" spans="2:5" x14ac:dyDescent="0.2">
      <c r="B50" s="69" t="s">
        <v>671</v>
      </c>
      <c r="C50" s="69" t="s">
        <v>689</v>
      </c>
      <c r="D50" s="70">
        <v>150000</v>
      </c>
      <c r="E50" s="68"/>
    </row>
    <row r="51" spans="2:5" x14ac:dyDescent="0.2">
      <c r="B51" s="28" t="s">
        <v>690</v>
      </c>
      <c r="C51" s="28"/>
      <c r="D51" s="34">
        <f>SUM(D35:D50)</f>
        <v>3075000</v>
      </c>
      <c r="E51" s="68" t="s">
        <v>691</v>
      </c>
    </row>
    <row r="52" spans="2:5" ht="17" x14ac:dyDescent="0.2">
      <c r="B52" s="77" t="s">
        <v>692</v>
      </c>
      <c r="C52" s="72"/>
      <c r="D52" s="72"/>
      <c r="E52" s="72"/>
    </row>
    <row r="53" spans="2:5" ht="16" x14ac:dyDescent="0.2">
      <c r="B53" s="9"/>
      <c r="C53" s="9" t="s">
        <v>693</v>
      </c>
      <c r="D53" s="9" t="s">
        <v>637</v>
      </c>
      <c r="E53" s="9"/>
    </row>
    <row r="54" spans="2:5" x14ac:dyDescent="0.2">
      <c r="B54" s="2" t="s">
        <v>694</v>
      </c>
      <c r="C54" s="5" t="s">
        <v>695</v>
      </c>
      <c r="D54" s="38">
        <f>D31</f>
        <v>3300000</v>
      </c>
    </row>
    <row r="55" spans="2:5" x14ac:dyDescent="0.2">
      <c r="B55" s="2" t="s">
        <v>696</v>
      </c>
      <c r="C55" s="5" t="s">
        <v>697</v>
      </c>
      <c r="D55" s="38">
        <f>D51</f>
        <v>3075000</v>
      </c>
    </row>
    <row r="56" spans="2:5" x14ac:dyDescent="0.2">
      <c r="B56" s="1" t="s">
        <v>698</v>
      </c>
      <c r="D56" s="34">
        <f>D54+11*D55</f>
        <v>37125000</v>
      </c>
    </row>
    <row r="57" spans="2:5" x14ac:dyDescent="0.2">
      <c r="B57" s="2" t="s">
        <v>699</v>
      </c>
      <c r="D57" s="38">
        <f>D56/12</f>
        <v>3093750</v>
      </c>
    </row>
    <row r="59" spans="2:5" ht="17" x14ac:dyDescent="0.2">
      <c r="B59" s="3" t="s">
        <v>700</v>
      </c>
    </row>
    <row r="60" spans="2:5" x14ac:dyDescent="0.2">
      <c r="B60" s="76" t="s">
        <v>701</v>
      </c>
      <c r="C60" s="72"/>
      <c r="D60" s="72"/>
      <c r="E60" s="72"/>
    </row>
    <row r="61" spans="2:5" x14ac:dyDescent="0.2">
      <c r="B61" s="76" t="s">
        <v>702</v>
      </c>
      <c r="C61" s="72"/>
      <c r="D61" s="72"/>
      <c r="E61" s="72"/>
    </row>
    <row r="62" spans="2:5" x14ac:dyDescent="0.2">
      <c r="B62" s="76" t="s">
        <v>703</v>
      </c>
      <c r="C62" s="72"/>
      <c r="D62" s="72"/>
      <c r="E62" s="72"/>
    </row>
    <row r="63" spans="2:5" x14ac:dyDescent="0.2">
      <c r="B63" s="76" t="s">
        <v>704</v>
      </c>
      <c r="C63" s="72"/>
      <c r="D63" s="72"/>
      <c r="E63" s="72"/>
    </row>
    <row r="64" spans="2:5" x14ac:dyDescent="0.2">
      <c r="B64" s="76" t="s">
        <v>705</v>
      </c>
      <c r="C64" s="72"/>
      <c r="D64" s="72"/>
      <c r="E64" s="72"/>
    </row>
    <row r="65" spans="2:5" x14ac:dyDescent="0.2">
      <c r="B65" s="76" t="s">
        <v>706</v>
      </c>
      <c r="C65" s="72"/>
      <c r="D65" s="72"/>
      <c r="E65" s="72"/>
    </row>
    <row r="66" spans="2:5" x14ac:dyDescent="0.2">
      <c r="B66" s="76" t="s">
        <v>707</v>
      </c>
      <c r="C66" s="72"/>
      <c r="D66" s="72"/>
      <c r="E66" s="72"/>
    </row>
    <row r="67" spans="2:5" x14ac:dyDescent="0.2">
      <c r="B67" s="76" t="s">
        <v>708</v>
      </c>
      <c r="C67" s="72"/>
      <c r="D67" s="72"/>
      <c r="E67" s="72"/>
    </row>
  </sheetData>
  <mergeCells count="11">
    <mergeCell ref="B67:E67"/>
    <mergeCell ref="B63:E63"/>
    <mergeCell ref="B61:E61"/>
    <mergeCell ref="B4:E4"/>
    <mergeCell ref="B65:E65"/>
    <mergeCell ref="B66:E66"/>
    <mergeCell ref="B52:E52"/>
    <mergeCell ref="B62:E62"/>
    <mergeCell ref="B64:E64"/>
    <mergeCell ref="B33:E33"/>
    <mergeCell ref="B60:E60"/>
  </mergeCells>
  <pageMargins left="0.75" right="0.75" top="1" bottom="1" header="0.5" footer="0.5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ABC9C"/>
    <pageSetUpPr fitToPage="1"/>
  </sheetPr>
  <dimension ref="A1:I29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4" customWidth="1"/>
    <col min="2" max="2" width="38" customWidth="1"/>
    <col min="3" max="9" width="18" customWidth="1"/>
  </cols>
  <sheetData>
    <row r="1" spans="1:9" ht="21" x14ac:dyDescent="0.25">
      <c r="B1" s="4" t="s">
        <v>709</v>
      </c>
    </row>
    <row r="2" spans="1:9" x14ac:dyDescent="0.2">
      <c r="B2" s="5" t="s">
        <v>710</v>
      </c>
    </row>
    <row r="4" spans="1:9" ht="17" x14ac:dyDescent="0.2">
      <c r="B4" s="6" t="s">
        <v>711</v>
      </c>
      <c r="C4" s="7"/>
      <c r="D4" s="7"/>
      <c r="E4" s="7"/>
      <c r="F4" s="7"/>
    </row>
    <row r="5" spans="1:9" x14ac:dyDescent="0.2">
      <c r="B5" s="2" t="s">
        <v>712</v>
      </c>
      <c r="C5" s="27">
        <f>ASSUMPTIONS!C68</f>
        <v>3</v>
      </c>
      <c r="D5" s="5" t="s">
        <v>713</v>
      </c>
    </row>
    <row r="6" spans="1:9" x14ac:dyDescent="0.2">
      <c r="B6" s="2" t="s">
        <v>714</v>
      </c>
      <c r="C6" s="21">
        <f>ASSUMPTIONS!C69</f>
        <v>10</v>
      </c>
      <c r="D6" s="5" t="s">
        <v>220</v>
      </c>
    </row>
    <row r="7" spans="1:9" x14ac:dyDescent="0.2">
      <c r="B7" s="2" t="s">
        <v>715</v>
      </c>
      <c r="C7" s="10">
        <f>ASSUMPTIONS!C70</f>
        <v>0.03</v>
      </c>
      <c r="D7" s="5" t="s">
        <v>249</v>
      </c>
    </row>
    <row r="8" spans="1:9" x14ac:dyDescent="0.2">
      <c r="B8" s="2" t="s">
        <v>716</v>
      </c>
      <c r="C8" s="10">
        <f>ASSUMPTIONS!C71</f>
        <v>0.45</v>
      </c>
      <c r="D8" s="5" t="s">
        <v>249</v>
      </c>
    </row>
    <row r="9" spans="1:9" x14ac:dyDescent="0.2">
      <c r="B9" s="2" t="s">
        <v>717</v>
      </c>
      <c r="C9" s="33" t="s">
        <v>718</v>
      </c>
      <c r="D9" s="5"/>
    </row>
    <row r="10" spans="1:9" x14ac:dyDescent="0.2">
      <c r="B10" s="2" t="s">
        <v>719</v>
      </c>
      <c r="C10" s="33" t="s">
        <v>720</v>
      </c>
      <c r="D10" s="5" t="s">
        <v>721</v>
      </c>
    </row>
    <row r="12" spans="1:9" ht="17" x14ac:dyDescent="0.2">
      <c r="B12" s="6" t="s">
        <v>722</v>
      </c>
      <c r="C12" s="7"/>
      <c r="D12" s="7"/>
      <c r="E12" s="7"/>
      <c r="F12" s="7"/>
      <c r="G12" s="7"/>
      <c r="H12" s="7"/>
      <c r="I12" s="7"/>
    </row>
    <row r="13" spans="1:9" ht="16" x14ac:dyDescent="0.2">
      <c r="B13" s="9"/>
      <c r="C13" s="9" t="s">
        <v>72</v>
      </c>
      <c r="D13" s="9" t="s">
        <v>73</v>
      </c>
      <c r="E13" s="9" t="s">
        <v>74</v>
      </c>
      <c r="F13" s="9" t="s">
        <v>75</v>
      </c>
      <c r="G13" s="9" t="s">
        <v>76</v>
      </c>
      <c r="H13" s="9" t="s">
        <v>77</v>
      </c>
      <c r="I13" s="9" t="s">
        <v>78</v>
      </c>
    </row>
    <row r="14" spans="1:9" x14ac:dyDescent="0.2">
      <c r="B14" s="2" t="s">
        <v>723</v>
      </c>
      <c r="C14" s="15">
        <v>0</v>
      </c>
      <c r="D14" s="15">
        <v>472500</v>
      </c>
      <c r="E14" s="15">
        <v>2962500</v>
      </c>
      <c r="F14" s="15">
        <v>3600000</v>
      </c>
      <c r="G14" s="15">
        <v>3600000</v>
      </c>
      <c r="H14" s="15">
        <v>3600000</v>
      </c>
      <c r="I14" s="15">
        <v>3600000</v>
      </c>
    </row>
    <row r="15" spans="1:9" x14ac:dyDescent="0.2">
      <c r="A15" s="28"/>
      <c r="B15" s="28" t="s">
        <v>349</v>
      </c>
      <c r="C15" s="34">
        <f>C14*ASSUMPTIONS!$C$68*ASSUMPTIONS!$C$72</f>
        <v>0</v>
      </c>
      <c r="D15" s="34">
        <f>D14*ASSUMPTIONS!$C$68*ASSUMPTIONS!$C$72</f>
        <v>1417500</v>
      </c>
      <c r="E15" s="34">
        <f>E14*ASSUMPTIONS!$C$68*ASSUMPTIONS!$C$72</f>
        <v>8887500</v>
      </c>
      <c r="F15" s="34">
        <f>F14*ASSUMPTIONS!$C$68*ASSUMPTIONS!$C$72</f>
        <v>10800000</v>
      </c>
      <c r="G15" s="34">
        <f>G14*ASSUMPTIONS!$C$68*ASSUMPTIONS!$C$72</f>
        <v>10800000</v>
      </c>
      <c r="H15" s="34">
        <f>H14*ASSUMPTIONS!$C$68*ASSUMPTIONS!$C$72</f>
        <v>10800000</v>
      </c>
      <c r="I15" s="34">
        <f>I14*ASSUMPTIONS!$C$68*ASSUMPTIONS!$C$72</f>
        <v>10800000</v>
      </c>
    </row>
    <row r="16" spans="1:9" x14ac:dyDescent="0.2">
      <c r="B16" s="2" t="s">
        <v>724</v>
      </c>
      <c r="C16" s="20">
        <v>0</v>
      </c>
      <c r="D16" s="20">
        <f t="shared" ref="D16:I16" si="0">C16+D15</f>
        <v>1417500</v>
      </c>
      <c r="E16" s="20">
        <f t="shared" si="0"/>
        <v>10305000</v>
      </c>
      <c r="F16" s="20">
        <f t="shared" si="0"/>
        <v>21105000</v>
      </c>
      <c r="G16" s="20">
        <f t="shared" si="0"/>
        <v>31905000</v>
      </c>
      <c r="H16" s="20">
        <f t="shared" si="0"/>
        <v>42705000</v>
      </c>
      <c r="I16" s="20">
        <f t="shared" si="0"/>
        <v>53505000</v>
      </c>
    </row>
    <row r="18" spans="2:9" ht="17" x14ac:dyDescent="0.2">
      <c r="B18" s="3" t="s">
        <v>725</v>
      </c>
    </row>
    <row r="19" spans="2:9" x14ac:dyDescent="0.2">
      <c r="B19" s="2" t="s">
        <v>726</v>
      </c>
      <c r="C19" s="20">
        <f>ASSUMPTIONS!C22*ASSUMPTIONS!C68</f>
        <v>2700000</v>
      </c>
      <c r="D19" s="5"/>
    </row>
    <row r="20" spans="2:9" ht="17" x14ac:dyDescent="0.2">
      <c r="B20" s="1" t="s">
        <v>727</v>
      </c>
      <c r="C20" s="41">
        <f>ASSUMPTIONS!C22*ASSUMPTIONS!C68*ASSUMPTIONS!C69</f>
        <v>27000000</v>
      </c>
      <c r="D20" s="1" t="s">
        <v>728</v>
      </c>
    </row>
    <row r="22" spans="2:9" ht="17" x14ac:dyDescent="0.2">
      <c r="B22" s="6" t="s">
        <v>729</v>
      </c>
      <c r="C22" s="7"/>
      <c r="D22" s="7"/>
      <c r="E22" s="7"/>
      <c r="F22" s="7"/>
      <c r="G22" s="7"/>
      <c r="H22" s="7"/>
      <c r="I22" s="7"/>
    </row>
    <row r="23" spans="2:9" ht="16" x14ac:dyDescent="0.2">
      <c r="B23" s="9"/>
      <c r="C23" s="9" t="s">
        <v>72</v>
      </c>
      <c r="D23" s="9" t="s">
        <v>73</v>
      </c>
      <c r="E23" s="9" t="s">
        <v>74</v>
      </c>
      <c r="F23" s="9" t="s">
        <v>75</v>
      </c>
      <c r="G23" s="9" t="s">
        <v>76</v>
      </c>
      <c r="H23" s="9" t="s">
        <v>77</v>
      </c>
      <c r="I23" s="9" t="s">
        <v>78</v>
      </c>
    </row>
    <row r="24" spans="2:9" x14ac:dyDescent="0.2">
      <c r="B24" s="1" t="s">
        <v>730</v>
      </c>
      <c r="C24" s="42">
        <v>-2678101</v>
      </c>
      <c r="D24" s="38">
        <v>3758053</v>
      </c>
      <c r="E24" s="38">
        <v>54903453</v>
      </c>
      <c r="F24" s="38">
        <v>105592088</v>
      </c>
      <c r="G24" s="38">
        <v>160712947</v>
      </c>
      <c r="H24" s="38">
        <v>206075087</v>
      </c>
      <c r="I24" s="38">
        <v>215995112</v>
      </c>
    </row>
    <row r="25" spans="2:9" x14ac:dyDescent="0.2">
      <c r="B25" s="1" t="s">
        <v>731</v>
      </c>
      <c r="C25" s="42">
        <v>-2678101</v>
      </c>
      <c r="D25" s="38">
        <v>2340553</v>
      </c>
      <c r="E25" s="38">
        <v>46015953</v>
      </c>
      <c r="F25" s="38">
        <v>94792088</v>
      </c>
      <c r="G25" s="38">
        <v>149912947</v>
      </c>
      <c r="H25" s="38">
        <v>195275087</v>
      </c>
      <c r="I25" s="38">
        <v>205195112</v>
      </c>
    </row>
    <row r="26" spans="2:9" x14ac:dyDescent="0.2">
      <c r="B26" s="2" t="s">
        <v>732</v>
      </c>
      <c r="C26" s="20">
        <f t="shared" ref="C26:I26" si="1">C24-C25</f>
        <v>0</v>
      </c>
      <c r="D26" s="20">
        <f t="shared" si="1"/>
        <v>1417500</v>
      </c>
      <c r="E26" s="20">
        <f t="shared" si="1"/>
        <v>8887500</v>
      </c>
      <c r="F26" s="20">
        <f t="shared" si="1"/>
        <v>10800000</v>
      </c>
      <c r="G26" s="20">
        <f t="shared" si="1"/>
        <v>10800000</v>
      </c>
      <c r="H26" s="20">
        <f t="shared" si="1"/>
        <v>10800000</v>
      </c>
      <c r="I26" s="20">
        <f t="shared" si="1"/>
        <v>10800000</v>
      </c>
    </row>
    <row r="28" spans="2:9" ht="16" x14ac:dyDescent="0.2">
      <c r="B28" s="79" t="s">
        <v>733</v>
      </c>
      <c r="C28" s="72"/>
      <c r="D28" s="72"/>
      <c r="E28" s="72"/>
      <c r="F28" s="72"/>
      <c r="G28" s="72"/>
      <c r="H28" s="72"/>
      <c r="I28" s="72"/>
    </row>
    <row r="29" spans="2:9" x14ac:dyDescent="0.2">
      <c r="B29" s="2" t="s">
        <v>734</v>
      </c>
    </row>
  </sheetData>
  <mergeCells count="1">
    <mergeCell ref="B28:I28"/>
  </mergeCells>
  <pageMargins left="0.75" right="0.75" top="1" bottom="1" header="0.5" footer="0.5"/>
  <pageSetup fitToHeight="0" orientation="landscape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B59B6"/>
    <pageSetUpPr fitToPage="1"/>
  </sheetPr>
  <dimension ref="A1:F34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4" customWidth="1"/>
    <col min="2" max="2" width="40" customWidth="1"/>
    <col min="3" max="6" width="18" customWidth="1"/>
  </cols>
  <sheetData>
    <row r="1" spans="2:6" ht="21" x14ac:dyDescent="0.25">
      <c r="B1" s="4" t="s">
        <v>735</v>
      </c>
    </row>
    <row r="2" spans="2:6" x14ac:dyDescent="0.2">
      <c r="B2" s="5" t="s">
        <v>736</v>
      </c>
    </row>
    <row r="4" spans="2:6" ht="17" x14ac:dyDescent="0.2">
      <c r="B4" s="3" t="s">
        <v>737</v>
      </c>
    </row>
    <row r="5" spans="2:6" x14ac:dyDescent="0.2">
      <c r="B5" s="2" t="s">
        <v>738</v>
      </c>
      <c r="C5" s="1" t="s">
        <v>739</v>
      </c>
      <c r="D5" s="1" t="s">
        <v>740</v>
      </c>
    </row>
    <row r="6" spans="2:6" x14ac:dyDescent="0.2">
      <c r="B6" s="2" t="s">
        <v>741</v>
      </c>
      <c r="C6" s="1" t="s">
        <v>742</v>
      </c>
      <c r="D6" s="1"/>
    </row>
    <row r="7" spans="2:6" x14ac:dyDescent="0.2">
      <c r="B7" s="2" t="s">
        <v>743</v>
      </c>
      <c r="C7" s="1" t="s">
        <v>744</v>
      </c>
      <c r="D7" s="1"/>
    </row>
    <row r="9" spans="2:6" ht="17" x14ac:dyDescent="0.2">
      <c r="B9" s="6" t="s">
        <v>745</v>
      </c>
      <c r="C9" s="7"/>
      <c r="D9" s="7"/>
      <c r="E9" s="7"/>
      <c r="F9" s="7"/>
    </row>
    <row r="10" spans="2:6" ht="16" x14ac:dyDescent="0.2">
      <c r="B10" s="9" t="s">
        <v>746</v>
      </c>
      <c r="C10" s="9" t="s">
        <v>747</v>
      </c>
      <c r="D10" s="9" t="s">
        <v>748</v>
      </c>
      <c r="E10" s="9" t="s">
        <v>749</v>
      </c>
      <c r="F10" s="9" t="s">
        <v>750</v>
      </c>
    </row>
    <row r="11" spans="2:6" x14ac:dyDescent="0.2">
      <c r="B11" s="2" t="s">
        <v>751</v>
      </c>
      <c r="C11" s="14">
        <v>3465000000</v>
      </c>
      <c r="D11" s="43">
        <v>0.35</v>
      </c>
      <c r="E11" s="44">
        <v>3000</v>
      </c>
      <c r="F11" s="2" t="s">
        <v>80</v>
      </c>
    </row>
    <row r="12" spans="2:6" x14ac:dyDescent="0.2">
      <c r="B12" s="2" t="s">
        <v>752</v>
      </c>
      <c r="C12" s="14">
        <v>1980000000</v>
      </c>
      <c r="D12" s="43">
        <v>0.2</v>
      </c>
      <c r="E12" s="44">
        <v>6320</v>
      </c>
      <c r="F12" s="2" t="s">
        <v>80</v>
      </c>
    </row>
    <row r="13" spans="2:6" x14ac:dyDescent="0.2">
      <c r="B13" s="2" t="s">
        <v>753</v>
      </c>
      <c r="C13" s="14">
        <v>990000000</v>
      </c>
      <c r="D13" s="43">
        <v>0.1</v>
      </c>
      <c r="E13" s="44">
        <v>50</v>
      </c>
      <c r="F13" s="2" t="s">
        <v>80</v>
      </c>
    </row>
    <row r="14" spans="2:6" x14ac:dyDescent="0.2">
      <c r="B14" s="2" t="s">
        <v>754</v>
      </c>
      <c r="C14" s="14">
        <v>990000000</v>
      </c>
      <c r="D14" s="43">
        <v>0.1</v>
      </c>
      <c r="E14" s="44">
        <v>79</v>
      </c>
      <c r="F14" s="2" t="s">
        <v>755</v>
      </c>
    </row>
    <row r="15" spans="2:6" x14ac:dyDescent="0.2">
      <c r="B15" s="2" t="s">
        <v>756</v>
      </c>
      <c r="C15" s="14">
        <v>495000000</v>
      </c>
      <c r="D15" s="43">
        <v>0.05</v>
      </c>
      <c r="E15" s="44">
        <v>6000</v>
      </c>
      <c r="F15" s="2" t="s">
        <v>757</v>
      </c>
    </row>
    <row r="16" spans="2:6" x14ac:dyDescent="0.2">
      <c r="B16" s="2" t="s">
        <v>758</v>
      </c>
      <c r="C16" s="14">
        <v>495000000</v>
      </c>
      <c r="D16" s="43">
        <v>0.05</v>
      </c>
      <c r="E16" s="44">
        <v>5000</v>
      </c>
      <c r="F16" s="2" t="s">
        <v>755</v>
      </c>
    </row>
    <row r="17" spans="1:6" x14ac:dyDescent="0.2">
      <c r="B17" s="2" t="s">
        <v>759</v>
      </c>
      <c r="C17" s="14">
        <v>495000000</v>
      </c>
      <c r="D17" s="43">
        <v>0.05</v>
      </c>
      <c r="E17" s="44">
        <v>11500</v>
      </c>
      <c r="F17" s="2" t="s">
        <v>755</v>
      </c>
    </row>
    <row r="18" spans="1:6" x14ac:dyDescent="0.2">
      <c r="B18" s="2" t="s">
        <v>760</v>
      </c>
      <c r="C18" s="14">
        <v>900000000</v>
      </c>
      <c r="D18" s="43">
        <v>0.1</v>
      </c>
      <c r="E18" s="44">
        <v>76</v>
      </c>
      <c r="F18" s="2" t="s">
        <v>757</v>
      </c>
    </row>
    <row r="19" spans="1:6" x14ac:dyDescent="0.2">
      <c r="A19" s="28"/>
      <c r="B19" s="28" t="s">
        <v>761</v>
      </c>
      <c r="C19" s="34">
        <f>SUM(C11:C18)</f>
        <v>9810000000</v>
      </c>
      <c r="D19" s="28"/>
      <c r="E19" s="45">
        <f>SUM(E11:E18)</f>
        <v>32025</v>
      </c>
      <c r="F19" s="28"/>
    </row>
    <row r="21" spans="1:6" ht="17" x14ac:dyDescent="0.2">
      <c r="B21" s="3" t="s">
        <v>762</v>
      </c>
    </row>
    <row r="22" spans="1:6" x14ac:dyDescent="0.2">
      <c r="B22" s="2" t="s">
        <v>763</v>
      </c>
      <c r="C22" s="1" t="s">
        <v>764</v>
      </c>
      <c r="D22" s="2" t="s">
        <v>765</v>
      </c>
      <c r="E22" s="5" t="s">
        <v>766</v>
      </c>
    </row>
    <row r="23" spans="1:6" x14ac:dyDescent="0.2">
      <c r="B23" s="2" t="s">
        <v>767</v>
      </c>
      <c r="C23" s="1" t="s">
        <v>768</v>
      </c>
      <c r="D23" s="2" t="s">
        <v>769</v>
      </c>
      <c r="E23" s="5" t="s">
        <v>770</v>
      </c>
    </row>
    <row r="24" spans="1:6" x14ac:dyDescent="0.2">
      <c r="B24" s="2" t="s">
        <v>771</v>
      </c>
      <c r="C24" s="1" t="s">
        <v>772</v>
      </c>
      <c r="D24" s="2" t="s">
        <v>773</v>
      </c>
      <c r="E24" s="5" t="s">
        <v>774</v>
      </c>
    </row>
    <row r="25" spans="1:6" x14ac:dyDescent="0.2">
      <c r="B25" s="2" t="s">
        <v>775</v>
      </c>
      <c r="C25" s="1" t="s">
        <v>776</v>
      </c>
      <c r="D25" s="2" t="s">
        <v>777</v>
      </c>
      <c r="E25" s="5" t="s">
        <v>778</v>
      </c>
    </row>
    <row r="27" spans="1:6" ht="17" x14ac:dyDescent="0.2">
      <c r="B27" s="3" t="s">
        <v>779</v>
      </c>
    </row>
    <row r="28" spans="1:6" ht="17" x14ac:dyDescent="0.2">
      <c r="B28" s="1" t="s">
        <v>780</v>
      </c>
      <c r="C28" s="8" t="s">
        <v>781</v>
      </c>
    </row>
    <row r="29" spans="1:6" x14ac:dyDescent="0.2">
      <c r="B29" s="2" t="s">
        <v>782</v>
      </c>
      <c r="C29" s="2" t="s">
        <v>783</v>
      </c>
    </row>
    <row r="30" spans="1:6" x14ac:dyDescent="0.2">
      <c r="B30" s="2" t="s">
        <v>420</v>
      </c>
      <c r="C30" s="2" t="s">
        <v>784</v>
      </c>
    </row>
    <row r="32" spans="1:6" ht="17" x14ac:dyDescent="0.2">
      <c r="B32" s="3" t="s">
        <v>785</v>
      </c>
    </row>
    <row r="33" spans="2:4" x14ac:dyDescent="0.2">
      <c r="B33" s="2" t="s">
        <v>786</v>
      </c>
      <c r="C33" s="46">
        <f>'P&amp;L'!I11/C19</f>
        <v>3.3400086238532113E-2</v>
      </c>
      <c r="D33" s="5" t="s">
        <v>787</v>
      </c>
    </row>
    <row r="34" spans="2:4" x14ac:dyDescent="0.2">
      <c r="B34" s="2" t="s">
        <v>788</v>
      </c>
      <c r="C34" s="19">
        <f>'P&amp;L'!G11/C19</f>
        <v>2.4666644342507645E-2</v>
      </c>
    </row>
  </sheetData>
  <pageMargins left="0.75" right="0.75" top="1" bottom="1" header="0.5" footer="0.5"/>
  <pageSetup fitToHeight="0" orientation="landscape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0392B"/>
    <pageSetUpPr fitToPage="1"/>
  </sheetPr>
  <dimension ref="B1:H30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4" customWidth="1"/>
    <col min="2" max="2" width="22" customWidth="1"/>
    <col min="3" max="4" width="18" customWidth="1"/>
    <col min="5" max="5" width="16" customWidth="1"/>
    <col min="6" max="7" width="18" customWidth="1"/>
    <col min="8" max="8" width="22" customWidth="1"/>
  </cols>
  <sheetData>
    <row r="1" spans="2:8" ht="21" x14ac:dyDescent="0.25">
      <c r="B1" s="4" t="s">
        <v>789</v>
      </c>
    </row>
    <row r="2" spans="2:8" x14ac:dyDescent="0.2">
      <c r="B2" s="5" t="s">
        <v>790</v>
      </c>
    </row>
    <row r="4" spans="2:8" ht="16" x14ac:dyDescent="0.2">
      <c r="B4" s="9" t="s">
        <v>791</v>
      </c>
      <c r="C4" s="9" t="s">
        <v>792</v>
      </c>
      <c r="D4" s="9" t="s">
        <v>386</v>
      </c>
      <c r="E4" s="9" t="s">
        <v>793</v>
      </c>
      <c r="F4" s="9" t="s">
        <v>794</v>
      </c>
      <c r="G4" s="9" t="s">
        <v>467</v>
      </c>
      <c r="H4" s="9" t="s">
        <v>795</v>
      </c>
    </row>
    <row r="5" spans="2:8" x14ac:dyDescent="0.2">
      <c r="B5" s="23" t="s">
        <v>796</v>
      </c>
      <c r="C5" s="23" t="s">
        <v>797</v>
      </c>
      <c r="D5" s="23" t="s">
        <v>798</v>
      </c>
      <c r="E5" s="23" t="s">
        <v>799</v>
      </c>
      <c r="F5" s="23" t="s">
        <v>800</v>
      </c>
      <c r="G5" s="23" t="s">
        <v>801</v>
      </c>
      <c r="H5" s="23" t="s">
        <v>802</v>
      </c>
    </row>
    <row r="6" spans="2:8" x14ac:dyDescent="0.2">
      <c r="B6" s="2" t="s">
        <v>803</v>
      </c>
      <c r="C6" s="2" t="s">
        <v>804</v>
      </c>
      <c r="D6" s="2" t="s">
        <v>805</v>
      </c>
      <c r="E6" s="2" t="s">
        <v>806</v>
      </c>
      <c r="F6" s="2" t="s">
        <v>807</v>
      </c>
      <c r="G6" s="2" t="s">
        <v>808</v>
      </c>
      <c r="H6" s="2" t="s">
        <v>809</v>
      </c>
    </row>
    <row r="7" spans="2:8" x14ac:dyDescent="0.2">
      <c r="B7" s="2" t="s">
        <v>810</v>
      </c>
      <c r="C7" s="2" t="s">
        <v>811</v>
      </c>
      <c r="D7" s="2" t="s">
        <v>812</v>
      </c>
      <c r="E7" s="2" t="s">
        <v>813</v>
      </c>
      <c r="F7" s="2" t="s">
        <v>814</v>
      </c>
      <c r="G7" s="2" t="s">
        <v>808</v>
      </c>
      <c r="H7" s="2" t="s">
        <v>815</v>
      </c>
    </row>
    <row r="8" spans="2:8" x14ac:dyDescent="0.2">
      <c r="B8" s="2" t="s">
        <v>816</v>
      </c>
      <c r="C8" s="2" t="s">
        <v>811</v>
      </c>
      <c r="D8" s="2" t="s">
        <v>817</v>
      </c>
      <c r="E8" s="2" t="s">
        <v>818</v>
      </c>
      <c r="F8" s="2" t="s">
        <v>819</v>
      </c>
      <c r="G8" s="2" t="s">
        <v>808</v>
      </c>
      <c r="H8" s="2" t="s">
        <v>820</v>
      </c>
    </row>
    <row r="9" spans="2:8" x14ac:dyDescent="0.2">
      <c r="B9" s="2" t="s">
        <v>821</v>
      </c>
      <c r="C9" s="2" t="s">
        <v>822</v>
      </c>
      <c r="D9" s="2" t="s">
        <v>823</v>
      </c>
      <c r="E9" s="2" t="s">
        <v>824</v>
      </c>
      <c r="F9" s="2" t="s">
        <v>825</v>
      </c>
      <c r="G9" s="2" t="s">
        <v>808</v>
      </c>
      <c r="H9" s="2" t="s">
        <v>826</v>
      </c>
    </row>
    <row r="10" spans="2:8" x14ac:dyDescent="0.2">
      <c r="B10" s="2" t="s">
        <v>827</v>
      </c>
      <c r="C10" s="2" t="s">
        <v>811</v>
      </c>
      <c r="D10" s="2" t="s">
        <v>828</v>
      </c>
      <c r="E10" s="2" t="s">
        <v>829</v>
      </c>
      <c r="F10" s="2" t="s">
        <v>830</v>
      </c>
      <c r="G10" s="2" t="s">
        <v>801</v>
      </c>
      <c r="H10" s="2" t="s">
        <v>831</v>
      </c>
    </row>
    <row r="11" spans="2:8" x14ac:dyDescent="0.2">
      <c r="B11" s="2" t="s">
        <v>832</v>
      </c>
      <c r="C11" s="2" t="s">
        <v>833</v>
      </c>
      <c r="D11" s="2" t="s">
        <v>834</v>
      </c>
      <c r="E11" s="2" t="s">
        <v>835</v>
      </c>
      <c r="F11" s="2" t="s">
        <v>836</v>
      </c>
      <c r="G11" s="2" t="s">
        <v>837</v>
      </c>
      <c r="H11" s="2" t="s">
        <v>838</v>
      </c>
    </row>
    <row r="12" spans="2:8" x14ac:dyDescent="0.2">
      <c r="B12" s="2" t="s">
        <v>839</v>
      </c>
      <c r="C12" s="2" t="s">
        <v>840</v>
      </c>
      <c r="D12" s="2" t="s">
        <v>841</v>
      </c>
      <c r="E12" s="2" t="s">
        <v>829</v>
      </c>
      <c r="F12" s="2" t="s">
        <v>842</v>
      </c>
      <c r="G12" s="2" t="s">
        <v>801</v>
      </c>
      <c r="H12" s="2" t="s">
        <v>843</v>
      </c>
    </row>
    <row r="15" spans="2:8" ht="17" x14ac:dyDescent="0.2">
      <c r="B15" s="6" t="s">
        <v>844</v>
      </c>
      <c r="C15" s="7"/>
      <c r="D15" s="7"/>
      <c r="E15" s="7"/>
      <c r="F15" s="7"/>
      <c r="G15" s="7"/>
      <c r="H15" s="7"/>
    </row>
    <row r="16" spans="2:8" ht="16" x14ac:dyDescent="0.2">
      <c r="B16" s="9" t="s">
        <v>792</v>
      </c>
      <c r="C16" s="9" t="s">
        <v>386</v>
      </c>
      <c r="D16" s="9" t="s">
        <v>845</v>
      </c>
      <c r="E16" s="9" t="s">
        <v>397</v>
      </c>
    </row>
    <row r="17" spans="2:8" x14ac:dyDescent="0.2">
      <c r="B17" s="2" t="s">
        <v>846</v>
      </c>
      <c r="C17" s="2" t="s">
        <v>812</v>
      </c>
      <c r="D17" s="2" t="s">
        <v>813</v>
      </c>
      <c r="E17" s="2" t="s">
        <v>847</v>
      </c>
    </row>
    <row r="18" spans="2:8" x14ac:dyDescent="0.2">
      <c r="B18" s="2" t="s">
        <v>848</v>
      </c>
      <c r="C18" s="2" t="s">
        <v>849</v>
      </c>
      <c r="D18" s="2" t="s">
        <v>850</v>
      </c>
      <c r="E18" s="2" t="s">
        <v>851</v>
      </c>
    </row>
    <row r="19" spans="2:8" x14ac:dyDescent="0.2">
      <c r="B19" s="2" t="s">
        <v>852</v>
      </c>
      <c r="C19" s="2" t="s">
        <v>829</v>
      </c>
      <c r="D19" s="2" t="s">
        <v>286</v>
      </c>
      <c r="E19" s="2" t="s">
        <v>853</v>
      </c>
    </row>
    <row r="20" spans="2:8" x14ac:dyDescent="0.2">
      <c r="B20" s="23" t="s">
        <v>854</v>
      </c>
      <c r="C20" s="23" t="s">
        <v>855</v>
      </c>
      <c r="D20" s="23" t="s">
        <v>856</v>
      </c>
      <c r="E20" s="23" t="s">
        <v>857</v>
      </c>
    </row>
    <row r="21" spans="2:8" x14ac:dyDescent="0.2">
      <c r="B21" s="23" t="s">
        <v>858</v>
      </c>
      <c r="C21" s="23" t="s">
        <v>859</v>
      </c>
      <c r="D21" s="23" t="s">
        <v>860</v>
      </c>
      <c r="E21" s="23" t="s">
        <v>861</v>
      </c>
    </row>
    <row r="24" spans="2:8" ht="17" x14ac:dyDescent="0.2">
      <c r="B24" s="3" t="s">
        <v>862</v>
      </c>
    </row>
    <row r="25" spans="2:8" x14ac:dyDescent="0.2">
      <c r="B25" s="76" t="s">
        <v>863</v>
      </c>
      <c r="C25" s="72"/>
      <c r="D25" s="72"/>
      <c r="E25" s="72"/>
      <c r="F25" s="72"/>
      <c r="G25" s="72"/>
      <c r="H25" s="72"/>
    </row>
    <row r="26" spans="2:8" x14ac:dyDescent="0.2">
      <c r="B26" s="76" t="s">
        <v>864</v>
      </c>
      <c r="C26" s="72"/>
      <c r="D26" s="72"/>
      <c r="E26" s="72"/>
      <c r="F26" s="72"/>
      <c r="G26" s="72"/>
      <c r="H26" s="72"/>
    </row>
    <row r="27" spans="2:8" x14ac:dyDescent="0.2">
      <c r="B27" s="76" t="s">
        <v>865</v>
      </c>
      <c r="C27" s="72"/>
      <c r="D27" s="72"/>
      <c r="E27" s="72"/>
      <c r="F27" s="72"/>
      <c r="G27" s="72"/>
      <c r="H27" s="72"/>
    </row>
    <row r="28" spans="2:8" x14ac:dyDescent="0.2">
      <c r="B28" s="76" t="s">
        <v>866</v>
      </c>
      <c r="C28" s="72"/>
      <c r="D28" s="72"/>
      <c r="E28" s="72"/>
      <c r="F28" s="72"/>
      <c r="G28" s="72"/>
      <c r="H28" s="72"/>
    </row>
    <row r="29" spans="2:8" x14ac:dyDescent="0.2">
      <c r="B29" s="76" t="s">
        <v>867</v>
      </c>
      <c r="C29" s="72"/>
      <c r="D29" s="72"/>
      <c r="E29" s="72"/>
      <c r="F29" s="72"/>
      <c r="G29" s="72"/>
      <c r="H29" s="72"/>
    </row>
    <row r="30" spans="2:8" x14ac:dyDescent="0.2">
      <c r="B30" s="76" t="s">
        <v>868</v>
      </c>
      <c r="C30" s="72"/>
      <c r="D30" s="72"/>
      <c r="E30" s="72"/>
      <c r="F30" s="72"/>
      <c r="G30" s="72"/>
      <c r="H30" s="72"/>
    </row>
  </sheetData>
  <mergeCells count="6">
    <mergeCell ref="B26:H26"/>
    <mergeCell ref="B27:H27"/>
    <mergeCell ref="B30:H30"/>
    <mergeCell ref="B29:H29"/>
    <mergeCell ref="B25:H25"/>
    <mergeCell ref="B28:H28"/>
  </mergeCells>
  <pageMargins left="0.75" right="0.75" top="1" bottom="1" header="0.5" footer="0.5"/>
  <pageSetup fitToHeight="0" orientation="landscape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1C40F"/>
    <pageSetUpPr fitToPage="1"/>
  </sheetPr>
  <dimension ref="A1:F37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4" customWidth="1"/>
    <col min="2" max="2" width="30" customWidth="1"/>
    <col min="3" max="6" width="18" customWidth="1"/>
  </cols>
  <sheetData>
    <row r="1" spans="2:6" ht="21" x14ac:dyDescent="0.25">
      <c r="B1" s="4" t="s">
        <v>869</v>
      </c>
    </row>
    <row r="2" spans="2:6" x14ac:dyDescent="0.2">
      <c r="B2" s="5" t="s">
        <v>870</v>
      </c>
    </row>
    <row r="4" spans="2:6" ht="17" x14ac:dyDescent="0.2">
      <c r="B4" s="6" t="s">
        <v>871</v>
      </c>
      <c r="C4" s="7"/>
      <c r="D4" s="7"/>
      <c r="E4" s="7"/>
      <c r="F4" s="7"/>
    </row>
    <row r="5" spans="2:6" x14ac:dyDescent="0.2">
      <c r="B5" s="2" t="s">
        <v>68</v>
      </c>
      <c r="C5" s="20">
        <f>ASSUMPTIONS!C78</f>
        <v>40000000</v>
      </c>
    </row>
    <row r="6" spans="2:6" x14ac:dyDescent="0.2">
      <c r="B6" s="2" t="s">
        <v>872</v>
      </c>
      <c r="C6" s="20">
        <f>ASSUMPTIONS!C75</f>
        <v>7500000</v>
      </c>
    </row>
    <row r="7" spans="2:6" x14ac:dyDescent="0.2">
      <c r="B7" s="2" t="s">
        <v>123</v>
      </c>
      <c r="C7" s="20">
        <f>ASSUMPTIONS!C79</f>
        <v>47500000</v>
      </c>
    </row>
    <row r="8" spans="2:6" x14ac:dyDescent="0.2">
      <c r="B8" s="2" t="s">
        <v>873</v>
      </c>
      <c r="C8" s="19">
        <f>ASSUMPTIONS!C80</f>
        <v>0.15789473684210525</v>
      </c>
    </row>
    <row r="9" spans="2:6" x14ac:dyDescent="0.2">
      <c r="B9" s="2" t="s">
        <v>874</v>
      </c>
      <c r="C9" s="20">
        <f>ASSUMPTIONS!C76</f>
        <v>2500000</v>
      </c>
    </row>
    <row r="10" spans="2:6" x14ac:dyDescent="0.2">
      <c r="B10" s="2" t="s">
        <v>875</v>
      </c>
      <c r="C10" s="20">
        <f>ASSUMPTIONS!C77</f>
        <v>10000000</v>
      </c>
    </row>
    <row r="12" spans="2:6" ht="17" x14ac:dyDescent="0.2">
      <c r="B12" s="6" t="s">
        <v>876</v>
      </c>
      <c r="C12" s="7"/>
      <c r="D12" s="7"/>
      <c r="E12" s="7"/>
      <c r="F12" s="7"/>
    </row>
    <row r="13" spans="2:6" ht="16" x14ac:dyDescent="0.2">
      <c r="B13" s="9" t="s">
        <v>877</v>
      </c>
      <c r="C13" s="9" t="s">
        <v>878</v>
      </c>
      <c r="D13" s="9" t="s">
        <v>879</v>
      </c>
      <c r="E13" s="9" t="s">
        <v>880</v>
      </c>
    </row>
    <row r="14" spans="2:6" x14ac:dyDescent="0.2">
      <c r="B14" s="2" t="s">
        <v>881</v>
      </c>
      <c r="C14" s="13">
        <v>0.65</v>
      </c>
      <c r="D14" s="19">
        <f>C14*(1-ASSUMPTIONS!C80)</f>
        <v>0.54736842105263162</v>
      </c>
      <c r="E14" s="20">
        <f>D14*ASSUMPTIONS!C79</f>
        <v>26000000</v>
      </c>
    </row>
    <row r="15" spans="2:6" x14ac:dyDescent="0.2">
      <c r="B15" s="2" t="s">
        <v>882</v>
      </c>
      <c r="C15" s="13">
        <v>0.14799999999999999</v>
      </c>
      <c r="D15" s="19">
        <f>C15*(1-ASSUMPTIONS!C80)</f>
        <v>0.12463157894736841</v>
      </c>
      <c r="E15" s="20">
        <f>D15*ASSUMPTIONS!C79</f>
        <v>5920000</v>
      </c>
    </row>
    <row r="16" spans="2:6" x14ac:dyDescent="0.2">
      <c r="B16" s="2" t="s">
        <v>883</v>
      </c>
      <c r="C16" s="13">
        <v>0.1</v>
      </c>
      <c r="D16" s="19">
        <f>C16*(1-ASSUMPTIONS!C80)</f>
        <v>8.4210526315789472E-2</v>
      </c>
      <c r="E16" s="20">
        <f>D16*ASSUMPTIONS!C79</f>
        <v>4000000</v>
      </c>
    </row>
    <row r="17" spans="1:6" x14ac:dyDescent="0.2">
      <c r="B17" s="2" t="s">
        <v>884</v>
      </c>
      <c r="C17" s="13">
        <v>2.1999999999999999E-2</v>
      </c>
      <c r="D17" s="19">
        <f>C17*(1-ASSUMPTIONS!C80)</f>
        <v>1.8526315789473682E-2</v>
      </c>
      <c r="E17" s="20">
        <f>D17*ASSUMPTIONS!C79</f>
        <v>879999.99999999988</v>
      </c>
    </row>
    <row r="18" spans="1:6" x14ac:dyDescent="0.2">
      <c r="B18" s="2" t="s">
        <v>885</v>
      </c>
      <c r="C18" s="13">
        <v>0.06</v>
      </c>
      <c r="D18" s="19">
        <f>C18*(1-ASSUMPTIONS!C80)</f>
        <v>5.0526315789473676E-2</v>
      </c>
      <c r="E18" s="20">
        <f>D18*ASSUMPTIONS!C79</f>
        <v>2399999.9999999995</v>
      </c>
    </row>
    <row r="19" spans="1:6" x14ac:dyDescent="0.2">
      <c r="B19" s="2" t="s">
        <v>886</v>
      </c>
      <c r="C19" s="13">
        <v>0.02</v>
      </c>
      <c r="D19" s="19">
        <f>C19*(1-ASSUMPTIONS!C80)</f>
        <v>1.6842105263157894E-2</v>
      </c>
      <c r="E19" s="20">
        <f>D19*ASSUMPTIONS!C79</f>
        <v>800000</v>
      </c>
    </row>
    <row r="20" spans="1:6" x14ac:dyDescent="0.2">
      <c r="B20" s="1" t="s">
        <v>887</v>
      </c>
      <c r="C20" s="43">
        <v>0</v>
      </c>
      <c r="D20" s="46">
        <f>ASSUMPTIONS!C80</f>
        <v>0.15789473684210525</v>
      </c>
      <c r="E20" s="38">
        <f>ASSUMPTIONS!C75</f>
        <v>7500000</v>
      </c>
    </row>
    <row r="21" spans="1:6" x14ac:dyDescent="0.2">
      <c r="A21" s="28"/>
      <c r="B21" s="28" t="s">
        <v>888</v>
      </c>
      <c r="C21" s="47">
        <f>SUM(C14:C20)</f>
        <v>1</v>
      </c>
      <c r="D21" s="47">
        <f>SUM(D14:D20)</f>
        <v>1</v>
      </c>
      <c r="E21" s="34">
        <f>SUM(E14:E20)</f>
        <v>47500000</v>
      </c>
      <c r="F21" s="28"/>
    </row>
    <row r="23" spans="1:6" ht="17" x14ac:dyDescent="0.2">
      <c r="B23" s="3" t="s">
        <v>889</v>
      </c>
    </row>
    <row r="24" spans="1:6" ht="16" x14ac:dyDescent="0.2">
      <c r="B24" s="9" t="s">
        <v>120</v>
      </c>
      <c r="C24" s="9" t="s">
        <v>124</v>
      </c>
      <c r="D24" s="9" t="s">
        <v>890</v>
      </c>
    </row>
    <row r="25" spans="1:6" x14ac:dyDescent="0.2">
      <c r="B25" s="2" t="s">
        <v>891</v>
      </c>
      <c r="C25" s="2" t="s">
        <v>892</v>
      </c>
      <c r="D25" s="1" t="s">
        <v>892</v>
      </c>
    </row>
    <row r="26" spans="1:6" x14ac:dyDescent="0.2">
      <c r="B26" s="2" t="s">
        <v>893</v>
      </c>
      <c r="C26" s="2" t="s">
        <v>118</v>
      </c>
      <c r="D26" s="1" t="s">
        <v>894</v>
      </c>
    </row>
    <row r="27" spans="1:6" x14ac:dyDescent="0.2">
      <c r="B27" s="2" t="s">
        <v>895</v>
      </c>
      <c r="C27" s="2" t="s">
        <v>896</v>
      </c>
      <c r="D27" s="1" t="s">
        <v>897</v>
      </c>
    </row>
    <row r="28" spans="1:6" x14ac:dyDescent="0.2">
      <c r="B28" s="2" t="s">
        <v>898</v>
      </c>
      <c r="C28" s="2" t="s">
        <v>111</v>
      </c>
      <c r="D28" s="1" t="s">
        <v>899</v>
      </c>
    </row>
    <row r="30" spans="1:6" ht="17" x14ac:dyDescent="0.2">
      <c r="B30" s="6" t="s">
        <v>900</v>
      </c>
      <c r="C30" s="7"/>
      <c r="D30" s="7"/>
      <c r="E30" s="7"/>
      <c r="F30" s="7"/>
    </row>
    <row r="31" spans="1:6" ht="16" x14ac:dyDescent="0.2">
      <c r="B31" s="9" t="s">
        <v>901</v>
      </c>
      <c r="C31" s="9" t="s">
        <v>902</v>
      </c>
      <c r="D31" s="9" t="s">
        <v>903</v>
      </c>
      <c r="E31" s="9" t="s">
        <v>904</v>
      </c>
    </row>
    <row r="32" spans="1:6" x14ac:dyDescent="0.2">
      <c r="B32" s="2" t="s">
        <v>905</v>
      </c>
      <c r="C32" s="14">
        <v>2620000000</v>
      </c>
      <c r="D32" s="38">
        <f>C32*0.108</f>
        <v>282960000</v>
      </c>
      <c r="E32" s="55">
        <f>D32/ASSUMPTIONS!C77</f>
        <v>28.295999999999999</v>
      </c>
    </row>
    <row r="33" spans="2:6" x14ac:dyDescent="0.2">
      <c r="B33" s="2" t="s">
        <v>906</v>
      </c>
      <c r="C33" s="14">
        <v>3280000000</v>
      </c>
      <c r="D33" s="38">
        <f>C33*0.108</f>
        <v>354240000</v>
      </c>
      <c r="E33" s="55">
        <f>D33/ASSUMPTIONS!C77</f>
        <v>35.423999999999999</v>
      </c>
    </row>
    <row r="34" spans="2:6" x14ac:dyDescent="0.2">
      <c r="B34" s="2" t="s">
        <v>907</v>
      </c>
      <c r="C34" s="14">
        <v>3930000000</v>
      </c>
      <c r="D34" s="38">
        <f>C34*0.108</f>
        <v>424440000</v>
      </c>
      <c r="E34" s="55">
        <f>D34/ASSUMPTIONS!C77</f>
        <v>42.444000000000003</v>
      </c>
    </row>
    <row r="35" spans="2:6" x14ac:dyDescent="0.2">
      <c r="B35" s="2" t="s">
        <v>908</v>
      </c>
      <c r="C35" s="14">
        <v>4320000000</v>
      </c>
      <c r="D35" s="38">
        <f>C35*0.108</f>
        <v>466560000</v>
      </c>
      <c r="E35" s="55">
        <f>D35/ASSUMPTIONS!C77</f>
        <v>46.655999999999999</v>
      </c>
    </row>
    <row r="37" spans="2:6" x14ac:dyDescent="0.2">
      <c r="B37" s="78" t="s">
        <v>909</v>
      </c>
      <c r="C37" s="72"/>
      <c r="D37" s="72"/>
      <c r="E37" s="72"/>
      <c r="F37" s="72"/>
    </row>
  </sheetData>
  <mergeCells count="1">
    <mergeCell ref="B37:F37"/>
  </mergeCells>
  <pageMargins left="0.75" right="0.75" top="1" bottom="1" header="0.5" footer="0.5"/>
  <pageSetup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7F8C8D"/>
    <pageSetUpPr fitToPage="1"/>
  </sheetPr>
  <dimension ref="B1:C54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4" customWidth="1"/>
    <col min="2" max="2" width="60" customWidth="1"/>
    <col min="3" max="3" width="40" customWidth="1"/>
  </cols>
  <sheetData>
    <row r="1" spans="2:3" ht="21" x14ac:dyDescent="0.25">
      <c r="B1" s="4" t="s">
        <v>910</v>
      </c>
    </row>
    <row r="3" spans="2:3" ht="17" x14ac:dyDescent="0.2">
      <c r="B3" s="3" t="s">
        <v>911</v>
      </c>
    </row>
    <row r="4" spans="2:3" x14ac:dyDescent="0.2">
      <c r="B4" s="1" t="s">
        <v>912</v>
      </c>
      <c r="C4" s="2" t="s">
        <v>913</v>
      </c>
    </row>
    <row r="5" spans="2:3" x14ac:dyDescent="0.2">
      <c r="B5" s="1" t="s">
        <v>914</v>
      </c>
      <c r="C5" s="2" t="s">
        <v>915</v>
      </c>
    </row>
    <row r="6" spans="2:3" x14ac:dyDescent="0.2">
      <c r="B6" s="1" t="s">
        <v>916</v>
      </c>
      <c r="C6" s="2" t="s">
        <v>917</v>
      </c>
    </row>
    <row r="7" spans="2:3" x14ac:dyDescent="0.2">
      <c r="B7" s="1" t="s">
        <v>918</v>
      </c>
      <c r="C7" s="2" t="s">
        <v>919</v>
      </c>
    </row>
    <row r="8" spans="2:3" x14ac:dyDescent="0.2">
      <c r="B8" s="1" t="s">
        <v>920</v>
      </c>
      <c r="C8" s="2" t="s">
        <v>921</v>
      </c>
    </row>
    <row r="9" spans="2:3" x14ac:dyDescent="0.2">
      <c r="B9" s="1" t="s">
        <v>922</v>
      </c>
      <c r="C9" s="2" t="s">
        <v>923</v>
      </c>
    </row>
    <row r="10" spans="2:3" x14ac:dyDescent="0.2">
      <c r="B10" s="1" t="s">
        <v>924</v>
      </c>
      <c r="C10" s="2" t="s">
        <v>925</v>
      </c>
    </row>
    <row r="11" spans="2:3" x14ac:dyDescent="0.2">
      <c r="B11" s="1" t="s">
        <v>926</v>
      </c>
      <c r="C11" s="2" t="s">
        <v>927</v>
      </c>
    </row>
    <row r="13" spans="2:3" ht="17" x14ac:dyDescent="0.2">
      <c r="B13" s="3" t="s">
        <v>928</v>
      </c>
    </row>
    <row r="14" spans="2:3" x14ac:dyDescent="0.2">
      <c r="B14" s="76" t="s">
        <v>929</v>
      </c>
      <c r="C14" s="72"/>
    </row>
    <row r="15" spans="2:3" x14ac:dyDescent="0.2">
      <c r="B15" s="76" t="s">
        <v>930</v>
      </c>
      <c r="C15" s="72"/>
    </row>
    <row r="16" spans="2:3" x14ac:dyDescent="0.2">
      <c r="B16" s="76" t="s">
        <v>931</v>
      </c>
      <c r="C16" s="72"/>
    </row>
    <row r="17" spans="2:3" x14ac:dyDescent="0.2">
      <c r="B17" s="76" t="s">
        <v>932</v>
      </c>
      <c r="C17" s="72"/>
    </row>
    <row r="18" spans="2:3" x14ac:dyDescent="0.2">
      <c r="B18" s="76" t="s">
        <v>933</v>
      </c>
      <c r="C18" s="72"/>
    </row>
    <row r="19" spans="2:3" x14ac:dyDescent="0.2">
      <c r="B19" s="76" t="s">
        <v>934</v>
      </c>
      <c r="C19" s="72"/>
    </row>
    <row r="20" spans="2:3" x14ac:dyDescent="0.2">
      <c r="B20" s="76" t="s">
        <v>935</v>
      </c>
      <c r="C20" s="72"/>
    </row>
    <row r="21" spans="2:3" x14ac:dyDescent="0.2">
      <c r="B21" s="76" t="s">
        <v>936</v>
      </c>
      <c r="C21" s="72"/>
    </row>
    <row r="22" spans="2:3" x14ac:dyDescent="0.2">
      <c r="B22" s="76" t="s">
        <v>937</v>
      </c>
      <c r="C22" s="72"/>
    </row>
    <row r="23" spans="2:3" x14ac:dyDescent="0.2">
      <c r="B23" s="76" t="s">
        <v>938</v>
      </c>
      <c r="C23" s="72"/>
    </row>
    <row r="24" spans="2:3" x14ac:dyDescent="0.2">
      <c r="B24" s="76" t="s">
        <v>939</v>
      </c>
      <c r="C24" s="72"/>
    </row>
    <row r="25" spans="2:3" x14ac:dyDescent="0.2">
      <c r="B25" s="76" t="s">
        <v>940</v>
      </c>
      <c r="C25" s="72"/>
    </row>
    <row r="26" spans="2:3" x14ac:dyDescent="0.2">
      <c r="B26" s="76" t="s">
        <v>941</v>
      </c>
      <c r="C26" s="72"/>
    </row>
    <row r="28" spans="2:3" ht="17" x14ac:dyDescent="0.2">
      <c r="B28" s="3" t="s">
        <v>942</v>
      </c>
    </row>
    <row r="29" spans="2:3" x14ac:dyDescent="0.2">
      <c r="B29" s="1" t="s">
        <v>943</v>
      </c>
      <c r="C29" s="2" t="s">
        <v>944</v>
      </c>
    </row>
    <row r="30" spans="2:3" x14ac:dyDescent="0.2">
      <c r="B30" s="1" t="s">
        <v>945</v>
      </c>
      <c r="C30" s="2" t="s">
        <v>946</v>
      </c>
    </row>
    <row r="31" spans="2:3" x14ac:dyDescent="0.2">
      <c r="B31" s="1" t="s">
        <v>947</v>
      </c>
      <c r="C31" s="2" t="s">
        <v>948</v>
      </c>
    </row>
    <row r="32" spans="2:3" x14ac:dyDescent="0.2">
      <c r="B32" s="1" t="s">
        <v>949</v>
      </c>
      <c r="C32" s="2" t="s">
        <v>950</v>
      </c>
    </row>
    <row r="33" spans="2:3" x14ac:dyDescent="0.2">
      <c r="B33" s="1" t="s">
        <v>951</v>
      </c>
      <c r="C33" s="2" t="s">
        <v>952</v>
      </c>
    </row>
    <row r="34" spans="2:3" x14ac:dyDescent="0.2">
      <c r="B34" s="1" t="s">
        <v>755</v>
      </c>
      <c r="C34" s="2" t="s">
        <v>953</v>
      </c>
    </row>
    <row r="35" spans="2:3" x14ac:dyDescent="0.2">
      <c r="B35" s="1" t="s">
        <v>954</v>
      </c>
      <c r="C35" s="2" t="s">
        <v>955</v>
      </c>
    </row>
    <row r="36" spans="2:3" x14ac:dyDescent="0.2">
      <c r="B36" s="1" t="s">
        <v>956</v>
      </c>
      <c r="C36" s="2" t="s">
        <v>957</v>
      </c>
    </row>
    <row r="37" spans="2:3" x14ac:dyDescent="0.2">
      <c r="B37" s="1" t="s">
        <v>958</v>
      </c>
      <c r="C37" s="2" t="s">
        <v>959</v>
      </c>
    </row>
    <row r="38" spans="2:3" x14ac:dyDescent="0.2">
      <c r="B38" s="1" t="s">
        <v>960</v>
      </c>
      <c r="C38" s="2" t="s">
        <v>961</v>
      </c>
    </row>
    <row r="39" spans="2:3" x14ac:dyDescent="0.2">
      <c r="B39" s="1" t="s">
        <v>811</v>
      </c>
      <c r="C39" s="2" t="s">
        <v>962</v>
      </c>
    </row>
    <row r="40" spans="2:3" x14ac:dyDescent="0.2">
      <c r="B40" s="1" t="s">
        <v>963</v>
      </c>
      <c r="C40" s="2" t="s">
        <v>964</v>
      </c>
    </row>
    <row r="41" spans="2:3" x14ac:dyDescent="0.2">
      <c r="B41" s="1" t="s">
        <v>965</v>
      </c>
      <c r="C41" s="2" t="s">
        <v>966</v>
      </c>
    </row>
    <row r="42" spans="2:3" x14ac:dyDescent="0.2">
      <c r="B42" s="1" t="s">
        <v>967</v>
      </c>
      <c r="C42" s="2" t="s">
        <v>968</v>
      </c>
    </row>
    <row r="43" spans="2:3" x14ac:dyDescent="0.2">
      <c r="B43" s="1" t="s">
        <v>969</v>
      </c>
      <c r="C43" s="2" t="s">
        <v>970</v>
      </c>
    </row>
    <row r="44" spans="2:3" x14ac:dyDescent="0.2">
      <c r="B44" s="1" t="s">
        <v>840</v>
      </c>
      <c r="C44" s="2" t="s">
        <v>971</v>
      </c>
    </row>
    <row r="45" spans="2:3" x14ac:dyDescent="0.2">
      <c r="B45" s="1" t="s">
        <v>972</v>
      </c>
      <c r="C45" s="2" t="s">
        <v>973</v>
      </c>
    </row>
    <row r="46" spans="2:3" x14ac:dyDescent="0.2">
      <c r="B46" s="1" t="s">
        <v>393</v>
      </c>
      <c r="C46" s="2" t="s">
        <v>974</v>
      </c>
    </row>
    <row r="48" spans="2:3" ht="17" x14ac:dyDescent="0.2">
      <c r="B48" s="3" t="s">
        <v>975</v>
      </c>
    </row>
    <row r="49" spans="2:3" x14ac:dyDescent="0.2">
      <c r="B49" s="78" t="s">
        <v>976</v>
      </c>
      <c r="C49" s="72"/>
    </row>
    <row r="50" spans="2:3" x14ac:dyDescent="0.2">
      <c r="B50" s="78" t="s">
        <v>977</v>
      </c>
      <c r="C50" s="72"/>
    </row>
    <row r="51" spans="2:3" x14ac:dyDescent="0.2">
      <c r="B51" s="78" t="s">
        <v>978</v>
      </c>
      <c r="C51" s="72"/>
    </row>
    <row r="52" spans="2:3" x14ac:dyDescent="0.2">
      <c r="B52" s="78" t="s">
        <v>979</v>
      </c>
      <c r="C52" s="72"/>
    </row>
    <row r="53" spans="2:3" x14ac:dyDescent="0.2">
      <c r="B53" s="78" t="s">
        <v>980</v>
      </c>
      <c r="C53" s="72"/>
    </row>
    <row r="54" spans="2:3" x14ac:dyDescent="0.2">
      <c r="B54" s="78" t="s">
        <v>981</v>
      </c>
      <c r="C54" s="72"/>
    </row>
  </sheetData>
  <mergeCells count="19">
    <mergeCell ref="B14:C14"/>
    <mergeCell ref="B17:C17"/>
    <mergeCell ref="B53:C53"/>
    <mergeCell ref="B19:C19"/>
    <mergeCell ref="B49:C49"/>
    <mergeCell ref="B24:C24"/>
    <mergeCell ref="B15:C15"/>
    <mergeCell ref="B51:C51"/>
    <mergeCell ref="B20:C20"/>
    <mergeCell ref="B50:C50"/>
    <mergeCell ref="B26:C26"/>
    <mergeCell ref="B16:C16"/>
    <mergeCell ref="B54:C54"/>
    <mergeCell ref="B25:C25"/>
    <mergeCell ref="B22:C22"/>
    <mergeCell ref="B18:C18"/>
    <mergeCell ref="B52:C52"/>
    <mergeCell ref="B21:C21"/>
    <mergeCell ref="B23:C23"/>
  </mergeCells>
  <pageMargins left="0.75" right="0.75" top="1" bottom="1" header="0.5" footer="0.5"/>
  <pageSetup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E67E22"/>
    <pageSetUpPr fitToPage="1"/>
  </sheetPr>
  <dimension ref="B1:G58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4" customWidth="1"/>
    <col min="2" max="2" width="32" customWidth="1"/>
    <col min="3" max="8" width="18" customWidth="1"/>
  </cols>
  <sheetData>
    <row r="1" spans="2:7" ht="21" x14ac:dyDescent="0.25">
      <c r="B1" s="4" t="s">
        <v>982</v>
      </c>
    </row>
    <row r="2" spans="2:7" x14ac:dyDescent="0.2">
      <c r="B2" s="5" t="s">
        <v>983</v>
      </c>
    </row>
    <row r="4" spans="2:7" ht="17" x14ac:dyDescent="0.2">
      <c r="B4" s="6" t="s">
        <v>984</v>
      </c>
      <c r="C4" s="7"/>
      <c r="D4" s="7"/>
      <c r="E4" s="7"/>
      <c r="F4" s="7"/>
      <c r="G4" s="7"/>
    </row>
    <row r="5" spans="2:7" ht="32" x14ac:dyDescent="0.2">
      <c r="B5" s="9" t="s">
        <v>387</v>
      </c>
      <c r="C5" s="9" t="s">
        <v>397</v>
      </c>
      <c r="D5" s="9" t="s">
        <v>985</v>
      </c>
      <c r="E5" s="9" t="s">
        <v>986</v>
      </c>
    </row>
    <row r="6" spans="2:7" x14ac:dyDescent="0.2">
      <c r="B6" s="62">
        <v>2.5000000000000001E-2</v>
      </c>
      <c r="C6" s="27">
        <v>4.3600000000000003</v>
      </c>
      <c r="D6" s="27">
        <v>-0.72</v>
      </c>
      <c r="E6" s="19">
        <v>0.82499999999999996</v>
      </c>
    </row>
    <row r="7" spans="2:7" x14ac:dyDescent="0.2">
      <c r="B7" s="62">
        <v>0.03</v>
      </c>
      <c r="C7" s="27">
        <v>4.5999999999999996</v>
      </c>
      <c r="D7" s="27">
        <v>-0.48</v>
      </c>
      <c r="E7" s="19">
        <v>0.81599999999999995</v>
      </c>
    </row>
    <row r="8" spans="2:7" x14ac:dyDescent="0.2">
      <c r="B8" s="62">
        <v>3.5000000000000003E-2</v>
      </c>
      <c r="C8" s="27">
        <v>4.84</v>
      </c>
      <c r="D8" s="27">
        <v>-0.24</v>
      </c>
      <c r="E8" s="19">
        <v>0.80600000000000005</v>
      </c>
    </row>
    <row r="9" spans="2:7" x14ac:dyDescent="0.2">
      <c r="B9" s="62">
        <v>0.04</v>
      </c>
      <c r="C9" s="27">
        <v>5.08</v>
      </c>
      <c r="D9" s="27">
        <v>0</v>
      </c>
      <c r="E9" s="19">
        <v>0.79700000000000004</v>
      </c>
    </row>
    <row r="10" spans="2:7" x14ac:dyDescent="0.2">
      <c r="B10" s="62">
        <v>4.4999999999999998E-2</v>
      </c>
      <c r="C10" s="27">
        <v>5.32</v>
      </c>
      <c r="D10" s="27">
        <v>0.24</v>
      </c>
      <c r="E10" s="19">
        <v>0.78700000000000003</v>
      </c>
    </row>
    <row r="11" spans="2:7" x14ac:dyDescent="0.2">
      <c r="B11" s="62">
        <v>0.05</v>
      </c>
      <c r="C11" s="27">
        <v>5.56</v>
      </c>
      <c r="D11" s="27">
        <v>0.48</v>
      </c>
      <c r="E11" s="19">
        <v>0.77700000000000002</v>
      </c>
    </row>
    <row r="12" spans="2:7" x14ac:dyDescent="0.2">
      <c r="B12" s="62">
        <v>5.5E-2</v>
      </c>
      <c r="C12" s="27">
        <v>5.8</v>
      </c>
      <c r="D12" s="27">
        <v>0.72</v>
      </c>
      <c r="E12" s="19">
        <v>0.76800000000000002</v>
      </c>
    </row>
    <row r="14" spans="2:7" ht="17" x14ac:dyDescent="0.2">
      <c r="B14" s="6" t="s">
        <v>987</v>
      </c>
      <c r="C14" s="7"/>
      <c r="D14" s="7"/>
      <c r="E14" s="7"/>
      <c r="F14" s="7"/>
      <c r="G14" s="7"/>
    </row>
    <row r="15" spans="2:7" ht="16" x14ac:dyDescent="0.2">
      <c r="B15" s="9" t="s">
        <v>901</v>
      </c>
      <c r="C15" s="9" t="s">
        <v>386</v>
      </c>
      <c r="D15" s="9" t="s">
        <v>988</v>
      </c>
      <c r="E15" s="9" t="s">
        <v>397</v>
      </c>
      <c r="F15" s="9" t="s">
        <v>989</v>
      </c>
    </row>
    <row r="16" spans="2:7" x14ac:dyDescent="0.2">
      <c r="B16" s="2" t="s">
        <v>383</v>
      </c>
      <c r="C16" s="49">
        <f>ASSUMPTIONS!C9</f>
        <v>42.8</v>
      </c>
      <c r="D16" s="62">
        <v>4.4999999999999998E-2</v>
      </c>
      <c r="E16" s="63">
        <v>5.35</v>
      </c>
      <c r="F16" s="32" t="str">
        <f>"$"&amp;TEXT(4-E16,"0.00")&amp;" - $"&amp;TEXT(7-E16,"0.00")&amp;" below PEM"</f>
        <v>$-1.35 - $1.65 below PEM</v>
      </c>
    </row>
    <row r="17" spans="2:7" x14ac:dyDescent="0.2">
      <c r="B17" s="1" t="s">
        <v>384</v>
      </c>
      <c r="C17" s="49">
        <f>ASSUMPTIONS!C8</f>
        <v>46.5</v>
      </c>
      <c r="D17" s="18">
        <f>ASSUMPTIONS!C5</f>
        <v>0.04</v>
      </c>
      <c r="E17" s="63">
        <v>5.26</v>
      </c>
      <c r="F17" s="32" t="str">
        <f>"$"&amp;TEXT(4-E17,"0.00")&amp;" - $"&amp;TEXT(7-E17,"0.00")&amp;" below PEM"</f>
        <v>$-1.26 - $1.74 below PEM</v>
      </c>
    </row>
    <row r="18" spans="2:7" x14ac:dyDescent="0.2">
      <c r="B18" s="2" t="s">
        <v>385</v>
      </c>
      <c r="C18" s="49">
        <f>ASSUMPTIONS!C10</f>
        <v>39.6</v>
      </c>
      <c r="D18" s="18">
        <f>ASSUMPTIONS!C6</f>
        <v>2.5000000000000001E-2</v>
      </c>
      <c r="E18" s="63">
        <v>4.75</v>
      </c>
      <c r="F18" s="32" t="str">
        <f>"$"&amp;TEXT(4-E18,"0.00")&amp;" - $"&amp;TEXT(7-E18,"0.00")&amp;" below PEM"</f>
        <v>$-0.75 - $2.25 below PEM</v>
      </c>
    </row>
    <row r="21" spans="2:7" ht="17" x14ac:dyDescent="0.2">
      <c r="B21" s="6" t="s">
        <v>990</v>
      </c>
      <c r="C21" s="7"/>
      <c r="D21" s="7"/>
      <c r="E21" s="7"/>
      <c r="F21" s="7"/>
      <c r="G21" s="7"/>
    </row>
    <row r="22" spans="2:7" ht="16" x14ac:dyDescent="0.2">
      <c r="B22" s="9" t="s">
        <v>991</v>
      </c>
      <c r="C22" s="9" t="s">
        <v>992</v>
      </c>
      <c r="D22" s="9" t="s">
        <v>993</v>
      </c>
      <c r="E22" s="9" t="s">
        <v>994</v>
      </c>
      <c r="F22" s="9" t="s">
        <v>995</v>
      </c>
      <c r="G22" s="9" t="s">
        <v>996</v>
      </c>
    </row>
    <row r="23" spans="2:7" x14ac:dyDescent="0.2">
      <c r="B23" s="33" t="s">
        <v>997</v>
      </c>
      <c r="C23" s="49">
        <f>(3*ASSUMPTIONS!$C$22*15+29000000*3/7)/1000000</f>
        <v>52.928571428571431</v>
      </c>
      <c r="D23" s="49">
        <f>(5*ASSUMPTIONS!$C$22*15+29000000*5/7)/1000000</f>
        <v>88.214285714285722</v>
      </c>
      <c r="E23" s="49">
        <f>(7*ASSUMPTIONS!$C$22*15+29000000*7/7)/1000000</f>
        <v>123.5</v>
      </c>
      <c r="F23" s="49">
        <f>(10*ASSUMPTIONS!$C$22*15+29000000*10/7)/1000000</f>
        <v>176.42857142857144</v>
      </c>
      <c r="G23" s="49">
        <f>(12*ASSUMPTIONS!$C$22*15+29000000*12/7)/1000000</f>
        <v>211.71428571428572</v>
      </c>
    </row>
    <row r="24" spans="2:7" x14ac:dyDescent="0.2">
      <c r="B24" s="33" t="s">
        <v>998</v>
      </c>
      <c r="C24" s="49">
        <f>(3*ASSUMPTIONS!$C$22*20+29000000*3/7)/1000000</f>
        <v>66.428571428571431</v>
      </c>
      <c r="D24" s="49">
        <f>(5*ASSUMPTIONS!$C$22*20+29000000*5/7)/1000000</f>
        <v>110.71428571428572</v>
      </c>
      <c r="E24" s="49">
        <f>(7*ASSUMPTIONS!$C$22*20+29000000*7/7)/1000000</f>
        <v>155</v>
      </c>
      <c r="F24" s="49">
        <f>(10*ASSUMPTIONS!$C$22*20+29000000*10/7)/1000000</f>
        <v>221.42857142857144</v>
      </c>
      <c r="G24" s="49">
        <f>(12*ASSUMPTIONS!$C$22*20+29000000*12/7)/1000000</f>
        <v>265.71428571428572</v>
      </c>
    </row>
    <row r="25" spans="2:7" x14ac:dyDescent="0.2">
      <c r="B25" s="33" t="s">
        <v>999</v>
      </c>
      <c r="C25" s="49">
        <f>(3*ASSUMPTIONS!$C$22*25+29000000*3/7)/1000000</f>
        <v>79.928571428571431</v>
      </c>
      <c r="D25" s="49">
        <f>(5*ASSUMPTIONS!$C$22*25+29000000*5/7)/1000000</f>
        <v>133.21428571428572</v>
      </c>
      <c r="E25" s="50">
        <f>(7*ASSUMPTIONS!$C$22*25+29000000*7/7)/1000000</f>
        <v>186.5</v>
      </c>
      <c r="F25" s="49">
        <f>(10*ASSUMPTIONS!$C$22*25+29000000*10/7)/1000000</f>
        <v>266.42857142857144</v>
      </c>
      <c r="G25" s="49">
        <f>(12*ASSUMPTIONS!$C$22*25+29000000*12/7)/1000000</f>
        <v>319.71428571428572</v>
      </c>
    </row>
    <row r="26" spans="2:7" x14ac:dyDescent="0.2">
      <c r="B26" s="33" t="s">
        <v>1000</v>
      </c>
      <c r="C26" s="49">
        <f>(3*ASSUMPTIONS!$C$22*30+29000000*3/7)/1000000</f>
        <v>93.428571428571431</v>
      </c>
      <c r="D26" s="49">
        <f>(5*ASSUMPTIONS!$C$22*30+29000000*5/7)/1000000</f>
        <v>155.71428571428569</v>
      </c>
      <c r="E26" s="49">
        <f>(7*ASSUMPTIONS!$C$22*30+29000000*7/7)/1000000</f>
        <v>218</v>
      </c>
      <c r="F26" s="49">
        <f>(10*ASSUMPTIONS!$C$22*30+29000000*10/7)/1000000</f>
        <v>311.42857142857139</v>
      </c>
      <c r="G26" s="49">
        <f>(12*ASSUMPTIONS!$C$22*30+29000000*12/7)/1000000</f>
        <v>373.71428571428572</v>
      </c>
    </row>
    <row r="27" spans="2:7" x14ac:dyDescent="0.2">
      <c r="B27" s="33" t="s">
        <v>1001</v>
      </c>
      <c r="C27" s="49">
        <f>(3*ASSUMPTIONS!$C$22*35+29000000*3/7)/1000000</f>
        <v>106.92857142857143</v>
      </c>
      <c r="D27" s="49">
        <f>(5*ASSUMPTIONS!$C$22*35+29000000*5/7)/1000000</f>
        <v>178.21428571428569</v>
      </c>
      <c r="E27" s="49">
        <f>(7*ASSUMPTIONS!$C$22*35+29000000*7/7)/1000000</f>
        <v>249.5</v>
      </c>
      <c r="F27" s="49">
        <f>(10*ASSUMPTIONS!$C$22*35+29000000*10/7)/1000000</f>
        <v>356.42857142857139</v>
      </c>
      <c r="G27" s="49">
        <f>(12*ASSUMPTIONS!$C$22*35+29000000*12/7)/1000000</f>
        <v>427.71428571428572</v>
      </c>
    </row>
    <row r="30" spans="2:7" ht="17" x14ac:dyDescent="0.2">
      <c r="B30" s="6" t="s">
        <v>1002</v>
      </c>
      <c r="C30" s="7"/>
      <c r="D30" s="7"/>
      <c r="E30" s="7"/>
      <c r="F30" s="7"/>
      <c r="G30" s="7"/>
    </row>
    <row r="31" spans="2:7" ht="16" x14ac:dyDescent="0.2">
      <c r="B31" s="9" t="s">
        <v>51</v>
      </c>
      <c r="C31" s="9" t="s">
        <v>1003</v>
      </c>
      <c r="D31" s="9" t="s">
        <v>1004</v>
      </c>
      <c r="E31" s="9" t="s">
        <v>1005</v>
      </c>
    </row>
    <row r="32" spans="2:7" x14ac:dyDescent="0.2">
      <c r="B32" s="2" t="s">
        <v>399</v>
      </c>
      <c r="C32" s="64">
        <v>15</v>
      </c>
      <c r="D32" s="32">
        <f>ASSUMPTIONS!C15</f>
        <v>25</v>
      </c>
      <c r="E32" s="64">
        <v>35</v>
      </c>
    </row>
    <row r="33" spans="2:7" x14ac:dyDescent="0.2">
      <c r="B33" s="2" t="s">
        <v>593</v>
      </c>
      <c r="C33" s="64">
        <v>6</v>
      </c>
      <c r="D33" s="64">
        <v>12</v>
      </c>
      <c r="E33" s="64">
        <v>12</v>
      </c>
    </row>
    <row r="34" spans="2:7" x14ac:dyDescent="0.2">
      <c r="B34" s="2" t="s">
        <v>83</v>
      </c>
      <c r="C34" s="64" t="s">
        <v>559</v>
      </c>
      <c r="D34" s="64" t="s">
        <v>1006</v>
      </c>
      <c r="E34" s="64" t="s">
        <v>1006</v>
      </c>
    </row>
    <row r="36" spans="2:7" x14ac:dyDescent="0.2">
      <c r="B36" s="1" t="s">
        <v>1007</v>
      </c>
      <c r="C36" s="48">
        <f>(C33*ASSUMPTIONS!$C$22*C32+51060000*C33/12)/1000000</f>
        <v>106.53</v>
      </c>
      <c r="D36" s="48">
        <f>'P&amp;L'!I11/1000000</f>
        <v>327.65484600000002</v>
      </c>
      <c r="E36" s="48">
        <f>(E33*ASSUMPTIONS!$C$22*E32+51060000*E33/12)/1000000</f>
        <v>429.06</v>
      </c>
    </row>
    <row r="37" spans="2:7" x14ac:dyDescent="0.2">
      <c r="B37" s="1" t="s">
        <v>84</v>
      </c>
      <c r="C37" s="48">
        <f>C36*0.37</f>
        <v>39.4161</v>
      </c>
      <c r="D37" s="48">
        <f>'P&amp;L'!I31/1000000</f>
        <v>209.4311188984</v>
      </c>
      <c r="E37" s="48">
        <f>E36*0.71</f>
        <v>304.63259999999997</v>
      </c>
    </row>
    <row r="38" spans="2:7" x14ac:dyDescent="0.2">
      <c r="B38" s="2" t="s">
        <v>1008</v>
      </c>
      <c r="C38" s="19">
        <f>C37/C36</f>
        <v>0.37</v>
      </c>
      <c r="D38" s="19">
        <f>D37/D36</f>
        <v>0.63918211940134095</v>
      </c>
      <c r="E38" s="19">
        <f>E37/E36</f>
        <v>0.71</v>
      </c>
    </row>
    <row r="39" spans="2:7" x14ac:dyDescent="0.2">
      <c r="B39" s="1" t="s">
        <v>85</v>
      </c>
      <c r="C39" s="48">
        <f>C36*0.2</f>
        <v>21.306000000000001</v>
      </c>
      <c r="D39" s="48">
        <f>'P&amp;L'!I40/1000000</f>
        <v>152.475470765832</v>
      </c>
      <c r="E39" s="48">
        <f>E36*0.52</f>
        <v>223.1112</v>
      </c>
    </row>
    <row r="41" spans="2:7" ht="17" x14ac:dyDescent="0.2">
      <c r="B41" s="6" t="s">
        <v>1009</v>
      </c>
      <c r="C41" s="7"/>
      <c r="D41" s="7"/>
      <c r="E41" s="7"/>
      <c r="F41" s="7"/>
      <c r="G41" s="7"/>
    </row>
    <row r="42" spans="2:7" ht="16" x14ac:dyDescent="0.2">
      <c r="B42" s="9" t="s">
        <v>1010</v>
      </c>
      <c r="C42" s="9" t="s">
        <v>1011</v>
      </c>
      <c r="D42" s="9" t="s">
        <v>1012</v>
      </c>
      <c r="E42" s="9" t="s">
        <v>1013</v>
      </c>
      <c r="F42" s="9" t="s">
        <v>904</v>
      </c>
    </row>
    <row r="43" spans="2:7" ht="17" x14ac:dyDescent="0.2">
      <c r="B43" s="2" t="s">
        <v>1014</v>
      </c>
      <c r="C43" s="2" t="s">
        <v>1015</v>
      </c>
      <c r="D43" s="48">
        <v>2621</v>
      </c>
      <c r="E43" s="21">
        <v>283</v>
      </c>
      <c r="F43" s="65">
        <v>28.3</v>
      </c>
    </row>
    <row r="44" spans="2:7" ht="17" x14ac:dyDescent="0.2">
      <c r="B44" s="2" t="s">
        <v>1016</v>
      </c>
      <c r="C44" s="2" t="s">
        <v>1017</v>
      </c>
      <c r="D44" s="48">
        <v>3277</v>
      </c>
      <c r="E44" s="21">
        <v>354</v>
      </c>
      <c r="F44" s="65">
        <v>35.4</v>
      </c>
    </row>
    <row r="45" spans="2:7" ht="17" x14ac:dyDescent="0.2">
      <c r="B45" s="2" t="s">
        <v>1018</v>
      </c>
      <c r="C45" s="2" t="s">
        <v>1019</v>
      </c>
      <c r="D45" s="48">
        <v>3932</v>
      </c>
      <c r="E45" s="21">
        <v>425</v>
      </c>
      <c r="F45" s="65">
        <v>42.5</v>
      </c>
    </row>
    <row r="46" spans="2:7" ht="17" x14ac:dyDescent="0.2">
      <c r="B46" s="2" t="s">
        <v>1020</v>
      </c>
      <c r="C46" s="2" t="s">
        <v>1021</v>
      </c>
      <c r="D46" s="48">
        <v>3141</v>
      </c>
      <c r="E46" s="21">
        <v>339</v>
      </c>
      <c r="F46" s="65">
        <v>33.9</v>
      </c>
    </row>
    <row r="47" spans="2:7" ht="17" x14ac:dyDescent="0.2">
      <c r="B47" s="2" t="s">
        <v>1022</v>
      </c>
      <c r="C47" s="2" t="s">
        <v>1023</v>
      </c>
      <c r="D47" s="48">
        <v>4189</v>
      </c>
      <c r="E47" s="21">
        <v>452</v>
      </c>
      <c r="F47" s="65">
        <v>45.2</v>
      </c>
    </row>
    <row r="48" spans="2:7" ht="17" x14ac:dyDescent="0.2">
      <c r="B48" s="2" t="s">
        <v>1024</v>
      </c>
      <c r="C48" s="2" t="s">
        <v>1025</v>
      </c>
      <c r="D48" s="48">
        <v>5236</v>
      </c>
      <c r="E48" s="21">
        <v>565</v>
      </c>
      <c r="F48" s="65">
        <v>56.5</v>
      </c>
    </row>
    <row r="51" spans="2:7" ht="17" x14ac:dyDescent="0.2">
      <c r="B51" s="6" t="s">
        <v>1026</v>
      </c>
      <c r="C51" s="7"/>
      <c r="D51" s="7"/>
      <c r="E51" s="7"/>
      <c r="F51" s="7"/>
      <c r="G51" s="7"/>
    </row>
    <row r="52" spans="2:7" ht="16" x14ac:dyDescent="0.2">
      <c r="B52" s="9" t="s">
        <v>1027</v>
      </c>
      <c r="C52" s="9" t="s">
        <v>1028</v>
      </c>
      <c r="D52" s="9" t="s">
        <v>1029</v>
      </c>
    </row>
    <row r="53" spans="2:7" x14ac:dyDescent="0.2">
      <c r="B53" s="2" t="s">
        <v>1030</v>
      </c>
      <c r="C53" s="66">
        <f>-ASSUMPTIONS!C22*12*(ASSUMPTIONS!C7/ASSUMPTIONS!C11*0.01+ASSUMPTIONS!C12*0.01)/1000000</f>
        <v>-5.1754736842105267</v>
      </c>
      <c r="D53" s="5" t="s">
        <v>1031</v>
      </c>
    </row>
    <row r="54" spans="2:7" x14ac:dyDescent="0.2">
      <c r="B54" s="2" t="s">
        <v>1032</v>
      </c>
      <c r="C54" s="66">
        <f>-ASSUMPTIONS!I105*5/1000000</f>
        <v>-54</v>
      </c>
      <c r="D54" s="5" t="s">
        <v>1031</v>
      </c>
    </row>
    <row r="55" spans="2:7" x14ac:dyDescent="0.2">
      <c r="B55" s="2" t="s">
        <v>1033</v>
      </c>
      <c r="C55" s="66">
        <f>-ASSUMPTIONS!C22*4*ASSUMPTIONS!C68/1000000</f>
        <v>-10.8</v>
      </c>
      <c r="D55" s="5" t="s">
        <v>1031</v>
      </c>
    </row>
    <row r="56" spans="2:7" x14ac:dyDescent="0.2">
      <c r="B56" s="2" t="s">
        <v>1034</v>
      </c>
      <c r="C56" s="66">
        <f>-2*ASSUMPTIONS!C22*(ASSUMPTIONS!C15-4.84)/1000000</f>
        <v>-36.287999999999997</v>
      </c>
      <c r="D56" s="5" t="s">
        <v>1031</v>
      </c>
    </row>
    <row r="57" spans="2:7" ht="17" x14ac:dyDescent="0.2">
      <c r="B57" s="2" t="s">
        <v>1035</v>
      </c>
      <c r="C57" s="67">
        <f>ASSUMPTIONS!I105*5/1000000</f>
        <v>54</v>
      </c>
      <c r="D57" s="5" t="s">
        <v>1036</v>
      </c>
    </row>
    <row r="58" spans="2:7" ht="17" x14ac:dyDescent="0.2">
      <c r="B58" s="2" t="s">
        <v>1037</v>
      </c>
      <c r="C58" s="67">
        <f>ASSUMPTIONS!C22*12*(ASSUMPTIONS!C7/ASSUMPTIONS!C11*0.015+ASSUMPTIONS!C12*0.015)/1000000</f>
        <v>7.7632105263157909</v>
      </c>
      <c r="D58" s="5" t="s">
        <v>1036</v>
      </c>
    </row>
  </sheetData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28</vt:i4>
      </vt:variant>
    </vt:vector>
  </HeadingPairs>
  <TitlesOfParts>
    <vt:vector size="43" baseType="lpstr">
      <vt:lpstr>COVER</vt:lpstr>
      <vt:lpstr>EXECUTIVE SUMMARY</vt:lpstr>
      <vt:lpstr>ASSUMPTIONS</vt:lpstr>
      <vt:lpstr>UNIT ECONOMICS</vt:lpstr>
      <vt:lpstr>REVENUE MODEL</vt:lpstr>
      <vt:lpstr>P&amp;L</vt:lpstr>
      <vt:lpstr>CASH FLOW</vt:lpstr>
      <vt:lpstr>FACILITY RAMP</vt:lpstr>
      <vt:lpstr>FACILITY AFE</vt:lpstr>
      <vt:lpstr>45V TAX CREDIT</vt:lpstr>
      <vt:lpstr>MARKET &amp; TAM</vt:lpstr>
      <vt:lpstr>COMPETITIVE LANDSCAPE</vt:lpstr>
      <vt:lpstr>CAP TABLE</vt:lpstr>
      <vt:lpstr>SOURCES &amp; NOTES</vt:lpstr>
      <vt:lpstr>SENSITIVITY</vt:lpstr>
      <vt:lpstr>addl_facility_capex</vt:lpstr>
      <vt:lpstr>asset_life</vt:lpstr>
      <vt:lpstr>benefits_loading</vt:lpstr>
      <vt:lpstr>blended_h2_cogs</vt:lpstr>
      <vt:lpstr>bop_efficiency</vt:lpstr>
      <vt:lpstr>compression_energy</vt:lpstr>
      <vt:lpstr>debt_rate</vt:lpstr>
      <vt:lpstr>direct_variable_cost</vt:lpstr>
      <vt:lpstr>electricity_price</vt:lpstr>
      <vt:lpstr>h2_asp</vt:lpstr>
      <vt:lpstr>h2_production_fy7</vt:lpstr>
      <vt:lpstr>maintenance_cost</vt:lpstr>
      <vt:lpstr>nameplate_per_facility</vt:lpstr>
      <vt:lpstr>pilot_capex</vt:lpstr>
      <vt:lpstr>pre_money_val</vt:lpstr>
      <vt:lpstr>ptc_rate</vt:lpstr>
      <vt:lpstr>ptc_toggle</vt:lpstr>
      <vt:lpstr>seed_debt</vt:lpstr>
      <vt:lpstr>seed_equity</vt:lpstr>
      <vt:lpstr>stack_sec</vt:lpstr>
      <vt:lpstr>system_sec_base</vt:lpstr>
      <vt:lpstr>t125_cogs</vt:lpstr>
      <vt:lpstr>t125_price</vt:lpstr>
      <vt:lpstr>t25_cogs</vt:lpstr>
      <vt:lpstr>t25_price</vt:lpstr>
      <vt:lpstr>tax_rate</vt:lpstr>
      <vt:lpstr>utilization_target</vt:lpstr>
      <vt:lpstr>wind_ppa_rate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Colby DeWeese</cp:lastModifiedBy>
  <dcterms:created xsi:type="dcterms:W3CDTF">2026-03-21T17:04:21Z</dcterms:created>
  <dcterms:modified xsi:type="dcterms:W3CDTF">2026-03-21T20:02:29Z</dcterms:modified>
</cp:coreProperties>
</file>