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ooners.sharepoint.com/sites/EnergyTeam/Shared Documents/General/Final Report/"/>
    </mc:Choice>
  </mc:AlternateContent>
  <xr:revisionPtr revIDLastSave="1725" documentId="14_{F7858BE6-5A33-455C-BB49-0804EAF12BF2}" xr6:coauthVersionLast="47" xr6:coauthVersionMax="47" xr10:uidLastSave="{A827D58B-FA0F-4365-A672-2CFF5CD8B3B0}"/>
  <bookViews>
    <workbookView xWindow="-110" yWindow="-110" windowWidth="19420" windowHeight="11500" xr2:uid="{7488BB2A-9294-4199-B5A9-908D67DE80B4}"/>
  </bookViews>
  <sheets>
    <sheet name="Assumptions" sheetId="6" r:id="rId1"/>
    <sheet name="Income Sheet" sheetId="10" r:id="rId2"/>
    <sheet name="Market Info" sheetId="7" r:id="rId3"/>
    <sheet name="Probability Matrix" sheetId="8" r:id="rId4"/>
    <sheet name="Sources" sheetId="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6" l="1"/>
  <c r="E31" i="6"/>
  <c r="F31" i="6"/>
  <c r="G31" i="6"/>
  <c r="C31" i="6"/>
  <c r="D30" i="6"/>
  <c r="E30" i="6"/>
  <c r="F30" i="6"/>
  <c r="G30" i="6"/>
  <c r="C30" i="6"/>
  <c r="D29" i="6"/>
  <c r="E29" i="6"/>
  <c r="F29" i="6"/>
  <c r="G29" i="6"/>
  <c r="C29" i="6"/>
  <c r="D23" i="6"/>
  <c r="E23" i="6"/>
  <c r="F23" i="6"/>
  <c r="G23" i="6"/>
  <c r="D16" i="6"/>
  <c r="E16" i="6"/>
  <c r="F16" i="6"/>
  <c r="G16" i="6"/>
  <c r="C16" i="6"/>
  <c r="E25" i="6"/>
  <c r="F25" i="6"/>
  <c r="G25" i="6"/>
  <c r="D25" i="6"/>
  <c r="J14" i="6" l="1"/>
  <c r="N21" i="6" s="1"/>
  <c r="S59" i="6"/>
  <c r="S52" i="6"/>
  <c r="S53" i="6"/>
  <c r="S54" i="6"/>
  <c r="S55" i="6"/>
  <c r="S56" i="6"/>
  <c r="S57" i="6"/>
  <c r="S58" i="6"/>
  <c r="S51" i="6"/>
  <c r="T59" i="6"/>
  <c r="T46" i="6"/>
  <c r="R51" i="6"/>
  <c r="R46" i="6"/>
  <c r="R58" i="6" s="1"/>
  <c r="S34" i="6"/>
  <c r="S33" i="6"/>
  <c r="R33" i="6"/>
  <c r="S23" i="6"/>
  <c r="R23" i="6"/>
  <c r="K10" i="7"/>
  <c r="G10" i="7"/>
  <c r="I10" i="7" s="1"/>
  <c r="F10" i="7"/>
  <c r="J10" i="7" s="1"/>
  <c r="S27" i="6"/>
  <c r="S28" i="6"/>
  <c r="S29" i="6"/>
  <c r="S30" i="6"/>
  <c r="S31" i="6"/>
  <c r="S32" i="6"/>
  <c r="S26" i="6"/>
  <c r="R27" i="6"/>
  <c r="R28" i="6"/>
  <c r="R29" i="6"/>
  <c r="R30" i="6"/>
  <c r="R31" i="6"/>
  <c r="R32" i="6"/>
  <c r="R26" i="6"/>
  <c r="R34" i="6" s="1"/>
  <c r="S17" i="6"/>
  <c r="S18" i="6"/>
  <c r="S19" i="6"/>
  <c r="S20" i="6"/>
  <c r="S21" i="6"/>
  <c r="S22" i="6"/>
  <c r="S16" i="6"/>
  <c r="R17" i="6"/>
  <c r="R52" i="6" s="1"/>
  <c r="R18" i="6"/>
  <c r="R53" i="6" s="1"/>
  <c r="R19" i="6"/>
  <c r="R54" i="6" s="1"/>
  <c r="R20" i="6"/>
  <c r="R55" i="6" s="1"/>
  <c r="R21" i="6"/>
  <c r="R56" i="6" s="1"/>
  <c r="R22" i="6"/>
  <c r="R57" i="6" s="1"/>
  <c r="R16" i="6"/>
  <c r="C10" i="7"/>
  <c r="R12" i="6"/>
  <c r="B11" i="7"/>
  <c r="C9" i="7"/>
  <c r="C8" i="7"/>
  <c r="C7" i="7"/>
  <c r="C6" i="7"/>
  <c r="C5" i="7"/>
  <c r="C4" i="7"/>
  <c r="C11" i="7" s="1"/>
  <c r="C3" i="7"/>
  <c r="J4" i="7"/>
  <c r="R8" i="6"/>
  <c r="R9" i="6"/>
  <c r="R10" i="6"/>
  <c r="R11" i="6"/>
  <c r="R6" i="6"/>
  <c r="R7" i="6"/>
  <c r="R5" i="6"/>
  <c r="R13" i="6" s="1"/>
  <c r="G5" i="7"/>
  <c r="G6" i="7"/>
  <c r="G7" i="7"/>
  <c r="G8" i="7"/>
  <c r="G9" i="7"/>
  <c r="G3" i="7"/>
  <c r="F5" i="7"/>
  <c r="F6" i="7"/>
  <c r="F7" i="7"/>
  <c r="H7" i="7" s="1"/>
  <c r="F8" i="7"/>
  <c r="F9" i="7"/>
  <c r="F3" i="7"/>
  <c r="N18" i="6"/>
  <c r="N19" i="6"/>
  <c r="N17" i="6"/>
  <c r="N33" i="6"/>
  <c r="N34" i="6"/>
  <c r="N32" i="6"/>
  <c r="N29" i="6"/>
  <c r="N30" i="6"/>
  <c r="N28" i="6"/>
  <c r="C20" i="6" l="1"/>
  <c r="C21" i="10" s="1"/>
  <c r="D20" i="6"/>
  <c r="D21" i="10" s="1"/>
  <c r="R59" i="6"/>
  <c r="R35" i="6"/>
  <c r="R37" i="6"/>
  <c r="S35" i="6"/>
  <c r="H10" i="7"/>
  <c r="D11" i="7"/>
  <c r="J6" i="7"/>
  <c r="J9" i="7"/>
  <c r="J8" i="7"/>
  <c r="H5" i="7"/>
  <c r="J5" i="7"/>
  <c r="H4" i="7"/>
  <c r="J3" i="7"/>
  <c r="J7" i="7"/>
  <c r="H6" i="7"/>
  <c r="H8" i="7"/>
  <c r="H9" i="7"/>
  <c r="H3" i="7"/>
  <c r="K3" i="7"/>
  <c r="I3" i="7"/>
  <c r="K4" i="7"/>
  <c r="I4" i="7"/>
  <c r="K5" i="7"/>
  <c r="I5" i="7"/>
  <c r="K6" i="7"/>
  <c r="I6" i="7"/>
  <c r="K7" i="7"/>
  <c r="I7" i="7"/>
  <c r="K8" i="7"/>
  <c r="I8" i="7"/>
  <c r="K9" i="7"/>
  <c r="I9" i="7"/>
  <c r="N36" i="6"/>
  <c r="J27" i="6" s="1"/>
  <c r="J16" i="6"/>
  <c r="J5" i="6"/>
  <c r="N38" i="6"/>
  <c r="J29" i="6" s="1"/>
  <c r="J33" i="6" s="1"/>
  <c r="J18" i="6"/>
  <c r="J7" i="6"/>
  <c r="N37" i="6"/>
  <c r="J28" i="6" s="1"/>
  <c r="J32" i="6" s="1"/>
  <c r="J17" i="6"/>
  <c r="J6" i="6"/>
  <c r="F20" i="6" l="1"/>
  <c r="F21" i="10" s="1"/>
  <c r="G20" i="6"/>
  <c r="G21" i="10" s="1"/>
  <c r="C23" i="6"/>
  <c r="C4" i="10" s="1"/>
  <c r="G24" i="6"/>
  <c r="G2" i="10" s="1"/>
  <c r="D24" i="6"/>
  <c r="D2" i="10" s="1"/>
  <c r="C24" i="6"/>
  <c r="C2" i="10" s="1"/>
  <c r="C17" i="6" s="1"/>
  <c r="C18" i="6" s="1"/>
  <c r="J11" i="7"/>
  <c r="H11" i="7"/>
  <c r="I11" i="7"/>
  <c r="K11" i="7"/>
  <c r="J31" i="6"/>
  <c r="C19" i="6" l="1"/>
  <c r="C20" i="10" s="1"/>
  <c r="F24" i="6"/>
  <c r="F2" i="10" s="1"/>
  <c r="F13" i="10" s="1"/>
  <c r="E24" i="6"/>
  <c r="E2" i="10" s="1"/>
  <c r="E20" i="6"/>
  <c r="E21" i="10" s="1"/>
  <c r="C9" i="10"/>
  <c r="C13" i="10"/>
  <c r="C11" i="10"/>
  <c r="C3" i="10"/>
  <c r="C12" i="10"/>
  <c r="G4" i="10"/>
  <c r="G12" i="10" s="1"/>
  <c r="G3" i="10"/>
  <c r="F9" i="10"/>
  <c r="G9" i="10"/>
  <c r="G11" i="10"/>
  <c r="G13" i="10"/>
  <c r="F3" i="10"/>
  <c r="F4" i="10"/>
  <c r="F12" i="10" s="1"/>
  <c r="E3" i="10"/>
  <c r="E4" i="10"/>
  <c r="E12" i="10" s="1"/>
  <c r="D4" i="10"/>
  <c r="D12" i="10" s="1"/>
  <c r="D3" i="10"/>
  <c r="D9" i="10"/>
  <c r="D13" i="10"/>
  <c r="D11" i="10"/>
  <c r="E17" i="6" l="1"/>
  <c r="E18" i="6" s="1"/>
  <c r="F17" i="6"/>
  <c r="D17" i="6"/>
  <c r="F11" i="10"/>
  <c r="E13" i="10"/>
  <c r="E11" i="10"/>
  <c r="E9" i="10"/>
  <c r="G17" i="6"/>
  <c r="C18" i="10"/>
  <c r="C19" i="10"/>
  <c r="D18" i="10"/>
  <c r="E19" i="6"/>
  <c r="E20" i="10" s="1"/>
  <c r="D19" i="10"/>
  <c r="F19" i="10"/>
  <c r="F18" i="10"/>
  <c r="G19" i="10"/>
  <c r="G18" i="10"/>
  <c r="E19" i="10"/>
  <c r="E18" i="10"/>
  <c r="F18" i="6" l="1"/>
  <c r="F19" i="6" s="1"/>
  <c r="D18" i="6"/>
  <c r="D19" i="6" s="1"/>
  <c r="D20" i="10" s="1"/>
  <c r="D25" i="10" s="1"/>
  <c r="G18" i="6"/>
  <c r="G19" i="6" s="1"/>
  <c r="C25" i="10"/>
  <c r="E25" i="10"/>
  <c r="F20" i="10" l="1"/>
  <c r="F25" i="10" s="1"/>
  <c r="G20" i="10"/>
  <c r="G25" i="10" s="1"/>
  <c r="G10" i="10" l="1"/>
  <c r="G15" i="10" s="1"/>
  <c r="G27" i="10" s="1"/>
  <c r="C10" i="10"/>
  <c r="C15" i="10" s="1"/>
  <c r="C27" i="10" s="1"/>
  <c r="D10" i="10"/>
  <c r="D15" i="10" s="1"/>
  <c r="D27" i="10" s="1"/>
  <c r="E10" i="10"/>
  <c r="E15" i="10" s="1"/>
  <c r="E27" i="10" s="1"/>
  <c r="F10" i="10"/>
  <c r="F15" i="10" s="1"/>
  <c r="F27" i="10" s="1"/>
  <c r="H27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tc={19ECFB12-D066-4226-921A-CBA3D0C21805}</author>
  </authors>
  <commentList>
    <comment ref="M21" authorId="0" shapeId="0" xr:uid="{19ECFB12-D066-4226-921A-CBA3D0C2180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Assumes HaaS commission works the same way as Direct Sales. Validate?</t>
      </text>
    </comment>
  </commentList>
</comments>
</file>

<file path=xl/sharedStrings.xml><?xml version="1.0" encoding="utf-8"?>
<sst xmlns="http://schemas.openxmlformats.org/spreadsheetml/2006/main" count="295" uniqueCount="201">
  <si>
    <t>All explicit numbers in blue, all calculations in black. No specific numbers in calculations, only reference other cells</t>
  </si>
  <si>
    <t>Company Assumptions</t>
  </si>
  <si>
    <t>Amount</t>
  </si>
  <si>
    <t>Unit</t>
  </si>
  <si>
    <t>Revenue Assumptions</t>
  </si>
  <si>
    <t>Expense Assumptions</t>
  </si>
  <si>
    <t>Market Assumptions</t>
  </si>
  <si>
    <t>Service frequency</t>
  </si>
  <si>
    <t>per year</t>
  </si>
  <si>
    <t>Service fee</t>
  </si>
  <si>
    <t>per d per year</t>
  </si>
  <si>
    <t>Employee Salary</t>
  </si>
  <si>
    <t>per employee</t>
  </si>
  <si>
    <t>Total Market</t>
  </si>
  <si>
    <t>billion</t>
  </si>
  <si>
    <t>Clients per person</t>
  </si>
  <si>
    <t>per sales person</t>
  </si>
  <si>
    <t>25kg Installation fee</t>
  </si>
  <si>
    <t>per device</t>
  </si>
  <si>
    <t>Salesperson Salary</t>
  </si>
  <si>
    <t>Market Segment 1</t>
  </si>
  <si>
    <t>Sales cycle length</t>
  </si>
  <si>
    <t>months</t>
  </si>
  <si>
    <t>250kg Installation fee</t>
  </si>
  <si>
    <t>Installation cost</t>
  </si>
  <si>
    <t>of total sale</t>
  </si>
  <si>
    <t>Market Segment 2</t>
  </si>
  <si>
    <t>Order to Installation time</t>
  </si>
  <si>
    <t>2500kg Installation fee</t>
  </si>
  <si>
    <t>Commission rate</t>
  </si>
  <si>
    <t>Market Segment 3</t>
  </si>
  <si>
    <t>Sales success rate</t>
  </si>
  <si>
    <t>Device profit margin</t>
  </si>
  <si>
    <t>Market Segment 4</t>
  </si>
  <si>
    <t>Target growth rate</t>
  </si>
  <si>
    <t>HaaS profit margin</t>
  </si>
  <si>
    <t>25kg Device cost</t>
  </si>
  <si>
    <t>Market Segment 5</t>
  </si>
  <si>
    <t>Legal costs per client</t>
  </si>
  <si>
    <t>250kg Device cost</t>
  </si>
  <si>
    <t>Market Segment 6</t>
  </si>
  <si>
    <t>Employees per accountant</t>
  </si>
  <si>
    <t>2500kg Device cost</t>
  </si>
  <si>
    <t>Market Segment 7</t>
  </si>
  <si>
    <t>Electrolyzers per engineer</t>
  </si>
  <si>
    <t>Haas Revenue</t>
  </si>
  <si>
    <t>Market Segment 8</t>
  </si>
  <si>
    <t>Technicians per engineer</t>
  </si>
  <si>
    <t>HaaS Expenses</t>
  </si>
  <si>
    <t>Sum of %'s = 1 even if leaving some small segments out</t>
  </si>
  <si>
    <t>H2 Price (including compression)</t>
  </si>
  <si>
    <t>per kg</t>
  </si>
  <si>
    <t>H2 Cost</t>
  </si>
  <si>
    <t>Dsales Fit</t>
  </si>
  <si>
    <t>Haas Fit</t>
  </si>
  <si>
    <t>Sales people needed</t>
  </si>
  <si>
    <t>per device per contract</t>
  </si>
  <si>
    <t>MS1</t>
  </si>
  <si>
    <t>Engineers needed</t>
  </si>
  <si>
    <t>25kg Installation cost</t>
  </si>
  <si>
    <t>MS2</t>
  </si>
  <si>
    <t>Technicians needed</t>
  </si>
  <si>
    <t>250kg Installation cost</t>
  </si>
  <si>
    <t>MS3</t>
  </si>
  <si>
    <t>Accounting</t>
  </si>
  <si>
    <t>2500kg Installation cost</t>
  </si>
  <si>
    <t>MS4</t>
  </si>
  <si>
    <t>Legal services</t>
  </si>
  <si>
    <t>MS5</t>
  </si>
  <si>
    <t>Commision</t>
  </si>
  <si>
    <t>MS6</t>
  </si>
  <si>
    <t>Service cost</t>
  </si>
  <si>
    <t>MS7</t>
  </si>
  <si>
    <t>HaaS Customers</t>
  </si>
  <si>
    <t>MS8</t>
  </si>
  <si>
    <t>Electrolyzer Sales Customers</t>
  </si>
  <si>
    <t>Total Customers</t>
  </si>
  <si>
    <t>Device Sales Revenue</t>
  </si>
  <si>
    <t>Dsales Total</t>
  </si>
  <si>
    <t>Haas total</t>
  </si>
  <si>
    <t>Device Sales Expenses</t>
  </si>
  <si>
    <t>25kg Device price</t>
  </si>
  <si>
    <t>250kg Device price</t>
  </si>
  <si>
    <t>2500kg Device price</t>
  </si>
  <si>
    <t>25kg Device service</t>
  </si>
  <si>
    <t>250kg Device service</t>
  </si>
  <si>
    <t>25kg Commission cost</t>
  </si>
  <si>
    <t>2500kg Device service</t>
  </si>
  <si>
    <t>250kg Commission cost</t>
  </si>
  <si>
    <t>2500kg Commission cost</t>
  </si>
  <si>
    <t>Total</t>
  </si>
  <si>
    <t>Split</t>
  </si>
  <si>
    <t>25kg Total cost</t>
  </si>
  <si>
    <t>250kg Total cost</t>
  </si>
  <si>
    <t>DSales Market + HaaS Market  = X</t>
  </si>
  <si>
    <t>2500kg Total cost</t>
  </si>
  <si>
    <t>MS1 customer avg H2</t>
  </si>
  <si>
    <t>kg/day</t>
  </si>
  <si>
    <t>kg/yr</t>
  </si>
  <si>
    <t xml:space="preserve">MS2 customer avg H2 </t>
  </si>
  <si>
    <t xml:space="preserve">MS3 customer avg H2 </t>
  </si>
  <si>
    <t xml:space="preserve">MS4 customer avg H2 </t>
  </si>
  <si>
    <t xml:space="preserve">MS5 customer avg H2 </t>
  </si>
  <si>
    <t xml:space="preserve">MS6 customer avg H2 </t>
  </si>
  <si>
    <t xml:space="preserve">MS7 customer avg H2 </t>
  </si>
  <si>
    <t xml:space="preserve">MS8 customer avg H2 </t>
  </si>
  <si>
    <t>Device Size</t>
  </si>
  <si>
    <t>kg</t>
  </si>
  <si>
    <t>Dsales</t>
  </si>
  <si>
    <t>HaaS</t>
  </si>
  <si>
    <t>average</t>
  </si>
  <si>
    <t>number of electrolyzers sold</t>
  </si>
  <si>
    <t>number of kgs sold (HaaS)</t>
  </si>
  <si>
    <t>Electrolyzer required for HaaS</t>
  </si>
  <si>
    <t>Year</t>
  </si>
  <si>
    <t>1*</t>
  </si>
  <si>
    <t>*since the sales cycle + installation time is ~1.5 years, year 1 starts 1.5 years after recommendations are implemented</t>
  </si>
  <si>
    <t>Revenue</t>
  </si>
  <si>
    <t>Electrolyzer Sales</t>
  </si>
  <si>
    <t>Electrolyzer Sales Installation fee</t>
  </si>
  <si>
    <t>HaaS Installation fee</t>
  </si>
  <si>
    <t>Electrolyzer Service fee</t>
  </si>
  <si>
    <t>total revenue</t>
  </si>
  <si>
    <t>Expenses</t>
  </si>
  <si>
    <t>Electrolyzer cost</t>
  </si>
  <si>
    <t>Service costs</t>
  </si>
  <si>
    <t>Salaries</t>
  </si>
  <si>
    <t>Other business services</t>
  </si>
  <si>
    <t>total expanses</t>
  </si>
  <si>
    <t>Profit</t>
  </si>
  <si>
    <t>Segment</t>
  </si>
  <si>
    <t>Market Share</t>
  </si>
  <si>
    <t>Market Size($B)</t>
  </si>
  <si>
    <t>Number of Customers</t>
  </si>
  <si>
    <t>HaaS Probability</t>
  </si>
  <si>
    <t>E.S. Coverage</t>
  </si>
  <si>
    <t>HaaS Coverage</t>
  </si>
  <si>
    <t>E.S. Market</t>
  </si>
  <si>
    <t>HaaS Market</t>
  </si>
  <si>
    <t>E.S. Customers</t>
  </si>
  <si>
    <t>1. Heavy-duty fueling (truck stops, long-haul corridors)</t>
  </si>
  <si>
    <t>Low</t>
  </si>
  <si>
    <t>2. Urban fleet fueling (buses, municipal fleets, ports, airports)</t>
  </si>
  <si>
    <t>Medium</t>
  </si>
  <si>
    <t>3. Light &amp; medium-duty commercial fueling (material handling equipment, last-mile delivery fleets, local distribution - Zeeco, Amazon, FedEx)</t>
  </si>
  <si>
    <t>High</t>
  </si>
  <si>
    <t>4. Industrial decarbonization (on-site hydrogen for process heat, fuel substitution - electronics and semiconductor manufacturing, glass and metal processing, and food and beverage hydrogenation)</t>
  </si>
  <si>
    <t>5. Chemical production &amp; synthetic fuels (ammonia, methanol, etc.)</t>
  </si>
  <si>
    <t>6. Backup power &amp; microgrids (data centers, hospital backup, remote sites)</t>
  </si>
  <si>
    <t>7. Energy storage / grid balancing (power-to-gas, seasonal/utility storage)</t>
  </si>
  <si>
    <t>8. Already green, can undercut competitors</t>
  </si>
  <si>
    <t>TOTAL</t>
  </si>
  <si>
    <t>Question</t>
  </si>
  <si>
    <t>If yes</t>
  </si>
  <si>
    <t>1. Does the industry require building a fuel station?</t>
  </si>
  <si>
    <t>Low/Medium*</t>
  </si>
  <si>
    <t>*Once Tobe has aquired more capital, building a Tobe fueling station becomes more realistic and this will switch from medium -&gt; high</t>
  </si>
  <si>
    <t xml:space="preserve">2. Is the industry a large H2 user? </t>
  </si>
  <si>
    <t>3. Does the industry want total self-sufficiency?</t>
  </si>
  <si>
    <t>medium</t>
  </si>
  <si>
    <t>4. Is the industry seasonal?</t>
  </si>
  <si>
    <t>5. Do factors depend on individual companies?</t>
  </si>
  <si>
    <t>5. Motivations unkown?</t>
  </si>
  <si>
    <t>Unknown</t>
  </si>
  <si>
    <t>6. Other defining factors?</t>
  </si>
  <si>
    <t>7. All others</t>
  </si>
  <si>
    <t>Probability</t>
  </si>
  <si>
    <t>E.S</t>
  </si>
  <si>
    <t>SaaS</t>
  </si>
  <si>
    <t>Green Hydrogen Market Size, Share &amp; Growth Report, 2030</t>
  </si>
  <si>
    <t>Hydrogen demand – Global Hydrogen Review 2024 – Analysis - IEA</t>
  </si>
  <si>
    <t>DOE Hydrogen and Fuel Cells Program Record 19002: Current Hydrogen Market Size: Domestic and Global</t>
  </si>
  <si>
    <t>Hydrogen Generation Market Size | Industry Report, 2030</t>
  </si>
  <si>
    <t>Hydrogen Storage and Transportation Market Report I BIS Research</t>
  </si>
  <si>
    <t>Global Energy Perspective 2023: Hydrogen outlook | McKinsey</t>
  </si>
  <si>
    <t>U.S. Hydrogen Energy Storage Market | Industry Report, 2030</t>
  </si>
  <si>
    <t>Global-Hydrogen-Flows.pdf</t>
  </si>
  <si>
    <t>U.S. National Clean Hydrogen Strategy and Roadmap</t>
  </si>
  <si>
    <t>Number of Allstays Truck Stops locations in the USA in 2025 | ScrapeHero</t>
  </si>
  <si>
    <t>APTA-2025-Public-Transportation-Fact-Book.pdf</t>
  </si>
  <si>
    <t>U.S. Automobile and Truck Fleets by Use | Bureau of Transportation Statistics</t>
  </si>
  <si>
    <t>Energy agency announces $6 billion to slash emissions in industrial facilities | AP News</t>
  </si>
  <si>
    <t>At a Glance - 33111 Iron &amp; Steel Manufacturing in the US - MyIBISWorld</t>
  </si>
  <si>
    <t>Industrial &amp; Manufacturing &amp; Resources Locations in United States</t>
  </si>
  <si>
    <t>World’s largest ammonia complex would make fertilizer from natural gas in West Virginia coalfields</t>
  </si>
  <si>
    <t>Methanol Market: Worldwide Methanol Production Capacity</t>
  </si>
  <si>
    <t>U.S. sustainable aviation fuel production takes off as new capacity comes online - U.S. Energy Information Administration (EIA)</t>
  </si>
  <si>
    <t>How Many Data Centers Are in the US? Latest Statistics and Trends - C&amp;C Technology Group</t>
  </si>
  <si>
    <t>Fast Facts on U.S. Hospitals, 2025 | AHA</t>
  </si>
  <si>
    <t>https://www.energy.gov/oced/regional-clean-hydrogen-hubs-0?utm_source=chatgpt.com</t>
  </si>
  <si>
    <t>Hydrogen Hub Explorer</t>
  </si>
  <si>
    <t>Hydrogen Projects in the US - Clean Energy Group</t>
  </si>
  <si>
    <t>Home Page | H2FCP</t>
  </si>
  <si>
    <t>Global Hydrogen Review 2024 – Analysis - IEA</t>
  </si>
  <si>
    <t>Hydrogen - IEA</t>
  </si>
  <si>
    <t>DOE Hydrogen Program Record 24006: Onboard Type IV Compressed Hydrogen Storage System - Cost and Performance Status</t>
  </si>
  <si>
    <t>Hydrogen Fueling Station Cost Reduction Study</t>
  </si>
  <si>
    <t>Variable</t>
  </si>
  <si>
    <t>&lt;50 mi</t>
  </si>
  <si>
    <t>50-150 mi</t>
  </si>
  <si>
    <t>150+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</si>
</sst>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20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8" fontId="0" fillId="0" borderId="0" xfId="0" applyNumberForma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44" fontId="0" fillId="0" borderId="0" xfId="1" applyFont="1"/>
    <xf numFmtId="44" fontId="0" fillId="0" borderId="0" xfId="0" applyNumberFormat="1"/>
    <xf numFmtId="44" fontId="0" fillId="0" borderId="0" xfId="0" applyNumberForma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8" fontId="6" fillId="0" borderId="0" xfId="0" applyNumberFormat="1" applyFont="1"/>
    <xf numFmtId="164" fontId="6" fillId="0" borderId="0" xfId="0" applyNumberFormat="1" applyFont="1"/>
    <xf numFmtId="6" fontId="6" fillId="0" borderId="0" xfId="0" applyNumberFormat="1" applyFont="1"/>
    <xf numFmtId="9" fontId="6" fillId="0" borderId="0" xfId="0" applyNumberFormat="1" applyFont="1"/>
    <xf numFmtId="10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/>
    </xf>
    <xf numFmtId="9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8" fontId="0" fillId="0" borderId="0" xfId="0" applyNumberFormat="1" applyAlignment="1">
      <alignment horizontal="right" wrapText="1"/>
    </xf>
    <xf numFmtId="44" fontId="6" fillId="0" borderId="0" xfId="1" applyFont="1" applyAlignment="1">
      <alignment horizontal="right"/>
    </xf>
    <xf numFmtId="9" fontId="6" fillId="0" borderId="0" xfId="0" applyNumberFormat="1" applyFont="1" applyAlignment="1">
      <alignment horizontal="right" wrapText="1"/>
    </xf>
    <xf numFmtId="10" fontId="0" fillId="0" borderId="0" xfId="0" applyNumberFormat="1"/>
    <xf numFmtId="0" fontId="10" fillId="0" borderId="0" xfId="2"/>
    <xf numFmtId="1" fontId="0" fillId="0" borderId="0" xfId="0" applyNumberFormat="1"/>
    <xf numFmtId="0" fontId="10" fillId="0" borderId="0" xfId="2" applyAlignment="1">
      <alignment wrapText="1"/>
    </xf>
    <xf numFmtId="9" fontId="6" fillId="0" borderId="0" xfId="4" applyFont="1"/>
    <xf numFmtId="43" fontId="0" fillId="0" borderId="0" xfId="3" applyFont="1"/>
    <xf numFmtId="43" fontId="8" fillId="0" borderId="0" xfId="3" applyFont="1"/>
    <xf numFmtId="43" fontId="6" fillId="0" borderId="0" xfId="3" applyFont="1"/>
    <xf numFmtId="43" fontId="2" fillId="0" borderId="0" xfId="3" applyFont="1"/>
    <xf numFmtId="43" fontId="7" fillId="0" borderId="0" xfId="3" applyFont="1"/>
    <xf numFmtId="43" fontId="6" fillId="0" borderId="0" xfId="3" applyFont="1" applyAlignment="1">
      <alignment horizontal="right"/>
    </xf>
    <xf numFmtId="43" fontId="3" fillId="0" borderId="0" xfId="3" applyFont="1" applyAlignment="1">
      <alignment horizontal="right"/>
    </xf>
    <xf numFmtId="43" fontId="11" fillId="0" borderId="0" xfId="3" applyFont="1" applyAlignment="1">
      <alignment horizontal="right"/>
    </xf>
    <xf numFmtId="43" fontId="11" fillId="0" borderId="0" xfId="3" quotePrefix="1" applyFont="1" applyAlignment="1">
      <alignment horizontal="right"/>
    </xf>
    <xf numFmtId="43" fontId="11" fillId="0" borderId="0" xfId="3" applyFont="1"/>
    <xf numFmtId="43" fontId="0" fillId="0" borderId="0" xfId="3" applyFont="1" applyAlignment="1">
      <alignment horizontal="right"/>
    </xf>
    <xf numFmtId="43" fontId="0" fillId="0" borderId="0" xfId="3" quotePrefix="1" applyFont="1"/>
    <xf numFmtId="43" fontId="3" fillId="0" borderId="0" xfId="3" applyFont="1"/>
    <xf numFmtId="43" fontId="9" fillId="0" borderId="0" xfId="3" applyFont="1"/>
    <xf numFmtId="165" fontId="0" fillId="0" borderId="0" xfId="3" applyNumberFormat="1" applyFont="1"/>
    <xf numFmtId="165" fontId="2" fillId="0" borderId="0" xfId="3" applyNumberFormat="1" applyFont="1"/>
    <xf numFmtId="165" fontId="6" fillId="0" borderId="0" xfId="3" applyNumberFormat="1" applyFont="1"/>
    <xf numFmtId="44" fontId="6" fillId="0" borderId="0" xfId="1" applyFont="1"/>
    <xf numFmtId="165" fontId="11" fillId="0" borderId="0" xfId="3" applyNumberFormat="1" applyFont="1" applyAlignment="1">
      <alignment horizontal="right"/>
    </xf>
    <xf numFmtId="44" fontId="11" fillId="0" borderId="0" xfId="1" applyFont="1" applyAlignment="1">
      <alignment horizontal="right"/>
    </xf>
    <xf numFmtId="165" fontId="0" fillId="0" borderId="0" xfId="3" quotePrefix="1" applyNumberFormat="1" applyFont="1"/>
    <xf numFmtId="43" fontId="0" fillId="2" borderId="0" xfId="3" applyFont="1" applyFill="1"/>
    <xf numFmtId="165" fontId="2" fillId="0" borderId="0" xfId="3" applyNumberFormat="1" applyFont="1" applyAlignment="1">
      <alignment horizontal="center" vertic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8" fontId="2" fillId="0" borderId="0" xfId="0" applyNumberFormat="1" applyFont="1"/>
    <xf numFmtId="1" fontId="2" fillId="0" borderId="0" xfId="0" applyNumberFormat="1" applyFont="1"/>
    <xf numFmtId="0" fontId="0" fillId="0" borderId="0" xfId="0" applyAlignment="1">
      <alignment wrapText="1"/>
    </xf>
  </cellXfs>
  <cellStyles count="5">
    <cellStyle name="Comma" xfId="3" builtinId="3"/>
    <cellStyle name="Currency" xfId="1" builtinId="4"/>
    <cellStyle name="Hyperlink" xfId="2" builtinId="8"/>
    <cellStyle name="Normal" xfId="0" builtinId="0"/>
    <cellStyle name="Percent" xfId="4" builtinId="5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 Case Market</a:t>
            </a:r>
            <a:r>
              <a:rPr lang="en-US" baseline="0"/>
              <a:t> Share ($B)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57-4392-BD45-358669D685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57-4392-BD45-358669D685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57-4392-BD45-358669D685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'Market Info'!$A$28:$A$30</c:f>
              <c:strCache>
                <c:ptCount val="3"/>
                <c:pt idx="0">
                  <c:v>Electrolyzer Sales</c:v>
                </c:pt>
                <c:pt idx="1">
                  <c:v>HaaS</c:v>
                </c:pt>
                <c:pt idx="2">
                  <c:v>Variable</c:v>
                </c:pt>
              </c:strCache>
            </c:strRef>
          </c:cat>
          <c:val>
            <c:numRef>
              <c:f>'Market Info'!$B$28:$B$30</c:f>
              <c:numCache>
                <c:formatCode>"$"#,##0.00_);[Red]\("$"#,##0.00\)</c:formatCode>
                <c:ptCount val="3"/>
                <c:pt idx="0">
                  <c:v>6.44</c:v>
                </c:pt>
                <c:pt idx="1">
                  <c:v>1.99</c:v>
                </c:pt>
                <c:pt idx="2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B-4044-A7DD-8BA4FE517A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Hydrogen Transport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'Probability Matrix'!$B$44:$B$46</c:f>
              <c:strCache>
                <c:ptCount val="3"/>
                <c:pt idx="0">
                  <c:v>&lt;50 mi</c:v>
                </c:pt>
                <c:pt idx="1">
                  <c:v>50-150 mi</c:v>
                </c:pt>
                <c:pt idx="2">
                  <c:v>150+ mi</c:v>
                </c:pt>
              </c:strCache>
            </c:strRef>
          </c:cat>
          <c:val>
            <c:numRef>
              <c:f>'Probability Matrix'!$C$44:$C$46</c:f>
              <c:numCache>
                <c:formatCode>0%</c:formatCode>
                <c:ptCount val="3"/>
                <c:pt idx="0">
                  <c:v>0.7</c:v>
                </c:pt>
                <c:pt idx="1">
                  <c:v>0.2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8-4EA2-9CD4-46EF6BAD93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540767"/>
        <c:axId val="95550367"/>
      </c:barChart>
      <c:catAx>
        <c:axId val="9554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50367"/>
        <c:crosses val="autoZero"/>
        <c:auto val="1"/>
        <c:lblAlgn val="ctr"/>
        <c:lblOffset val="100"/>
        <c:noMultiLvlLbl val="0"/>
      </c:catAx>
      <c:valAx>
        <c:axId val="9555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2225675</xdr:colOff>
      <xdr:row>18</xdr:row>
      <xdr:rowOff>146050</xdr:rowOff>
    </xdr:from>
    <xdr:to>
      <xdr:col>6</xdr:col>
      <xdr:colOff>415925</xdr:colOff>
      <xdr:row>33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C27F46-F97D-9D5E-E3E3-890A6ECC1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536575</xdr:colOff>
      <xdr:row>33</xdr:row>
      <xdr:rowOff>31750</xdr:rowOff>
    </xdr:from>
    <xdr:to>
      <xdr:col>6</xdr:col>
      <xdr:colOff>60325</xdr:colOff>
      <xdr:row>48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65EE29-98B3-315D-EABD-E1EEA06D0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ke, Jake" id="{7A6286C5-C903-4FCF-AC4F-8C4D5613AD99}" userId="S::jacob.dyke01@ou.edu::4d14c931-97f5-4c75-8bd4-527a986d1fa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578F1E-A376-4A99-965E-CC6EF0FE11C8}" name="Table1" displayName="Table1" ref="B11:D14" totalsRowShown="0">
  <autoFilter ref="B11:D14" xr:uid="{CA578F1E-A376-4A99-965E-CC6EF0FE11C8}"/>
  <tableColumns count="3">
    <tableColumn id="1" xr3:uid="{5477D284-0A64-4505-A697-6D776FBF8C6B}" name="Probability"/>
    <tableColumn id="2" xr3:uid="{8B217C27-1B64-4A16-83AD-2DF7C16DD019}" name="E.S" dataDxfId="1"/>
    <tableColumn id="3" xr3:uid="{9B06191D-8763-4614-BE28-2795C3EB5563}" name="Saa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1" dT="2025-11-07T20:15:08.04" personId="{7A6286C5-C903-4FCF-AC4F-8C4D5613AD99}" id="{19ECFB12-D066-4226-921A-CBA3D0C21805}">
    <text>Assumes HaaS commission works the same way as Direct Sales. Validate?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hydrogencouncil.com/wp-content/uploads/2022/10/Global-Hydrogen-Flows.pdf?utm_source=chatgpt.com" TargetMode="External"/><Relationship Id="rId13" Type="http://schemas.openxmlformats.org/officeDocument/2006/relationships/hyperlink" Target="https://apnews.com/article/climate-energy-carbon-emissions-industry-manufacturing-biden-7145f8cf0e020418032a192a3e481041" TargetMode="External"/><Relationship Id="rId18" Type="http://schemas.openxmlformats.org/officeDocument/2006/relationships/hyperlink" Target="https://www.eia.gov/todayinenergy/detail.php?id=65204" TargetMode="External"/><Relationship Id="rId26" Type="http://schemas.openxmlformats.org/officeDocument/2006/relationships/hyperlink" Target="https://www.iea.org/energy-system/low-emission-fuels/hydrogen" TargetMode="External"/><Relationship Id="rId3" Type="http://schemas.openxmlformats.org/officeDocument/2006/relationships/hyperlink" Target="https://www.hydrogen.energy.gov/docs/hydrogenprogramlibraries/pdfs/19002-hydrogen-market-domestic-global.pdf?Status=Master&amp;utm_source=chatgpt.com" TargetMode="External"/><Relationship Id="rId21" Type="http://schemas.openxmlformats.org/officeDocument/2006/relationships/hyperlink" Target="https://www.energy.gov/oced/regional-clean-hydrogen-hubs-0?utm_source=chatgpt.com" TargetMode="External"/><Relationship Id="rId7" Type="http://schemas.openxmlformats.org/officeDocument/2006/relationships/hyperlink" Target="https://www.grandviewresearch.com/industry-analysis/us-hydrogen-energy-storage-market-report" TargetMode="External"/><Relationship Id="rId12" Type="http://schemas.openxmlformats.org/officeDocument/2006/relationships/hyperlink" Target="https://www.bts.gov/content/us-automobile-and-truck-fleets-use-thousands?utm_source=chatgpt.com" TargetMode="External"/><Relationship Id="rId17" Type="http://schemas.openxmlformats.org/officeDocument/2006/relationships/hyperlink" Target="https://www.maximizemarketresearch.com/market-report/methanol-market/126817/" TargetMode="External"/><Relationship Id="rId25" Type="http://schemas.openxmlformats.org/officeDocument/2006/relationships/hyperlink" Target="https://www.iea.org/reports/global-hydrogen-review-2024?utm_source=chatgpt.com" TargetMode="External"/><Relationship Id="rId2" Type="http://schemas.openxmlformats.org/officeDocument/2006/relationships/hyperlink" Target="https://www.iea.org/reports/global-hydrogen-review-2024/hydrogen-demand?utm_source=chatgpt.com" TargetMode="External"/><Relationship Id="rId16" Type="http://schemas.openxmlformats.org/officeDocument/2006/relationships/hyperlink" Target="https://news.oilandgaswatch.org/post/worlds-largest-ammonia-complex-would-make-fertilizer-from-natural-gas-in-west-virginia-coalfields?utm_source=chatgpt.com" TargetMode="External"/><Relationship Id="rId20" Type="http://schemas.openxmlformats.org/officeDocument/2006/relationships/hyperlink" Target="https://www.aha.org/statistics/fast-facts-us-hospitals?utm_source=chatgpt.com" TargetMode="External"/><Relationship Id="rId1" Type="http://schemas.openxmlformats.org/officeDocument/2006/relationships/hyperlink" Target="https://www.grandviewresearch.com/industry-analysis/green-hydrogen-market" TargetMode="External"/><Relationship Id="rId6" Type="http://schemas.openxmlformats.org/officeDocument/2006/relationships/hyperlink" Target="https://www.mckinsey.com/industries/oil-and-gas/our-insights/global-energy-perspective-2023-hydrogen-outlook?utm_source=chatgpt.com" TargetMode="External"/><Relationship Id="rId11" Type="http://schemas.openxmlformats.org/officeDocument/2006/relationships/hyperlink" Target="https://www.apta.com/wp-content/uploads/APTA-2025-Public-Transportation-Fact-Book.pdf?utm_source=chatgpt.com" TargetMode="External"/><Relationship Id="rId24" Type="http://schemas.openxmlformats.org/officeDocument/2006/relationships/hyperlink" Target="https://h2fcp.org/" TargetMode="External"/><Relationship Id="rId5" Type="http://schemas.openxmlformats.org/officeDocument/2006/relationships/hyperlink" Target="https://bisresearch.com/industry-report/hydrogen-storage-and-transportation-market.html?utm_source=chatgpt.com" TargetMode="External"/><Relationship Id="rId15" Type="http://schemas.openxmlformats.org/officeDocument/2006/relationships/hyperlink" Target="https://www.xmap.ai/location-intelligence-reports/industrial--manufacturing--resources-locations-in-united-states?utm_source=chatgpt.com" TargetMode="External"/><Relationship Id="rId23" Type="http://schemas.openxmlformats.org/officeDocument/2006/relationships/hyperlink" Target="https://www.cleanegroup.org/initiatives/hydrogen/projects-in-the-us/" TargetMode="External"/><Relationship Id="rId28" Type="http://schemas.openxmlformats.org/officeDocument/2006/relationships/hyperlink" Target="https://www.osti.gov/servlets/purl/1120569?utm_source=chatgpt.com" TargetMode="External"/><Relationship Id="rId10" Type="http://schemas.openxmlformats.org/officeDocument/2006/relationships/hyperlink" Target="https://www.scrapehero.com/location-reports/Allstays%20Truck%20Stops-USA/?utm_source=chatgpt.com" TargetMode="External"/><Relationship Id="rId19" Type="http://schemas.openxmlformats.org/officeDocument/2006/relationships/hyperlink" Target="https://cc-techgroup.com/how-many-data-centers-are-in-the-us/?utm_source=chatgpt.com" TargetMode="External"/><Relationship Id="rId4" Type="http://schemas.openxmlformats.org/officeDocument/2006/relationships/hyperlink" Target="https://www.grandviewresearch.com/industry-analysis/hydrogen-generation-market" TargetMode="External"/><Relationship Id="rId9" Type="http://schemas.openxmlformats.org/officeDocument/2006/relationships/hyperlink" Target="https://www.hydrogen.energy.gov/docs/hydrogenprogramlibraries/pdfs/us-national-clean-hydrogen-strategy-roadmap.pdf?utm_source=chatgpt.com" TargetMode="External"/><Relationship Id="rId14" Type="http://schemas.openxmlformats.org/officeDocument/2006/relationships/hyperlink" Target="https://my.ibisworld.com/us/en/industry/33111/at-a-glance" TargetMode="External"/><Relationship Id="rId22" Type="http://schemas.openxmlformats.org/officeDocument/2006/relationships/hyperlink" Target="https://www.rff.org/publications/data-tools/hydrogen-hub-explorer/?utm_source=chatgpt.com" TargetMode="External"/><Relationship Id="rId27" Type="http://schemas.openxmlformats.org/officeDocument/2006/relationships/hyperlink" Target="https://www.hydrogen.energy.gov/docs/hydrogenprogramlibraries/pdfs/24006-onboard-storage-cost-performance-status.pdf?Status=Master&amp;sfvrsn=a1e6209b_2&amp;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0B69-3C63-4D6E-9BAD-173F9394EB84}">
  <dimension ref="A1:AR77"/>
  <sheetViews>
    <sheetView tabSelected="1" zoomScale="61" workbookViewId="0">
      <selection activeCell="N11" sqref="N11"/>
    </sheetView>
  </sheetViews>
  <sheetFormatPr defaultRowHeight="14.5" x14ac:dyDescent="0.35"/>
  <cols>
    <col min="2" max="2" width="29.81640625" customWidth="1"/>
    <col min="3" max="3" width="14.81640625" bestFit="1" customWidth="1"/>
    <col min="4" max="4" width="14.7265625" customWidth="1"/>
    <col min="5" max="5" width="14.81640625" bestFit="1" customWidth="1"/>
    <col min="6" max="6" width="14.7265625" customWidth="1"/>
    <col min="7" max="7" width="15.1796875" bestFit="1" customWidth="1"/>
    <col min="9" max="9" width="29.54296875" bestFit="1" customWidth="1"/>
    <col min="10" max="10" width="16.7265625" bestFit="1" customWidth="1"/>
    <col min="11" max="11" width="20.453125" bestFit="1" customWidth="1"/>
    <col min="13" max="13" width="26" bestFit="1" customWidth="1"/>
    <col min="14" max="14" width="16.7265625" bestFit="1" customWidth="1"/>
    <col min="17" max="17" width="45.26953125" bestFit="1" customWidth="1"/>
    <col min="18" max="18" width="13.1796875" bestFit="1" customWidth="1"/>
    <col min="19" max="19" width="8.81640625" bestFit="1" customWidth="1"/>
    <col min="20" max="20" width="16.7265625" bestFit="1" customWidth="1"/>
    <col min="30" max="30" width="25.7265625" bestFit="1" customWidth="1"/>
    <col min="31" max="31" width="14.54296875" bestFit="1" customWidth="1"/>
    <col min="32" max="32" width="38.54296875" bestFit="1" customWidth="1"/>
    <col min="37" max="37" width="26" bestFit="1" customWidth="1"/>
    <col min="38" max="38" width="14.54296875" bestFit="1" customWidth="1"/>
    <col min="39" max="39" width="12.453125" customWidth="1"/>
    <col min="40" max="40" width="24.81640625" bestFit="1" customWidth="1"/>
    <col min="41" max="41" width="12.81640625" bestFit="1" customWidth="1"/>
    <col min="43" max="43" width="26" bestFit="1" customWidth="1"/>
    <col min="44" max="44" width="14.54296875" bestFit="1" customWidth="1"/>
  </cols>
  <sheetData>
    <row r="1" spans="1:31" ht="26" x14ac:dyDescent="0.6">
      <c r="A1" s="37"/>
      <c r="B1" s="38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9"/>
      <c r="U1" s="37"/>
      <c r="V1" s="37"/>
    </row>
    <row r="2" spans="1:31" x14ac:dyDescent="0.35">
      <c r="A2" s="37"/>
      <c r="B2" s="40" t="s">
        <v>1</v>
      </c>
      <c r="C2" s="40" t="s">
        <v>2</v>
      </c>
      <c r="D2" s="40" t="s">
        <v>3</v>
      </c>
      <c r="E2" s="40"/>
      <c r="F2" s="40"/>
      <c r="G2" s="40"/>
      <c r="H2" s="37"/>
      <c r="I2" s="40" t="s">
        <v>4</v>
      </c>
      <c r="J2" s="40" t="s">
        <v>2</v>
      </c>
      <c r="K2" s="40" t="s">
        <v>3</v>
      </c>
      <c r="L2" s="37"/>
      <c r="M2" s="40" t="s">
        <v>5</v>
      </c>
      <c r="N2" s="40" t="s">
        <v>2</v>
      </c>
      <c r="O2" s="40" t="s">
        <v>3</v>
      </c>
      <c r="P2" s="37"/>
      <c r="Q2" s="41" t="s">
        <v>6</v>
      </c>
      <c r="R2" s="41" t="s">
        <v>2</v>
      </c>
      <c r="S2" s="40"/>
      <c r="T2" s="37"/>
      <c r="U2" s="37"/>
      <c r="V2" s="37"/>
    </row>
    <row r="3" spans="1:31" x14ac:dyDescent="0.35">
      <c r="A3" s="37"/>
      <c r="B3" s="37"/>
      <c r="C3" s="39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42"/>
      <c r="S3" s="37"/>
      <c r="T3" s="37"/>
      <c r="U3" s="37"/>
      <c r="V3" s="37"/>
    </row>
    <row r="4" spans="1:31" x14ac:dyDescent="0.35">
      <c r="A4" s="37"/>
      <c r="B4" s="37" t="s">
        <v>7</v>
      </c>
      <c r="C4" s="53">
        <v>1</v>
      </c>
      <c r="D4" s="37" t="s">
        <v>8</v>
      </c>
      <c r="E4" s="37"/>
      <c r="F4" s="37"/>
      <c r="G4" s="37"/>
      <c r="H4" s="37"/>
      <c r="I4" s="37" t="s">
        <v>9</v>
      </c>
      <c r="J4" s="39">
        <v>0.02</v>
      </c>
      <c r="K4" s="37" t="s">
        <v>10</v>
      </c>
      <c r="L4" s="37"/>
      <c r="M4" s="37" t="s">
        <v>11</v>
      </c>
      <c r="N4" s="39">
        <v>90000</v>
      </c>
      <c r="O4" s="37" t="s">
        <v>12</v>
      </c>
      <c r="P4" s="37"/>
      <c r="Q4" s="37" t="s">
        <v>13</v>
      </c>
      <c r="R4" s="42">
        <v>9.81</v>
      </c>
      <c r="S4" s="37" t="s">
        <v>14</v>
      </c>
      <c r="T4" s="37"/>
      <c r="U4" s="37"/>
      <c r="V4" s="37"/>
    </row>
    <row r="5" spans="1:31" x14ac:dyDescent="0.35">
      <c r="A5" s="37"/>
      <c r="B5" s="37" t="s">
        <v>15</v>
      </c>
      <c r="C5" s="53">
        <v>10</v>
      </c>
      <c r="D5" s="37" t="s">
        <v>16</v>
      </c>
      <c r="E5" s="37"/>
      <c r="F5" s="37"/>
      <c r="G5" s="37"/>
      <c r="H5" s="37"/>
      <c r="I5" s="37" t="s">
        <v>17</v>
      </c>
      <c r="J5" s="43">
        <f>N28</f>
        <v>1500</v>
      </c>
      <c r="K5" s="37" t="s">
        <v>18</v>
      </c>
      <c r="L5" s="37"/>
      <c r="M5" s="37" t="s">
        <v>19</v>
      </c>
      <c r="N5" s="39">
        <v>60000</v>
      </c>
      <c r="O5" s="37"/>
      <c r="P5" s="37"/>
      <c r="Q5" s="37" t="s">
        <v>20</v>
      </c>
      <c r="R5" s="44">
        <f>'Market Info'!B3</f>
        <v>0.2</v>
      </c>
      <c r="S5" s="37"/>
      <c r="T5" s="37"/>
      <c r="U5" s="37"/>
      <c r="V5" s="37"/>
    </row>
    <row r="6" spans="1:31" x14ac:dyDescent="0.35">
      <c r="A6" s="37"/>
      <c r="B6" s="37" t="s">
        <v>21</v>
      </c>
      <c r="C6" s="53">
        <v>12</v>
      </c>
      <c r="D6" s="37" t="s">
        <v>22</v>
      </c>
      <c r="E6" s="37"/>
      <c r="F6" s="37"/>
      <c r="G6" s="37"/>
      <c r="H6" s="37"/>
      <c r="I6" s="37" t="s">
        <v>23</v>
      </c>
      <c r="J6" s="43">
        <f>N29</f>
        <v>15000</v>
      </c>
      <c r="K6" s="37" t="s">
        <v>18</v>
      </c>
      <c r="L6" s="37"/>
      <c r="M6" s="37" t="s">
        <v>24</v>
      </c>
      <c r="N6" s="39">
        <v>0.1</v>
      </c>
      <c r="O6" s="37" t="s">
        <v>25</v>
      </c>
      <c r="P6" s="37"/>
      <c r="Q6" s="37" t="s">
        <v>26</v>
      </c>
      <c r="R6" s="44">
        <f>'Market Info'!B4</f>
        <v>0.05</v>
      </c>
      <c r="S6" s="37"/>
      <c r="T6" s="37"/>
      <c r="U6" s="37"/>
      <c r="V6" s="37"/>
    </row>
    <row r="7" spans="1:31" x14ac:dyDescent="0.35">
      <c r="A7" s="37"/>
      <c r="B7" s="37" t="s">
        <v>27</v>
      </c>
      <c r="C7" s="53">
        <v>7</v>
      </c>
      <c r="D7" s="37" t="s">
        <v>22</v>
      </c>
      <c r="E7" s="37"/>
      <c r="F7" s="37"/>
      <c r="G7" s="37"/>
      <c r="H7" s="37"/>
      <c r="I7" s="37" t="s">
        <v>28</v>
      </c>
      <c r="J7" s="43">
        <f>N30</f>
        <v>150000</v>
      </c>
      <c r="K7" s="37" t="s">
        <v>18</v>
      </c>
      <c r="L7" s="37"/>
      <c r="M7" s="37" t="s">
        <v>29</v>
      </c>
      <c r="N7" s="39">
        <v>0.05</v>
      </c>
      <c r="O7" s="37" t="s">
        <v>25</v>
      </c>
      <c r="P7" s="37"/>
      <c r="Q7" s="37" t="s">
        <v>30</v>
      </c>
      <c r="R7" s="44">
        <f>'Market Info'!B5</f>
        <v>0.05</v>
      </c>
      <c r="S7" s="37"/>
      <c r="T7" s="37"/>
      <c r="U7" s="37"/>
      <c r="V7" s="37"/>
    </row>
    <row r="8" spans="1:31" x14ac:dyDescent="0.35">
      <c r="A8" s="37"/>
      <c r="B8" s="37" t="s">
        <v>31</v>
      </c>
      <c r="C8" s="39">
        <v>0.1</v>
      </c>
      <c r="D8" s="37"/>
      <c r="E8" s="37"/>
      <c r="F8" s="37"/>
      <c r="G8" s="37"/>
      <c r="H8" s="37"/>
      <c r="I8" s="37" t="s">
        <v>32</v>
      </c>
      <c r="J8" s="39">
        <v>1.5</v>
      </c>
      <c r="K8" s="37"/>
      <c r="L8" s="37"/>
      <c r="M8" s="37"/>
      <c r="N8" s="37"/>
      <c r="O8" s="37"/>
      <c r="P8" s="37"/>
      <c r="Q8" s="37" t="s">
        <v>33</v>
      </c>
      <c r="R8" s="44">
        <f>'Market Info'!B6</f>
        <v>0.35</v>
      </c>
      <c r="S8" s="37"/>
      <c r="T8" s="37"/>
      <c r="U8" s="37"/>
      <c r="V8" s="37"/>
      <c r="AE8" s="18"/>
    </row>
    <row r="9" spans="1:31" x14ac:dyDescent="0.35">
      <c r="A9" s="37"/>
      <c r="B9" s="37" t="s">
        <v>34</v>
      </c>
      <c r="C9" s="36">
        <v>0.5</v>
      </c>
      <c r="D9" s="37"/>
      <c r="E9" s="37"/>
      <c r="F9" s="37"/>
      <c r="G9" s="37"/>
      <c r="H9" s="37"/>
      <c r="I9" s="37" t="s">
        <v>35</v>
      </c>
      <c r="J9" s="39">
        <v>0.3</v>
      </c>
      <c r="K9" s="37"/>
      <c r="L9" s="37"/>
      <c r="M9" s="37" t="s">
        <v>36</v>
      </c>
      <c r="N9" s="42">
        <v>15000</v>
      </c>
      <c r="O9" s="37" t="s">
        <v>18</v>
      </c>
      <c r="P9" s="37"/>
      <c r="Q9" s="37" t="s">
        <v>37</v>
      </c>
      <c r="R9" s="44">
        <f>'Market Info'!B7</f>
        <v>0.1</v>
      </c>
      <c r="S9" s="37"/>
      <c r="T9" s="37"/>
      <c r="U9" s="37"/>
      <c r="V9" s="37"/>
      <c r="AE9" s="18"/>
    </row>
    <row r="10" spans="1:31" x14ac:dyDescent="0.35">
      <c r="A10" s="37"/>
      <c r="B10" s="37" t="s">
        <v>38</v>
      </c>
      <c r="C10" s="54">
        <v>100000</v>
      </c>
      <c r="D10" s="37"/>
      <c r="E10" s="37"/>
      <c r="F10" s="37"/>
      <c r="G10" s="37"/>
      <c r="H10" s="37"/>
      <c r="I10" s="37"/>
      <c r="J10" s="37"/>
      <c r="K10" s="37"/>
      <c r="L10" s="37"/>
      <c r="M10" s="37" t="s">
        <v>39</v>
      </c>
      <c r="N10" s="42">
        <v>150000</v>
      </c>
      <c r="O10" s="37" t="s">
        <v>18</v>
      </c>
      <c r="P10" s="37"/>
      <c r="Q10" s="37" t="s">
        <v>40</v>
      </c>
      <c r="R10" s="44">
        <f>'Market Info'!B8</f>
        <v>0.05</v>
      </c>
      <c r="S10" s="37"/>
      <c r="T10" s="37"/>
      <c r="U10" s="37"/>
      <c r="V10" s="37"/>
      <c r="AE10" s="17"/>
    </row>
    <row r="11" spans="1:31" x14ac:dyDescent="0.35">
      <c r="A11" s="37"/>
      <c r="B11" s="37" t="s">
        <v>41</v>
      </c>
      <c r="C11" s="53">
        <v>15</v>
      </c>
      <c r="D11" s="37"/>
      <c r="E11" s="37"/>
      <c r="F11" s="37"/>
      <c r="G11" s="37"/>
      <c r="H11" s="37"/>
      <c r="I11" s="37"/>
      <c r="J11" s="37"/>
      <c r="K11" s="37"/>
      <c r="L11" s="37"/>
      <c r="M11" s="37" t="s">
        <v>42</v>
      </c>
      <c r="N11" s="42">
        <v>1500000</v>
      </c>
      <c r="O11" s="37" t="s">
        <v>18</v>
      </c>
      <c r="P11" s="37"/>
      <c r="Q11" s="37" t="s">
        <v>43</v>
      </c>
      <c r="R11" s="44">
        <f>'Market Info'!B9</f>
        <v>0.1</v>
      </c>
      <c r="S11" s="37"/>
      <c r="T11" s="37"/>
      <c r="U11" s="37"/>
      <c r="V11" s="37"/>
      <c r="AE11" s="19"/>
    </row>
    <row r="12" spans="1:31" x14ac:dyDescent="0.35">
      <c r="A12" s="37"/>
      <c r="B12" s="37" t="s">
        <v>44</v>
      </c>
      <c r="C12" s="14">
        <v>10</v>
      </c>
      <c r="H12" s="37"/>
      <c r="I12" s="40" t="s">
        <v>45</v>
      </c>
      <c r="J12" s="37"/>
      <c r="K12" s="37"/>
      <c r="L12" s="37"/>
      <c r="M12" s="37"/>
      <c r="N12" s="37"/>
      <c r="O12" s="37"/>
      <c r="P12" s="37"/>
      <c r="Q12" s="37" t="s">
        <v>46</v>
      </c>
      <c r="R12" s="44">
        <f>'Market Info'!B10</f>
        <v>0.1</v>
      </c>
      <c r="S12" s="37"/>
      <c r="T12" s="37"/>
      <c r="U12" s="37"/>
      <c r="V12" s="37"/>
      <c r="AE12" s="19"/>
    </row>
    <row r="13" spans="1:31" x14ac:dyDescent="0.35">
      <c r="A13" s="37"/>
      <c r="B13" s="37" t="s">
        <v>47</v>
      </c>
      <c r="C13" s="14">
        <v>2</v>
      </c>
      <c r="H13" s="37"/>
      <c r="I13" s="37"/>
      <c r="J13" s="37"/>
      <c r="K13" s="37"/>
      <c r="L13" s="37"/>
      <c r="M13" s="40" t="s">
        <v>48</v>
      </c>
      <c r="N13" s="37"/>
      <c r="O13" s="37"/>
      <c r="P13" s="37"/>
      <c r="Q13" s="37" t="s">
        <v>49</v>
      </c>
      <c r="R13" s="43">
        <f>SUM(R5:R12)</f>
        <v>0.99999999999999989</v>
      </c>
      <c r="S13" s="37"/>
      <c r="T13" s="37"/>
      <c r="U13" s="37"/>
      <c r="V13" s="37"/>
      <c r="AE13" s="19"/>
    </row>
    <row r="14" spans="1:31" x14ac:dyDescent="0.35">
      <c r="A14" s="37"/>
      <c r="H14" s="37"/>
      <c r="I14" s="37" t="s">
        <v>50</v>
      </c>
      <c r="J14" s="37">
        <f>(N15*(1+J9))+N23</f>
        <v>3.5100000000000002</v>
      </c>
      <c r="K14" s="37" t="s">
        <v>51</v>
      </c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AE14" s="19"/>
    </row>
    <row r="15" spans="1:31" x14ac:dyDescent="0.35">
      <c r="A15" s="37"/>
      <c r="B15" s="37"/>
      <c r="C15" s="59">
        <v>1</v>
      </c>
      <c r="D15" s="59">
        <v>2</v>
      </c>
      <c r="E15" s="59">
        <v>3</v>
      </c>
      <c r="F15" s="59">
        <v>4</v>
      </c>
      <c r="G15" s="59">
        <v>5</v>
      </c>
      <c r="H15" s="37"/>
      <c r="I15" s="37"/>
      <c r="J15" s="37"/>
      <c r="K15" s="37"/>
      <c r="L15" s="37"/>
      <c r="M15" s="37" t="s">
        <v>52</v>
      </c>
      <c r="N15" s="39">
        <v>2.7</v>
      </c>
      <c r="O15" s="37" t="s">
        <v>51</v>
      </c>
      <c r="P15" s="37"/>
      <c r="Q15" s="37"/>
      <c r="R15" s="44" t="s">
        <v>53</v>
      </c>
      <c r="S15" s="37" t="s">
        <v>54</v>
      </c>
      <c r="T15" s="37"/>
      <c r="U15" s="37"/>
      <c r="V15" s="37"/>
      <c r="AE15" s="19"/>
    </row>
    <row r="16" spans="1:31" x14ac:dyDescent="0.35">
      <c r="A16" s="37"/>
      <c r="B16" s="37" t="s">
        <v>55</v>
      </c>
      <c r="C16" s="55">
        <f>C25</f>
        <v>10</v>
      </c>
      <c r="D16" s="55">
        <f t="shared" ref="D16:G16" si="0">D25</f>
        <v>15</v>
      </c>
      <c r="E16" s="55">
        <f t="shared" si="0"/>
        <v>22.5</v>
      </c>
      <c r="F16" s="55">
        <f t="shared" si="0"/>
        <v>33.75</v>
      </c>
      <c r="G16" s="55">
        <f t="shared" si="0"/>
        <v>50.625</v>
      </c>
      <c r="H16" s="37"/>
      <c r="I16" s="37" t="s">
        <v>17</v>
      </c>
      <c r="J16" s="43">
        <f>N28</f>
        <v>1500</v>
      </c>
      <c r="K16" s="37" t="s">
        <v>56</v>
      </c>
      <c r="L16" s="37"/>
      <c r="M16" s="37"/>
      <c r="N16" s="37"/>
      <c r="O16" s="37"/>
      <c r="P16" s="37"/>
      <c r="Q16" s="37" t="s">
        <v>57</v>
      </c>
      <c r="R16" s="45">
        <f>'Market Info'!F3</f>
        <v>1</v>
      </c>
      <c r="S16" s="37">
        <f>'Market Info'!G3</f>
        <v>0</v>
      </c>
      <c r="T16" s="37"/>
      <c r="U16" s="37"/>
      <c r="V16" s="37"/>
      <c r="AE16" s="19"/>
    </row>
    <row r="17" spans="1:35" x14ac:dyDescent="0.35">
      <c r="A17" s="37"/>
      <c r="B17" s="37" t="s">
        <v>58</v>
      </c>
      <c r="C17" s="55">
        <f>('Income Sheet'!C2+'Income Sheet'!C4)/Assumptions!$C$12</f>
        <v>12.373451834862385</v>
      </c>
      <c r="D17" s="55">
        <f>('Income Sheet'!D2+'Income Sheet'!D4)/Assumptions!$C$12</f>
        <v>18.560177752293576</v>
      </c>
      <c r="E17" s="55">
        <f>('Income Sheet'!E2+'Income Sheet'!E4)/Assumptions!$C$12</f>
        <v>27.840266628440361</v>
      </c>
      <c r="F17" s="55">
        <f>('Income Sheet'!F2+'Income Sheet'!F4)/Assumptions!$C$12</f>
        <v>41.760399942660548</v>
      </c>
      <c r="G17" s="55">
        <f>('Income Sheet'!G2+'Income Sheet'!G4)/Assumptions!$C$12</f>
        <v>62.640599913990819</v>
      </c>
      <c r="H17" s="37"/>
      <c r="I17" s="37" t="s">
        <v>23</v>
      </c>
      <c r="J17" s="43">
        <f>N29</f>
        <v>15000</v>
      </c>
      <c r="K17" s="37" t="s">
        <v>56</v>
      </c>
      <c r="L17" s="37"/>
      <c r="M17" s="37" t="s">
        <v>59</v>
      </c>
      <c r="N17" s="37">
        <f>N9*$N$6</f>
        <v>1500</v>
      </c>
      <c r="O17" s="37" t="s">
        <v>18</v>
      </c>
      <c r="P17" s="37"/>
      <c r="Q17" s="37" t="s">
        <v>60</v>
      </c>
      <c r="R17" s="45">
        <f>'Market Info'!F4</f>
        <v>0.25</v>
      </c>
      <c r="S17" s="37">
        <f>'Market Info'!G4</f>
        <v>0.75</v>
      </c>
      <c r="T17" s="37"/>
      <c r="U17" s="37"/>
      <c r="V17" s="37"/>
      <c r="AE17" s="19"/>
    </row>
    <row r="18" spans="1:35" x14ac:dyDescent="0.35">
      <c r="A18" s="37"/>
      <c r="B18" s="37" t="s">
        <v>61</v>
      </c>
      <c r="C18" s="55">
        <f>C17*$C$13</f>
        <v>24.74690366972477</v>
      </c>
      <c r="D18" s="55">
        <f t="shared" ref="D18:G18" si="1">D17*$C$13</f>
        <v>37.120355504587152</v>
      </c>
      <c r="E18" s="55">
        <f t="shared" si="1"/>
        <v>55.680533256880722</v>
      </c>
      <c r="F18" s="55">
        <f t="shared" si="1"/>
        <v>83.520799885321097</v>
      </c>
      <c r="G18" s="55">
        <f t="shared" si="1"/>
        <v>125.28119982798164</v>
      </c>
      <c r="H18" s="37"/>
      <c r="I18" s="37" t="s">
        <v>28</v>
      </c>
      <c r="J18" s="43">
        <f>N30</f>
        <v>150000</v>
      </c>
      <c r="K18" s="37" t="s">
        <v>56</v>
      </c>
      <c r="L18" s="37"/>
      <c r="M18" s="37" t="s">
        <v>62</v>
      </c>
      <c r="N18" s="37">
        <f>N10*$N$6</f>
        <v>15000</v>
      </c>
      <c r="O18" s="37" t="s">
        <v>18</v>
      </c>
      <c r="P18" s="37"/>
      <c r="Q18" s="37" t="s">
        <v>63</v>
      </c>
      <c r="R18" s="45">
        <f>'Market Info'!F5</f>
        <v>0</v>
      </c>
      <c r="S18" s="37">
        <f>'Market Info'!G5</f>
        <v>1</v>
      </c>
      <c r="T18" s="37"/>
      <c r="U18" s="37"/>
      <c r="V18" s="37"/>
      <c r="AE18" s="19"/>
    </row>
    <row r="19" spans="1:35" x14ac:dyDescent="0.35">
      <c r="A19" s="37"/>
      <c r="B19" s="37" t="s">
        <v>64</v>
      </c>
      <c r="C19" s="55">
        <f>(SUM(C16:C18)+2)/$C$11</f>
        <v>3.274690366972477</v>
      </c>
      <c r="D19" s="55">
        <f t="shared" ref="D19:G19" si="2">(SUM(D16:D18)+2)/$C$11</f>
        <v>4.8453688837920481</v>
      </c>
      <c r="E19" s="55">
        <f t="shared" si="2"/>
        <v>7.2013866590214057</v>
      </c>
      <c r="F19" s="55">
        <f t="shared" si="2"/>
        <v>10.735413321865444</v>
      </c>
      <c r="G19" s="55">
        <f t="shared" si="2"/>
        <v>16.036453316131496</v>
      </c>
      <c r="H19" s="37"/>
      <c r="I19" s="37"/>
      <c r="J19" s="37"/>
      <c r="K19" s="37"/>
      <c r="L19" s="37"/>
      <c r="M19" s="37" t="s">
        <v>65</v>
      </c>
      <c r="N19" s="37">
        <f>N11*$N$6</f>
        <v>150000</v>
      </c>
      <c r="O19" s="37" t="s">
        <v>18</v>
      </c>
      <c r="P19" s="37"/>
      <c r="Q19" s="37" t="s">
        <v>66</v>
      </c>
      <c r="R19" s="45">
        <f>'Market Info'!F6</f>
        <v>1</v>
      </c>
      <c r="S19" s="37">
        <f>'Market Info'!G6</f>
        <v>0</v>
      </c>
      <c r="T19" s="37"/>
      <c r="U19" s="37"/>
      <c r="V19" s="37"/>
      <c r="AE19" s="19"/>
    </row>
    <row r="20" spans="1:35" x14ac:dyDescent="0.35">
      <c r="A20" s="37"/>
      <c r="B20" s="37" t="s">
        <v>67</v>
      </c>
      <c r="C20" s="56">
        <f>$C$10*C25</f>
        <v>1000000</v>
      </c>
      <c r="D20" s="56">
        <f t="shared" ref="D20:G20" si="3">$C$10*D25</f>
        <v>1500000</v>
      </c>
      <c r="E20" s="56">
        <f t="shared" si="3"/>
        <v>2250000</v>
      </c>
      <c r="F20" s="56">
        <f t="shared" si="3"/>
        <v>3375000</v>
      </c>
      <c r="G20" s="56">
        <f t="shared" si="3"/>
        <v>5062500</v>
      </c>
      <c r="H20" s="37"/>
      <c r="I20" s="37"/>
      <c r="J20" s="37"/>
      <c r="K20" s="37"/>
      <c r="L20" s="37"/>
      <c r="M20" s="37"/>
      <c r="N20" s="37"/>
      <c r="O20" s="37"/>
      <c r="P20" s="37"/>
      <c r="Q20" s="37" t="s">
        <v>68</v>
      </c>
      <c r="R20" s="45">
        <f>'Market Info'!F7</f>
        <v>1</v>
      </c>
      <c r="S20" s="37">
        <f>'Market Info'!G7</f>
        <v>0</v>
      </c>
      <c r="T20" s="37"/>
      <c r="U20" s="37"/>
      <c r="V20" s="37"/>
      <c r="AE20" s="19"/>
    </row>
    <row r="21" spans="1:35" x14ac:dyDescent="0.3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58" t="s">
        <v>69</v>
      </c>
      <c r="N21" s="58">
        <f>J14*N7</f>
        <v>0.17550000000000002</v>
      </c>
      <c r="O21" s="58" t="s">
        <v>51</v>
      </c>
      <c r="P21" s="37"/>
      <c r="Q21" s="37" t="s">
        <v>70</v>
      </c>
      <c r="R21" s="45">
        <f>'Market Info'!F8</f>
        <v>0</v>
      </c>
      <c r="S21" s="37">
        <f>'Market Info'!G8</f>
        <v>1</v>
      </c>
      <c r="T21" s="37"/>
      <c r="U21" s="37"/>
      <c r="V21" s="37"/>
      <c r="AE21" s="19"/>
    </row>
    <row r="22" spans="1:35" x14ac:dyDescent="0.35">
      <c r="A22" s="37"/>
      <c r="B22" s="37"/>
      <c r="C22" s="52">
        <v>1</v>
      </c>
      <c r="D22" s="52">
        <v>2</v>
      </c>
      <c r="E22" s="52">
        <v>3</v>
      </c>
      <c r="F22" s="52">
        <v>4</v>
      </c>
      <c r="G22" s="52">
        <v>5</v>
      </c>
      <c r="H22" s="37"/>
      <c r="I22" s="37"/>
      <c r="J22" s="37"/>
      <c r="K22" s="37"/>
      <c r="L22" s="37"/>
      <c r="M22" s="37" t="s">
        <v>71</v>
      </c>
      <c r="N22" s="39">
        <v>0.02</v>
      </c>
      <c r="O22" s="37" t="s">
        <v>18</v>
      </c>
      <c r="P22" s="37"/>
      <c r="Q22" s="37" t="s">
        <v>72</v>
      </c>
      <c r="R22" s="45">
        <f>'Market Info'!F9</f>
        <v>0</v>
      </c>
      <c r="S22" s="37">
        <f>'Market Info'!G9</f>
        <v>1</v>
      </c>
      <c r="T22" s="37"/>
      <c r="U22" s="37"/>
      <c r="V22" s="37"/>
      <c r="AE22" s="20"/>
    </row>
    <row r="23" spans="1:35" x14ac:dyDescent="0.35">
      <c r="A23" s="37"/>
      <c r="B23" s="37" t="s">
        <v>73</v>
      </c>
      <c r="C23" s="51">
        <f>$S$35*C25</f>
        <v>2.8555045871559637</v>
      </c>
      <c r="D23" s="51">
        <f t="shared" ref="D23:G23" si="4">$S$35*D25</f>
        <v>4.2832568807339459</v>
      </c>
      <c r="E23" s="51">
        <f t="shared" si="4"/>
        <v>6.424885321100918</v>
      </c>
      <c r="F23" s="51">
        <f t="shared" si="4"/>
        <v>9.6373279816513779</v>
      </c>
      <c r="G23" s="51">
        <f t="shared" si="4"/>
        <v>14.455991972477067</v>
      </c>
      <c r="H23" s="37"/>
      <c r="I23" s="37"/>
      <c r="J23" s="37"/>
      <c r="K23" s="37"/>
      <c r="L23" s="37"/>
      <c r="M23" s="37"/>
      <c r="N23" s="39"/>
      <c r="O23" s="37"/>
      <c r="P23" s="37"/>
      <c r="Q23" s="37" t="s">
        <v>74</v>
      </c>
      <c r="R23" s="45">
        <f>'Market Info'!F10</f>
        <v>0.5</v>
      </c>
      <c r="S23" s="37">
        <f>'Market Info'!G10</f>
        <v>0.5</v>
      </c>
      <c r="T23" s="37"/>
      <c r="U23" s="37"/>
      <c r="V23" s="37"/>
      <c r="AE23" s="2"/>
      <c r="AF23" s="2"/>
      <c r="AG23" s="2"/>
      <c r="AH23" s="2"/>
      <c r="AI23" s="2"/>
    </row>
    <row r="24" spans="1:35" x14ac:dyDescent="0.35">
      <c r="A24" s="37"/>
      <c r="B24" s="37" t="s">
        <v>75</v>
      </c>
      <c r="C24" s="51">
        <f>$R$35*C25</f>
        <v>7.1444954128440363</v>
      </c>
      <c r="D24" s="51">
        <f t="shared" ref="D24:G24" si="5">$R$35*D25</f>
        <v>10.716743119266054</v>
      </c>
      <c r="E24" s="51">
        <f t="shared" si="5"/>
        <v>16.07511467889908</v>
      </c>
      <c r="F24" s="51">
        <f t="shared" si="5"/>
        <v>24.112672018348622</v>
      </c>
      <c r="G24" s="51">
        <f t="shared" si="5"/>
        <v>36.169008027522935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AE24" s="16"/>
      <c r="AF24" s="21"/>
      <c r="AG24" s="16"/>
      <c r="AH24" s="21"/>
      <c r="AI24" s="16"/>
    </row>
    <row r="25" spans="1:35" x14ac:dyDescent="0.35">
      <c r="A25" s="37"/>
      <c r="B25" s="37" t="s">
        <v>76</v>
      </c>
      <c r="C25" s="53">
        <v>10</v>
      </c>
      <c r="D25" s="51">
        <f>C25+(C25*$C$9)</f>
        <v>15</v>
      </c>
      <c r="E25" s="51">
        <f t="shared" ref="E25:G25" si="6">D25+(D25*$C$9)</f>
        <v>22.5</v>
      </c>
      <c r="F25" s="51">
        <f t="shared" si="6"/>
        <v>33.75</v>
      </c>
      <c r="G25" s="51">
        <f t="shared" si="6"/>
        <v>50.625</v>
      </c>
      <c r="H25" s="37"/>
      <c r="I25" s="40" t="s">
        <v>77</v>
      </c>
      <c r="J25" s="37"/>
      <c r="K25" s="37"/>
      <c r="L25" s="37"/>
      <c r="M25" s="37"/>
      <c r="N25" s="37"/>
      <c r="O25" s="37"/>
      <c r="P25" s="37"/>
      <c r="Q25" s="37"/>
      <c r="R25" s="46" t="s">
        <v>78</v>
      </c>
      <c r="S25" s="37" t="s">
        <v>79</v>
      </c>
      <c r="T25" s="37"/>
      <c r="U25" s="37"/>
      <c r="V25" s="37"/>
      <c r="AE25" s="4"/>
      <c r="AF25" s="5"/>
      <c r="AG25" s="4"/>
      <c r="AH25" s="5"/>
      <c r="AI25" s="4"/>
    </row>
    <row r="26" spans="1:35" x14ac:dyDescent="0.3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41" t="s">
        <v>80</v>
      </c>
      <c r="N26" s="37"/>
      <c r="O26" s="37"/>
      <c r="P26" s="37"/>
      <c r="Q26" s="37" t="s">
        <v>57</v>
      </c>
      <c r="R26" s="46">
        <f>'Market Info'!H3</f>
        <v>1.9800000000000002</v>
      </c>
      <c r="S26" s="37">
        <f>'Market Info'!I3</f>
        <v>0</v>
      </c>
      <c r="T26" s="37"/>
      <c r="U26" s="37"/>
      <c r="V26" s="37"/>
      <c r="AE26" s="2"/>
      <c r="AF26" s="2"/>
    </row>
    <row r="27" spans="1:35" x14ac:dyDescent="0.35">
      <c r="A27" s="37"/>
      <c r="B27" s="37"/>
      <c r="C27" s="37"/>
      <c r="D27" s="37"/>
      <c r="E27" s="37"/>
      <c r="F27" s="37"/>
      <c r="G27" s="37"/>
      <c r="H27" s="37"/>
      <c r="I27" s="37" t="s">
        <v>81</v>
      </c>
      <c r="J27" s="47">
        <f>N36*(1+$J$8)</f>
        <v>43125</v>
      </c>
      <c r="K27" s="37" t="s">
        <v>18</v>
      </c>
      <c r="L27" s="37"/>
      <c r="M27" s="37"/>
      <c r="N27" s="37"/>
      <c r="O27" s="37"/>
      <c r="P27" s="37"/>
      <c r="Q27" s="37" t="s">
        <v>60</v>
      </c>
      <c r="R27" s="46">
        <f>'Market Info'!H4</f>
        <v>0.12375000000000001</v>
      </c>
      <c r="S27" s="37">
        <f>'Market Info'!I4</f>
        <v>0.37125000000000002</v>
      </c>
      <c r="T27" s="37"/>
      <c r="U27" s="37"/>
      <c r="V27" s="37"/>
      <c r="AE27" s="15"/>
      <c r="AF27" s="15"/>
    </row>
    <row r="28" spans="1:35" x14ac:dyDescent="0.35">
      <c r="A28" s="37"/>
      <c r="B28" s="37"/>
      <c r="C28" s="37">
        <v>1</v>
      </c>
      <c r="D28" s="37">
        <v>2</v>
      </c>
      <c r="E28" s="37">
        <v>3</v>
      </c>
      <c r="F28" s="37">
        <v>4</v>
      </c>
      <c r="G28" s="37">
        <v>5</v>
      </c>
      <c r="H28" s="37"/>
      <c r="I28" s="37" t="s">
        <v>82</v>
      </c>
      <c r="J28" s="47">
        <f>N37*(1+$J$8)</f>
        <v>600000</v>
      </c>
      <c r="K28" s="37" t="s">
        <v>18</v>
      </c>
      <c r="L28" s="37"/>
      <c r="M28" s="37" t="s">
        <v>59</v>
      </c>
      <c r="N28" s="37">
        <f>N9*$N$6</f>
        <v>1500</v>
      </c>
      <c r="O28" s="37" t="s">
        <v>18</v>
      </c>
      <c r="P28" s="37"/>
      <c r="Q28" s="37" t="s">
        <v>63</v>
      </c>
      <c r="R28" s="46">
        <f>'Market Info'!H5</f>
        <v>0</v>
      </c>
      <c r="S28" s="37">
        <f>'Market Info'!I5</f>
        <v>0.49500000000000005</v>
      </c>
      <c r="T28" s="37"/>
      <c r="U28" s="37"/>
      <c r="V28" s="37"/>
      <c r="AE28" s="64"/>
      <c r="AF28" s="64"/>
    </row>
    <row r="29" spans="1:35" x14ac:dyDescent="0.35">
      <c r="A29" s="37"/>
      <c r="B29" s="40" t="s">
        <v>167</v>
      </c>
      <c r="C29" s="37">
        <f>C24*$R$59</f>
        <v>113.59747706422019</v>
      </c>
      <c r="D29" s="37">
        <f t="shared" ref="D29:G29" si="7">D24*$R$59</f>
        <v>170.39621559633025</v>
      </c>
      <c r="E29" s="37">
        <f t="shared" si="7"/>
        <v>255.59432339449538</v>
      </c>
      <c r="F29" s="37">
        <f t="shared" si="7"/>
        <v>383.39148509174311</v>
      </c>
      <c r="G29" s="37">
        <f t="shared" si="7"/>
        <v>575.08722763761466</v>
      </c>
      <c r="H29" s="37"/>
      <c r="I29" s="37" t="s">
        <v>83</v>
      </c>
      <c r="J29" s="47">
        <f>N38*(1+$J$8)</f>
        <v>4312500</v>
      </c>
      <c r="K29" s="37" t="s">
        <v>18</v>
      </c>
      <c r="L29" s="37"/>
      <c r="M29" s="37" t="s">
        <v>62</v>
      </c>
      <c r="N29" s="37">
        <f>N10*$N$6</f>
        <v>15000</v>
      </c>
      <c r="O29" s="37" t="s">
        <v>18</v>
      </c>
      <c r="P29" s="37"/>
      <c r="Q29" s="37" t="s">
        <v>66</v>
      </c>
      <c r="R29" s="46">
        <f>'Market Info'!H6</f>
        <v>3.4649999999999999</v>
      </c>
      <c r="S29" s="37">
        <f>'Market Info'!I6</f>
        <v>0</v>
      </c>
      <c r="T29" s="37"/>
      <c r="U29" s="37"/>
      <c r="V29" s="37"/>
      <c r="AE29" s="64"/>
      <c r="AF29" s="64"/>
    </row>
    <row r="30" spans="1:35" x14ac:dyDescent="0.35">
      <c r="A30" s="37"/>
      <c r="B30" s="37" t="s">
        <v>109</v>
      </c>
      <c r="C30" s="37">
        <f>C23*$S$59</f>
        <v>10.13704128440367</v>
      </c>
      <c r="D30" s="37">
        <f t="shared" ref="D30:G30" si="8">D23*$S$59</f>
        <v>15.205561926605508</v>
      </c>
      <c r="E30" s="37">
        <f t="shared" si="8"/>
        <v>22.808342889908257</v>
      </c>
      <c r="F30" s="37">
        <f t="shared" si="8"/>
        <v>34.212514334862391</v>
      </c>
      <c r="G30" s="37">
        <f t="shared" si="8"/>
        <v>51.318771502293586</v>
      </c>
      <c r="H30" s="37"/>
      <c r="I30" s="37"/>
      <c r="J30" s="37"/>
      <c r="K30" s="37"/>
      <c r="L30" s="37"/>
      <c r="M30" s="37" t="s">
        <v>65</v>
      </c>
      <c r="N30" s="37">
        <f>N11*$N$6</f>
        <v>150000</v>
      </c>
      <c r="O30" s="37" t="s">
        <v>18</v>
      </c>
      <c r="P30" s="37"/>
      <c r="Q30" s="37" t="s">
        <v>68</v>
      </c>
      <c r="R30" s="46">
        <f>'Market Info'!H7</f>
        <v>0.9900000000000001</v>
      </c>
      <c r="S30" s="37">
        <f>'Market Info'!I7</f>
        <v>0</v>
      </c>
      <c r="T30" s="37"/>
      <c r="U30" s="37"/>
      <c r="V30" s="37"/>
      <c r="AE30" s="64"/>
      <c r="AF30" s="64"/>
    </row>
    <row r="31" spans="1:35" x14ac:dyDescent="0.35">
      <c r="A31" s="37"/>
      <c r="B31" s="37" t="s">
        <v>90</v>
      </c>
      <c r="C31" s="37">
        <f>SUM(C29:C30)</f>
        <v>123.73451834862385</v>
      </c>
      <c r="D31" s="37">
        <f t="shared" ref="D31:G31" si="9">SUM(D29:D30)</f>
        <v>185.60177752293575</v>
      </c>
      <c r="E31" s="37">
        <f t="shared" si="9"/>
        <v>278.40266628440361</v>
      </c>
      <c r="F31" s="37">
        <f t="shared" si="9"/>
        <v>417.60399942660547</v>
      </c>
      <c r="G31" s="37">
        <f t="shared" si="9"/>
        <v>626.4059991399082</v>
      </c>
      <c r="H31" s="37"/>
      <c r="I31" s="37" t="s">
        <v>84</v>
      </c>
      <c r="J31" s="37">
        <f>J27*$J$4</f>
        <v>862.5</v>
      </c>
      <c r="K31" s="37" t="s">
        <v>10</v>
      </c>
      <c r="L31" s="37"/>
      <c r="M31" s="37"/>
      <c r="N31" s="37"/>
      <c r="O31" s="37"/>
      <c r="P31" s="37"/>
      <c r="Q31" s="37" t="s">
        <v>70</v>
      </c>
      <c r="R31" s="46">
        <f>'Market Info'!H8</f>
        <v>0</v>
      </c>
      <c r="S31" s="37">
        <f>'Market Info'!I8</f>
        <v>0.49500000000000005</v>
      </c>
      <c r="T31" s="37"/>
      <c r="U31" s="37"/>
      <c r="V31" s="37"/>
      <c r="AE31" s="64"/>
      <c r="AF31" s="64"/>
    </row>
    <row r="32" spans="1:35" x14ac:dyDescent="0.35">
      <c r="A32" s="37"/>
      <c r="B32" s="37"/>
      <c r="C32" s="37"/>
      <c r="D32" s="37"/>
      <c r="E32" s="37"/>
      <c r="F32" s="37"/>
      <c r="G32" s="37"/>
      <c r="H32" s="37"/>
      <c r="I32" s="37" t="s">
        <v>85</v>
      </c>
      <c r="J32" s="37">
        <f>J28*$J$4</f>
        <v>12000</v>
      </c>
      <c r="K32" s="37" t="s">
        <v>10</v>
      </c>
      <c r="L32" s="37"/>
      <c r="M32" s="37" t="s">
        <v>86</v>
      </c>
      <c r="N32" s="37">
        <f>N9*$N$7</f>
        <v>750</v>
      </c>
      <c r="O32" s="37" t="s">
        <v>18</v>
      </c>
      <c r="P32" s="37"/>
      <c r="Q32" s="37" t="s">
        <v>72</v>
      </c>
      <c r="R32" s="46">
        <f>'Market Info'!H9</f>
        <v>0</v>
      </c>
      <c r="S32" s="37">
        <f>'Market Info'!I9</f>
        <v>0.9900000000000001</v>
      </c>
      <c r="T32" s="37"/>
      <c r="U32" s="37"/>
      <c r="V32" s="37"/>
      <c r="AE32" s="6"/>
      <c r="AF32" s="6"/>
    </row>
    <row r="33" spans="1:40" x14ac:dyDescent="0.35">
      <c r="A33" s="37"/>
      <c r="B33" s="37"/>
      <c r="C33" s="37"/>
      <c r="D33" s="37"/>
      <c r="E33" s="37"/>
      <c r="F33" s="37"/>
      <c r="G33" s="37"/>
      <c r="H33" s="37"/>
      <c r="I33" s="37" t="s">
        <v>87</v>
      </c>
      <c r="J33" s="37">
        <f>J29*$J$4</f>
        <v>86250</v>
      </c>
      <c r="K33" s="37" t="s">
        <v>10</v>
      </c>
      <c r="L33" s="37"/>
      <c r="M33" s="37" t="s">
        <v>88</v>
      </c>
      <c r="N33" s="37">
        <f>N10*$N$7</f>
        <v>7500</v>
      </c>
      <c r="O33" s="37" t="s">
        <v>18</v>
      </c>
      <c r="P33" s="37"/>
      <c r="Q33" s="37" t="s">
        <v>74</v>
      </c>
      <c r="R33" s="46">
        <f>'Market Info'!H10</f>
        <v>0.45</v>
      </c>
      <c r="S33" s="37">
        <f>'Market Info'!I10</f>
        <v>0.45</v>
      </c>
      <c r="T33" s="37"/>
      <c r="U33" s="37"/>
      <c r="V33" s="37"/>
      <c r="AE33" s="20"/>
    </row>
    <row r="34" spans="1:40" x14ac:dyDescent="0.3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 t="s">
        <v>89</v>
      </c>
      <c r="N34" s="37">
        <f>N11*$N$7</f>
        <v>75000</v>
      </c>
      <c r="O34" s="37" t="s">
        <v>18</v>
      </c>
      <c r="P34" s="37"/>
      <c r="Q34" s="37" t="s">
        <v>90</v>
      </c>
      <c r="R34" s="48">
        <f>SUM(R26:R33)</f>
        <v>7.00875</v>
      </c>
      <c r="S34" s="37">
        <f>SUM(S26:S33)</f>
        <v>2.8012500000000005</v>
      </c>
      <c r="T34" s="37"/>
      <c r="U34" s="37"/>
      <c r="V34" s="37"/>
      <c r="AE34" s="16"/>
    </row>
    <row r="35" spans="1:40" x14ac:dyDescent="0.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 t="s">
        <v>91</v>
      </c>
      <c r="R35" s="48">
        <f>R34/SUM(R34:S34)</f>
        <v>0.71444954128440363</v>
      </c>
      <c r="S35" s="48">
        <f>S34/SUM(R34:S34)</f>
        <v>0.28555045871559637</v>
      </c>
      <c r="T35" s="37"/>
      <c r="U35" s="37"/>
      <c r="V35" s="37"/>
    </row>
    <row r="36" spans="1:40" x14ac:dyDescent="0.3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 t="s">
        <v>92</v>
      </c>
      <c r="N36" s="37">
        <f>N9+N28+N32</f>
        <v>17250</v>
      </c>
      <c r="O36" s="37" t="s">
        <v>18</v>
      </c>
      <c r="P36" s="37"/>
      <c r="Q36" s="37"/>
      <c r="R36" s="37"/>
      <c r="S36" s="37"/>
      <c r="T36" s="37"/>
      <c r="U36" s="37"/>
      <c r="V36" s="37"/>
    </row>
    <row r="37" spans="1:40" x14ac:dyDescent="0.3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 t="s">
        <v>93</v>
      </c>
      <c r="N37" s="37">
        <f>N10+N29+N34</f>
        <v>240000</v>
      </c>
      <c r="O37" s="37" t="s">
        <v>18</v>
      </c>
      <c r="P37" s="37"/>
      <c r="Q37" s="37" t="s">
        <v>94</v>
      </c>
      <c r="R37" s="48">
        <f>SUM(R34:S34)</f>
        <v>9.81</v>
      </c>
      <c r="S37" s="37"/>
      <c r="T37" s="49"/>
      <c r="U37" s="37"/>
      <c r="V37" s="37"/>
    </row>
    <row r="38" spans="1:40" x14ac:dyDescent="0.3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 t="s">
        <v>95</v>
      </c>
      <c r="N38" s="37">
        <f>N11+N30+N34</f>
        <v>1725000</v>
      </c>
      <c r="O38" s="37" t="s">
        <v>18</v>
      </c>
      <c r="P38" s="37"/>
      <c r="Q38" s="37"/>
      <c r="R38" s="37"/>
      <c r="S38" s="37"/>
      <c r="T38" s="50"/>
      <c r="U38" s="37"/>
      <c r="V38" s="37"/>
    </row>
    <row r="39" spans="1:40" ht="18.5" x14ac:dyDescent="0.4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 t="s">
        <v>96</v>
      </c>
      <c r="R39" s="53">
        <v>4000</v>
      </c>
      <c r="S39" s="37" t="s">
        <v>97</v>
      </c>
      <c r="T39" s="53">
        <v>750000</v>
      </c>
      <c r="U39" s="37" t="s">
        <v>98</v>
      </c>
      <c r="V39" s="37"/>
      <c r="AD39" s="8"/>
      <c r="AK39" s="10"/>
    </row>
    <row r="40" spans="1:40" ht="16" x14ac:dyDescent="0.4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 t="s">
        <v>71</v>
      </c>
      <c r="N40" s="39">
        <v>0.02</v>
      </c>
      <c r="O40" s="37" t="s">
        <v>18</v>
      </c>
      <c r="P40" s="37"/>
      <c r="Q40" s="37" t="s">
        <v>99</v>
      </c>
      <c r="R40" s="53">
        <v>5000</v>
      </c>
      <c r="S40" s="37" t="s">
        <v>97</v>
      </c>
      <c r="T40" s="53">
        <v>300000</v>
      </c>
      <c r="U40" s="37" t="s">
        <v>98</v>
      </c>
      <c r="V40" s="37"/>
      <c r="AD40" s="9"/>
      <c r="AE40" s="9"/>
      <c r="AF40" s="9"/>
      <c r="AG40" s="9"/>
      <c r="AK40" s="9"/>
      <c r="AL40" s="9"/>
      <c r="AM40" s="9"/>
      <c r="AN40" s="9"/>
    </row>
    <row r="41" spans="1:40" ht="16" x14ac:dyDescent="0.4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 t="s">
        <v>100</v>
      </c>
      <c r="R41" s="53">
        <v>200</v>
      </c>
      <c r="S41" s="37" t="s">
        <v>97</v>
      </c>
      <c r="T41" s="53">
        <v>60000</v>
      </c>
      <c r="U41" s="37" t="s">
        <v>98</v>
      </c>
      <c r="V41" s="37"/>
      <c r="AE41" s="22"/>
      <c r="AM41" s="9"/>
      <c r="AN41" s="9"/>
    </row>
    <row r="42" spans="1:40" ht="16" x14ac:dyDescent="0.4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 t="s">
        <v>101</v>
      </c>
      <c r="R42" s="53">
        <v>10000</v>
      </c>
      <c r="S42" s="37" t="s">
        <v>97</v>
      </c>
      <c r="T42" s="53">
        <v>2750000</v>
      </c>
      <c r="U42" s="37" t="s">
        <v>98</v>
      </c>
      <c r="V42" s="37"/>
      <c r="AE42" s="23"/>
      <c r="AM42" s="9"/>
      <c r="AN42" s="9"/>
    </row>
    <row r="43" spans="1:40" ht="16" x14ac:dyDescent="0.4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 t="s">
        <v>102</v>
      </c>
      <c r="R43" s="53">
        <v>15000</v>
      </c>
      <c r="S43" s="37" t="s">
        <v>97</v>
      </c>
      <c r="T43" s="53">
        <v>5500000</v>
      </c>
      <c r="U43" s="37" t="s">
        <v>98</v>
      </c>
      <c r="V43" s="37"/>
      <c r="AE43" s="24"/>
      <c r="AM43" s="9"/>
      <c r="AN43" s="9"/>
    </row>
    <row r="44" spans="1:40" ht="16" x14ac:dyDescent="0.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 t="s">
        <v>103</v>
      </c>
      <c r="R44" s="53">
        <v>100</v>
      </c>
      <c r="S44" s="37" t="s">
        <v>97</v>
      </c>
      <c r="T44" s="53">
        <v>30000</v>
      </c>
      <c r="U44" s="37" t="s">
        <v>98</v>
      </c>
      <c r="V44" s="37"/>
      <c r="AE44" s="23"/>
      <c r="AM44" s="9"/>
      <c r="AN44" s="9"/>
    </row>
    <row r="45" spans="1:40" ht="16" x14ac:dyDescent="0.4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 t="s">
        <v>104</v>
      </c>
      <c r="R45" s="53">
        <v>1500</v>
      </c>
      <c r="S45" s="37" t="s">
        <v>97</v>
      </c>
      <c r="T45" s="53">
        <v>550000</v>
      </c>
      <c r="U45" s="37" t="s">
        <v>98</v>
      </c>
      <c r="V45" s="37"/>
      <c r="AE45" s="24"/>
      <c r="AM45" s="9"/>
      <c r="AN45" s="9"/>
    </row>
    <row r="46" spans="1:40" ht="16" x14ac:dyDescent="0.4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 t="s">
        <v>105</v>
      </c>
      <c r="R46" s="46">
        <f>ROUND(AVERAGE(R39:R41),-2)</f>
        <v>3100</v>
      </c>
      <c r="S46" s="37" t="s">
        <v>97</v>
      </c>
      <c r="T46" s="37">
        <f>AVERAGE(T39:T41)</f>
        <v>370000</v>
      </c>
      <c r="U46" s="37" t="s">
        <v>98</v>
      </c>
      <c r="V46" s="37"/>
      <c r="AD46" s="6"/>
      <c r="AE46" s="23"/>
      <c r="AF46" s="6"/>
      <c r="AL46" s="24"/>
      <c r="AM46" s="6"/>
      <c r="AN46" s="9"/>
    </row>
    <row r="47" spans="1:40" x14ac:dyDescent="0.3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AD47" s="6"/>
      <c r="AE47" s="23"/>
      <c r="AK47" s="6"/>
      <c r="AL47" s="30"/>
      <c r="AM47" s="6"/>
      <c r="AN47" s="6"/>
    </row>
    <row r="48" spans="1:40" x14ac:dyDescent="0.3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 t="s">
        <v>106</v>
      </c>
      <c r="R48" s="37">
        <v>250</v>
      </c>
      <c r="S48" s="37" t="s">
        <v>107</v>
      </c>
      <c r="T48" s="37"/>
      <c r="U48" s="37"/>
      <c r="V48" s="37"/>
      <c r="AD48" s="6"/>
      <c r="AE48" s="25"/>
      <c r="AK48" s="6"/>
      <c r="AL48" s="31"/>
      <c r="AM48" s="6"/>
    </row>
    <row r="49" spans="1:44" x14ac:dyDescent="0.3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AD49" s="6"/>
      <c r="AE49" s="25"/>
      <c r="AL49" s="20"/>
    </row>
    <row r="50" spans="1:44" x14ac:dyDescent="0.3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 t="s">
        <v>108</v>
      </c>
      <c r="S50" s="37" t="s">
        <v>109</v>
      </c>
      <c r="T50" s="37" t="s">
        <v>109</v>
      </c>
      <c r="U50" s="37"/>
      <c r="V50" s="37"/>
      <c r="AD50" s="6"/>
      <c r="AE50" s="26"/>
      <c r="AF50" s="6"/>
      <c r="AG50" s="6"/>
      <c r="AM50" s="6"/>
      <c r="AN50" s="6"/>
    </row>
    <row r="51" spans="1:44" x14ac:dyDescent="0.3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 t="s">
        <v>57</v>
      </c>
      <c r="R51" s="57">
        <f t="shared" ref="R51:R58" si="10">(R39/$R$48)*R16</f>
        <v>16</v>
      </c>
      <c r="S51" s="51">
        <f>(R39/$R$48)*S16</f>
        <v>0</v>
      </c>
      <c r="T51" s="48"/>
      <c r="U51" s="37"/>
      <c r="V51" s="37"/>
      <c r="AD51" s="6"/>
      <c r="AE51" s="26"/>
      <c r="AF51" s="6"/>
    </row>
    <row r="52" spans="1:44" x14ac:dyDescent="0.3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 t="s">
        <v>60</v>
      </c>
      <c r="R52" s="57">
        <f t="shared" si="10"/>
        <v>5</v>
      </c>
      <c r="S52" s="51">
        <f t="shared" ref="S52:S58" si="11">(R40/$R$48)*S17</f>
        <v>15</v>
      </c>
      <c r="T52" s="48"/>
      <c r="U52" s="37"/>
      <c r="V52" s="37"/>
      <c r="AD52" s="6"/>
      <c r="AE52" s="27"/>
      <c r="AF52" s="6"/>
      <c r="AG52" s="6"/>
    </row>
    <row r="53" spans="1:44" x14ac:dyDescent="0.3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 t="s">
        <v>63</v>
      </c>
      <c r="R53" s="57">
        <f t="shared" si="10"/>
        <v>0</v>
      </c>
      <c r="S53" s="51">
        <f t="shared" si="11"/>
        <v>0.8</v>
      </c>
      <c r="T53" s="48"/>
      <c r="U53" s="37"/>
      <c r="V53" s="37"/>
      <c r="AD53" s="6"/>
      <c r="AE53" s="28"/>
    </row>
    <row r="54" spans="1:44" x14ac:dyDescent="0.3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 t="s">
        <v>66</v>
      </c>
      <c r="R54" s="57">
        <f t="shared" si="10"/>
        <v>40</v>
      </c>
      <c r="S54" s="51">
        <f t="shared" si="11"/>
        <v>0</v>
      </c>
      <c r="T54" s="48"/>
      <c r="U54" s="37"/>
      <c r="V54" s="37"/>
      <c r="AD54" s="6"/>
      <c r="AE54" s="29"/>
      <c r="AG54" s="6"/>
      <c r="AM54" s="6"/>
    </row>
    <row r="55" spans="1:44" x14ac:dyDescent="0.3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 t="s">
        <v>68</v>
      </c>
      <c r="R55" s="57">
        <f t="shared" si="10"/>
        <v>60</v>
      </c>
      <c r="S55" s="51">
        <f t="shared" si="11"/>
        <v>0</v>
      </c>
      <c r="T55" s="48"/>
      <c r="U55" s="37"/>
      <c r="V55" s="37"/>
      <c r="AD55" s="6"/>
      <c r="AE55" s="26"/>
    </row>
    <row r="56" spans="1:44" x14ac:dyDescent="0.3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 t="s">
        <v>70</v>
      </c>
      <c r="R56" s="57">
        <f t="shared" si="10"/>
        <v>0</v>
      </c>
      <c r="S56" s="51">
        <f t="shared" si="11"/>
        <v>0.4</v>
      </c>
      <c r="T56" s="48"/>
      <c r="U56" s="37"/>
      <c r="V56" s="37"/>
      <c r="AD56" s="6"/>
      <c r="AE56" s="27"/>
      <c r="AF56" s="6"/>
      <c r="AK56" s="6"/>
      <c r="AL56" s="26"/>
    </row>
    <row r="57" spans="1:44" x14ac:dyDescent="0.3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 t="s">
        <v>72</v>
      </c>
      <c r="R57" s="57">
        <f t="shared" si="10"/>
        <v>0</v>
      </c>
      <c r="S57" s="51">
        <f t="shared" si="11"/>
        <v>6</v>
      </c>
      <c r="T57" s="48"/>
      <c r="U57" s="37"/>
      <c r="V57" s="37"/>
      <c r="AL57" s="12"/>
    </row>
    <row r="58" spans="1:44" x14ac:dyDescent="0.3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 t="s">
        <v>74</v>
      </c>
      <c r="R58" s="57">
        <f t="shared" si="10"/>
        <v>6.2</v>
      </c>
      <c r="S58" s="51">
        <f t="shared" si="11"/>
        <v>6.2</v>
      </c>
      <c r="T58" s="48"/>
      <c r="U58" s="37"/>
      <c r="V58" s="37"/>
      <c r="AL58" s="12"/>
    </row>
    <row r="59" spans="1:44" ht="18.5" x14ac:dyDescent="0.4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 t="s">
        <v>110</v>
      </c>
      <c r="R59" s="51">
        <f>AVERAGE(R51:R58)</f>
        <v>15.9</v>
      </c>
      <c r="S59" s="51">
        <f>AVERAGE(S51:S58)</f>
        <v>3.55</v>
      </c>
      <c r="T59" s="37">
        <f>ROUND(AVERAGE(T39:T46),-5)</f>
        <v>1300000</v>
      </c>
      <c r="U59" s="37"/>
      <c r="V59" s="37"/>
      <c r="AD59" s="8"/>
      <c r="AL59" s="12"/>
    </row>
    <row r="60" spans="1:44" ht="18.5" x14ac:dyDescent="0.4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AD60" s="9"/>
      <c r="AE60" s="9"/>
      <c r="AF60" s="9"/>
      <c r="AG60" s="9"/>
      <c r="AK60" s="10"/>
    </row>
    <row r="61" spans="1:44" ht="16" x14ac:dyDescent="0.4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AE61" s="6"/>
      <c r="AK61" s="9"/>
      <c r="AL61" s="9"/>
      <c r="AM61" s="9"/>
      <c r="AN61" s="9"/>
    </row>
    <row r="62" spans="1:44" x14ac:dyDescent="0.35">
      <c r="AD62" s="6"/>
      <c r="AE62" s="6"/>
      <c r="AL62" s="11"/>
      <c r="AO62" s="11"/>
      <c r="AR62" s="11"/>
    </row>
    <row r="63" spans="1:44" x14ac:dyDescent="0.35">
      <c r="AD63" s="6"/>
      <c r="AL63" s="12"/>
      <c r="AM63" s="6"/>
      <c r="AO63" s="12"/>
      <c r="AR63" s="12"/>
    </row>
    <row r="64" spans="1:44" x14ac:dyDescent="0.35">
      <c r="AL64" s="12"/>
      <c r="AO64" s="12"/>
      <c r="AR64" s="12"/>
    </row>
    <row r="67" spans="30:43" x14ac:dyDescent="0.35">
      <c r="AE67" s="11"/>
    </row>
    <row r="68" spans="30:43" x14ac:dyDescent="0.35">
      <c r="AD68" s="6"/>
      <c r="AE68" s="11"/>
      <c r="AF68" s="6"/>
      <c r="AK68" s="6"/>
      <c r="AL68" s="12"/>
      <c r="AM68" s="6"/>
      <c r="AQ68" s="6"/>
    </row>
    <row r="69" spans="30:43" x14ac:dyDescent="0.35">
      <c r="AD69" s="6"/>
      <c r="AE69" s="11"/>
      <c r="AF69" s="6"/>
    </row>
    <row r="70" spans="30:43" x14ac:dyDescent="0.35">
      <c r="AD70" s="6"/>
      <c r="AE70" s="11"/>
    </row>
    <row r="71" spans="30:43" x14ac:dyDescent="0.35">
      <c r="AD71" s="6"/>
      <c r="AE71" s="11"/>
      <c r="AL71" s="12"/>
      <c r="AM71" s="6"/>
    </row>
    <row r="72" spans="30:43" x14ac:dyDescent="0.35">
      <c r="AD72" s="6"/>
      <c r="AE72" s="11"/>
      <c r="AF72" s="6"/>
      <c r="AL72" s="12"/>
      <c r="AM72" s="6"/>
    </row>
    <row r="73" spans="30:43" x14ac:dyDescent="0.35">
      <c r="AD73" s="6"/>
      <c r="AE73" s="11"/>
      <c r="AL73" s="13"/>
    </row>
    <row r="74" spans="30:43" x14ac:dyDescent="0.35">
      <c r="AD74" s="6"/>
      <c r="AE74" s="3"/>
    </row>
    <row r="75" spans="30:43" x14ac:dyDescent="0.35">
      <c r="AD75" s="6"/>
      <c r="AE75" s="11"/>
    </row>
    <row r="76" spans="30:43" x14ac:dyDescent="0.35">
      <c r="AD76" s="6"/>
    </row>
    <row r="77" spans="30:43" x14ac:dyDescent="0.35">
      <c r="AD77" s="6"/>
      <c r="AE77" s="7"/>
    </row>
  </sheetData>
  <mergeCells count="2">
    <mergeCell ref="AE28:AE31"/>
    <mergeCell ref="AF28:AF31"/>
  </mergeCells>
  <phoneticPr fontId="12" type="noConversion"/>
  <pageMargins left="0.7" right="0.7" top="0.75" bottom="0.75" header="0.3" footer="0.3"/>
  <ignoredErrors>
    <ignoredError sqref="N37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6A68-6058-4288-970D-B77457AF9270}">
  <dimension ref="B2:M31"/>
  <sheetViews>
    <sheetView topLeftCell="A5" zoomScale="73" workbookViewId="0">
      <selection activeCell="C9" sqref="C9"/>
    </sheetView>
  </sheetViews>
  <sheetFormatPr defaultRowHeight="14.5" x14ac:dyDescent="0.35"/>
  <cols>
    <col min="2" max="2" width="33.1796875" customWidth="1"/>
    <col min="3" max="3" width="15.1796875" customWidth="1"/>
    <col min="4" max="6" width="16.26953125" bestFit="1" customWidth="1"/>
    <col min="7" max="7" width="17.81640625" bestFit="1" customWidth="1"/>
    <col min="8" max="8" width="16.1796875" bestFit="1" customWidth="1"/>
    <col min="9" max="9" width="17.7265625" customWidth="1"/>
    <col min="11" max="11" width="18" customWidth="1"/>
    <col min="12" max="12" width="18.26953125" customWidth="1"/>
  </cols>
  <sheetData>
    <row r="2" spans="2:13" ht="16.5" customHeight="1" x14ac:dyDescent="0.35">
      <c r="B2" t="s">
        <v>111</v>
      </c>
      <c r="C2" s="34">
        <f>Assumptions!C24*Assumptions!R59</f>
        <v>113.59747706422019</v>
      </c>
      <c r="D2" s="34">
        <f>Assumptions!D24*Assumptions!R59</f>
        <v>170.39621559633025</v>
      </c>
      <c r="E2" s="34">
        <f>Assumptions!R59*Assumptions!E24</f>
        <v>255.59432339449538</v>
      </c>
      <c r="F2" s="34">
        <f>Assumptions!F24*Assumptions!R59</f>
        <v>383.39148509174311</v>
      </c>
      <c r="G2" s="34">
        <f>Assumptions!R59*Assumptions!G24</f>
        <v>575.08722763761466</v>
      </c>
    </row>
    <row r="3" spans="2:13" x14ac:dyDescent="0.35">
      <c r="B3" t="s">
        <v>112</v>
      </c>
      <c r="C3" s="51">
        <f>Assumptions!C23*Assumptions!T59</f>
        <v>3712155.9633027529</v>
      </c>
      <c r="D3" s="51">
        <f>Assumptions!T59*Assumptions!D23</f>
        <v>5568233.9449541299</v>
      </c>
      <c r="E3" s="51">
        <f>Assumptions!E23*Assumptions!T59</f>
        <v>8352350.9174311934</v>
      </c>
      <c r="F3" s="51">
        <f>Assumptions!T59*Assumptions!F23</f>
        <v>12528526.376146792</v>
      </c>
      <c r="G3" s="51">
        <f>Assumptions!G23*Assumptions!T59</f>
        <v>18792789.564220186</v>
      </c>
    </row>
    <row r="4" spans="2:13" x14ac:dyDescent="0.35">
      <c r="B4" t="s">
        <v>113</v>
      </c>
      <c r="C4" s="51">
        <f>Assumptions!S59*Assumptions!C23</f>
        <v>10.13704128440367</v>
      </c>
      <c r="D4" s="51">
        <f>Assumptions!S59*Assumptions!D23</f>
        <v>15.205561926605508</v>
      </c>
      <c r="E4" s="51">
        <f>Assumptions!E23*Assumptions!S59</f>
        <v>22.808342889908257</v>
      </c>
      <c r="F4" s="51">
        <f>Assumptions!S59*Assumptions!F23</f>
        <v>34.212514334862391</v>
      </c>
      <c r="G4" s="51">
        <f>Assumptions!G23*Assumptions!S59</f>
        <v>51.318771502293586</v>
      </c>
    </row>
    <row r="6" spans="2:13" x14ac:dyDescent="0.35">
      <c r="B6" s="1" t="s">
        <v>114</v>
      </c>
      <c r="C6" s="1" t="s">
        <v>115</v>
      </c>
      <c r="D6" s="1">
        <v>2</v>
      </c>
      <c r="E6" s="1">
        <v>3</v>
      </c>
      <c r="F6" s="1">
        <v>4</v>
      </c>
      <c r="G6" s="1">
        <v>5</v>
      </c>
      <c r="I6" t="s">
        <v>116</v>
      </c>
    </row>
    <row r="8" spans="2:13" x14ac:dyDescent="0.35">
      <c r="B8" s="1" t="s">
        <v>117</v>
      </c>
    </row>
    <row r="9" spans="2:13" x14ac:dyDescent="0.35">
      <c r="B9" t="s">
        <v>118</v>
      </c>
      <c r="C9" s="11">
        <f>C2*Assumptions!$J$28</f>
        <v>68158486.238532111</v>
      </c>
      <c r="D9" s="11">
        <f>D2*Assumptions!$J$28</f>
        <v>102237729.35779814</v>
      </c>
      <c r="E9" s="11">
        <f>E2*Assumptions!$J$28</f>
        <v>153356594.03669724</v>
      </c>
      <c r="F9" s="11">
        <f>F2*Assumptions!$J$28</f>
        <v>230034891.05504587</v>
      </c>
      <c r="G9" s="11">
        <f>G2*Assumptions!$J$28</f>
        <v>345052336.58256882</v>
      </c>
    </row>
    <row r="10" spans="2:13" x14ac:dyDescent="0.35">
      <c r="B10" t="s">
        <v>109</v>
      </c>
      <c r="C10" s="11">
        <f>C3*Assumptions!$J$14</f>
        <v>13029667.431192664</v>
      </c>
      <c r="D10" s="11">
        <f>D3*Assumptions!$J$14</f>
        <v>19544501.146788996</v>
      </c>
      <c r="E10" s="11">
        <f>E3*Assumptions!$J$14</f>
        <v>29316751.720183492</v>
      </c>
      <c r="F10" s="11">
        <f>F3*Assumptions!$J$14</f>
        <v>43975127.580275238</v>
      </c>
      <c r="G10" s="11">
        <f>G3*Assumptions!$J$14</f>
        <v>65962691.370412856</v>
      </c>
    </row>
    <row r="11" spans="2:13" x14ac:dyDescent="0.35">
      <c r="B11" t="s">
        <v>119</v>
      </c>
      <c r="C11" s="11">
        <f>C2*Assumptions!$J$6</f>
        <v>1703962.1559633028</v>
      </c>
      <c r="D11" s="11">
        <f>D2*Assumptions!$J$6</f>
        <v>2555943.2339449539</v>
      </c>
      <c r="E11" s="11">
        <f>E2*Assumptions!$J$6</f>
        <v>3833914.8509174306</v>
      </c>
      <c r="F11" s="11">
        <f>F2*Assumptions!$J$6</f>
        <v>5750872.2763761468</v>
      </c>
      <c r="G11" s="11">
        <f>G2*Assumptions!$J$6</f>
        <v>8626308.4145642202</v>
      </c>
    </row>
    <row r="12" spans="2:13" x14ac:dyDescent="0.35">
      <c r="B12" t="s">
        <v>120</v>
      </c>
      <c r="C12" s="11">
        <f>C4*Assumptions!$N$18</f>
        <v>152055.61926605506</v>
      </c>
      <c r="D12" s="11">
        <f>D4*Assumptions!$N$18</f>
        <v>228083.42889908262</v>
      </c>
      <c r="E12" s="11">
        <f>E4*Assumptions!$N$18</f>
        <v>342125.14334862388</v>
      </c>
      <c r="F12" s="11">
        <f>F4*Assumptions!$N$18</f>
        <v>513187.71502293588</v>
      </c>
      <c r="G12" s="11">
        <f>G4*Assumptions!$N$18</f>
        <v>769781.57253440376</v>
      </c>
    </row>
    <row r="13" spans="2:13" x14ac:dyDescent="0.35">
      <c r="B13" t="s">
        <v>121</v>
      </c>
      <c r="C13" s="11">
        <f>C2*Assumptions!$J$32</f>
        <v>1363169.7247706421</v>
      </c>
      <c r="D13" s="11">
        <f>D2*Assumptions!$J$32</f>
        <v>2044754.5871559631</v>
      </c>
      <c r="E13" s="11">
        <f>E2*Assumptions!$J$32</f>
        <v>3067131.8807339445</v>
      </c>
      <c r="F13" s="11">
        <f>F2*Assumptions!$J$32</f>
        <v>4600697.8211009176</v>
      </c>
      <c r="G13" s="11">
        <f>G2*Assumptions!$J$32</f>
        <v>6901046.731651376</v>
      </c>
      <c r="I13" s="12"/>
      <c r="J13" s="12"/>
      <c r="K13" s="12"/>
      <c r="L13" s="12"/>
      <c r="M13" s="12"/>
    </row>
    <row r="15" spans="2:13" x14ac:dyDescent="0.35">
      <c r="B15" s="1" t="s">
        <v>122</v>
      </c>
      <c r="C15" s="12">
        <f>SUM(C9:C13)</f>
        <v>84407341.169724762</v>
      </c>
      <c r="D15" s="12">
        <f t="shared" ref="D15:G15" si="0">SUM(D9:D13)</f>
        <v>126611011.75458714</v>
      </c>
      <c r="E15" s="12">
        <f t="shared" si="0"/>
        <v>189916517.63188073</v>
      </c>
      <c r="F15" s="12">
        <f t="shared" si="0"/>
        <v>284874776.44782108</v>
      </c>
      <c r="G15" s="12">
        <f t="shared" si="0"/>
        <v>427312164.67173165</v>
      </c>
      <c r="I15" s="12"/>
      <c r="J15" s="12"/>
      <c r="K15" s="12"/>
      <c r="L15" s="12"/>
      <c r="M15" s="12"/>
    </row>
    <row r="17" spans="2:13" x14ac:dyDescent="0.35">
      <c r="B17" s="1" t="s">
        <v>123</v>
      </c>
    </row>
    <row r="18" spans="2:13" x14ac:dyDescent="0.35">
      <c r="B18" t="s">
        <v>124</v>
      </c>
      <c r="C18" s="11">
        <f>(C2*Assumptions!$N$37)+('Income Sheet'!C4*(Assumptions!$N$10+Assumptions!$N$18))</f>
        <v>28936006.307339452</v>
      </c>
      <c r="D18" s="11">
        <f>(D2*Assumptions!$N$37)+('Income Sheet'!D4*(Assumptions!$N$10+Assumptions!$N$18))</f>
        <v>43404009.461009175</v>
      </c>
      <c r="E18" s="11">
        <f>(E2*Assumptions!$N$37)+('Income Sheet'!E4*(Assumptions!$N$10+Assumptions!$N$18))</f>
        <v>65106014.191513754</v>
      </c>
      <c r="F18" s="11">
        <f>(F2*Assumptions!$N$37)+('Income Sheet'!F4*(Assumptions!$N$10+Assumptions!$N$18))</f>
        <v>97659021.28727065</v>
      </c>
      <c r="G18" s="11">
        <f>(G2*Assumptions!$N$37)+('Income Sheet'!G4*(Assumptions!$N$10+Assumptions!$N$18))</f>
        <v>146488531.93090597</v>
      </c>
      <c r="I18" s="12"/>
      <c r="J18" s="12"/>
      <c r="K18" s="12"/>
      <c r="L18" s="12"/>
      <c r="M18" s="12"/>
    </row>
    <row r="19" spans="2:13" x14ac:dyDescent="0.35">
      <c r="B19" t="s">
        <v>125</v>
      </c>
      <c r="C19" s="11">
        <f>(C2+C4)*Assumptions!$N$10*Assumptions!$N$22</f>
        <v>371203.55504587159</v>
      </c>
      <c r="D19" s="11">
        <f>(D2+D4)*Assumptions!$N$10*Assumptions!$N$22</f>
        <v>556805.33256880729</v>
      </c>
      <c r="E19" s="11">
        <f>(E2+E4)*Assumptions!$N$10*Assumptions!$N$22</f>
        <v>835207.99885321083</v>
      </c>
      <c r="F19" s="11">
        <f>(F2+F4)*Assumptions!$N$10*Assumptions!$N$22</f>
        <v>1252811.9982798165</v>
      </c>
      <c r="G19" s="11">
        <f>(G2+G4)*Assumptions!$N$10*Assumptions!$N$22</f>
        <v>1879217.9974197245</v>
      </c>
    </row>
    <row r="20" spans="2:13" x14ac:dyDescent="0.35">
      <c r="B20" t="s">
        <v>126</v>
      </c>
      <c r="C20" s="11">
        <f>(Assumptions!$N$4*SUM(Assumptions!C17:C19))+(Assumptions!$N$5*Assumptions!C16)</f>
        <v>4235554.1284403671</v>
      </c>
      <c r="D20" s="11">
        <f>(Assumptions!$N$4*SUM(Assumptions!D17:D19))+(Assumptions!$N$5*Assumptions!D16)</f>
        <v>6347331.1926605497</v>
      </c>
      <c r="E20" s="11">
        <f>(Assumptions!$N$4*SUM(Assumptions!E17:E19))+(Assumptions!$N$5*Assumptions!E16)</f>
        <v>9514996.7889908254</v>
      </c>
      <c r="F20" s="11">
        <f>(Assumptions!$N$4*SUM(Assumptions!F17:F19))+(Assumptions!$N$5*Assumptions!F16)</f>
        <v>14266495.18348624</v>
      </c>
      <c r="G20" s="11">
        <f>(Assumptions!$N$4*SUM(Assumptions!G17:G19))+(Assumptions!$N$5*Assumptions!G16)</f>
        <v>21393742.775229353</v>
      </c>
    </row>
    <row r="21" spans="2:13" x14ac:dyDescent="0.35">
      <c r="B21" t="s">
        <v>127</v>
      </c>
      <c r="C21" s="11">
        <f>Assumptions!C20</f>
        <v>1000000</v>
      </c>
      <c r="D21" s="11">
        <f>Assumptions!D20</f>
        <v>1500000</v>
      </c>
      <c r="E21" s="11">
        <f>Assumptions!E20</f>
        <v>2250000</v>
      </c>
      <c r="F21" s="11">
        <f>Assumptions!F20</f>
        <v>3375000</v>
      </c>
      <c r="G21" s="11">
        <f>Assumptions!G20</f>
        <v>5062500</v>
      </c>
    </row>
    <row r="22" spans="2:13" x14ac:dyDescent="0.35">
      <c r="C22" s="11"/>
      <c r="D22" s="11"/>
      <c r="E22" s="11"/>
      <c r="F22" s="11"/>
      <c r="G22" s="11"/>
    </row>
    <row r="23" spans="2:13" x14ac:dyDescent="0.35">
      <c r="C23" s="11"/>
      <c r="D23" s="11"/>
      <c r="E23" s="11"/>
      <c r="F23" s="11"/>
      <c r="G23" s="11"/>
    </row>
    <row r="24" spans="2:13" x14ac:dyDescent="0.35">
      <c r="C24" s="11"/>
      <c r="D24" s="11"/>
      <c r="E24" s="11"/>
      <c r="F24" s="11"/>
      <c r="G24" s="11"/>
    </row>
    <row r="25" spans="2:13" x14ac:dyDescent="0.35">
      <c r="B25" s="1" t="s">
        <v>128</v>
      </c>
      <c r="C25" s="11">
        <f>SUM(C18:C21)</f>
        <v>34542763.99082569</v>
      </c>
      <c r="D25" s="11">
        <f t="shared" ref="D25:G25" si="1">SUM(D18:D21)</f>
        <v>51808145.986238532</v>
      </c>
      <c r="E25" s="11">
        <f t="shared" si="1"/>
        <v>77706218.979357794</v>
      </c>
      <c r="F25" s="11">
        <f t="shared" si="1"/>
        <v>116553328.4690367</v>
      </c>
      <c r="G25" s="11">
        <f t="shared" si="1"/>
        <v>174823992.70355505</v>
      </c>
    </row>
    <row r="26" spans="2:13" x14ac:dyDescent="0.35">
      <c r="C26" s="11"/>
      <c r="D26" s="11"/>
      <c r="E26" s="11"/>
      <c r="F26" s="11"/>
      <c r="G26" s="11"/>
    </row>
    <row r="27" spans="2:13" x14ac:dyDescent="0.35">
      <c r="B27" s="1" t="s">
        <v>129</v>
      </c>
      <c r="C27" s="11">
        <f>C15-C25</f>
        <v>49864577.178899072</v>
      </c>
      <c r="D27" s="11">
        <f t="shared" ref="D27:G27" si="2">D15-D25</f>
        <v>74802865.768348604</v>
      </c>
      <c r="E27" s="11">
        <f t="shared" si="2"/>
        <v>112210298.65252294</v>
      </c>
      <c r="F27" s="11">
        <f t="shared" si="2"/>
        <v>168321447.97878438</v>
      </c>
      <c r="G27" s="11">
        <f t="shared" si="2"/>
        <v>252488171.9681766</v>
      </c>
      <c r="H27" s="12">
        <f>SUM(C27:G27)</f>
        <v>657687361.54673159</v>
      </c>
    </row>
    <row r="29" spans="2:13" x14ac:dyDescent="0.35">
      <c r="B29" s="1"/>
    </row>
    <row r="30" spans="2:13" x14ac:dyDescent="0.35">
      <c r="C30" s="12"/>
    </row>
    <row r="31" spans="2:13" x14ac:dyDescent="0.35">
      <c r="C31" s="11"/>
      <c r="D31" s="11"/>
      <c r="E31" s="11"/>
      <c r="F31" s="11"/>
      <c r="G3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7B5F-5DDA-4B04-99AE-FF9616D6BB62}">
  <dimension ref="A1:K30"/>
  <sheetViews>
    <sheetView zoomScale="80" workbookViewId="0">
      <selection activeCell="A28" sqref="A28:B30"/>
    </sheetView>
  </sheetViews>
  <sheetFormatPr defaultRowHeight="14.5" x14ac:dyDescent="0.35"/>
  <cols>
    <col min="1" max="1" width="34.1796875" customWidth="1"/>
    <col min="2" max="2" width="11.7265625" bestFit="1" customWidth="1"/>
    <col min="4" max="4" width="10.1796875" bestFit="1" customWidth="1"/>
    <col min="5" max="5" width="14.7265625" bestFit="1" customWidth="1"/>
    <col min="6" max="6" width="12.1796875" bestFit="1" customWidth="1"/>
    <col min="7" max="7" width="13.453125" bestFit="1" customWidth="1"/>
    <col min="8" max="8" width="10.1796875" bestFit="1" customWidth="1"/>
    <col min="9" max="9" width="11.26953125" bestFit="1" customWidth="1"/>
    <col min="10" max="10" width="13.54296875" bestFit="1" customWidth="1"/>
    <col min="11" max="11" width="14.7265625" bestFit="1" customWidth="1"/>
  </cols>
  <sheetData>
    <row r="1" spans="1:11" x14ac:dyDescent="0.35">
      <c r="A1" s="33"/>
    </row>
    <row r="2" spans="1:11" ht="34.5" customHeight="1" x14ac:dyDescent="0.35">
      <c r="A2" s="61" t="s">
        <v>130</v>
      </c>
      <c r="B2" s="1" t="s">
        <v>131</v>
      </c>
      <c r="C2" s="1" t="s">
        <v>132</v>
      </c>
      <c r="D2" s="6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73</v>
      </c>
    </row>
    <row r="3" spans="1:11" ht="29" x14ac:dyDescent="0.35">
      <c r="A3" s="6" t="s">
        <v>140</v>
      </c>
      <c r="B3" s="3">
        <v>0.2</v>
      </c>
      <c r="C3" s="7">
        <f t="shared" ref="C3:C9" si="0">9.9*B3</f>
        <v>1.9800000000000002</v>
      </c>
      <c r="D3">
        <v>6320</v>
      </c>
      <c r="E3" t="s">
        <v>141</v>
      </c>
      <c r="F3" s="32">
        <f>VLOOKUP(E3,Table1[#All], 2,FALSE)</f>
        <v>1</v>
      </c>
      <c r="G3" s="32">
        <f>VLOOKUP(E3,Table1[#All], 3,FALSE)</f>
        <v>0</v>
      </c>
      <c r="H3" s="7">
        <f t="shared" ref="H3:H10" si="1">C3*F3</f>
        <v>1.9800000000000002</v>
      </c>
      <c r="I3" s="7">
        <f t="shared" ref="I3:I10" si="2">G3*C3</f>
        <v>0</v>
      </c>
      <c r="J3" s="34">
        <f>D3*F3</f>
        <v>6320</v>
      </c>
      <c r="K3" s="34">
        <f>D3*G3</f>
        <v>0</v>
      </c>
    </row>
    <row r="4" spans="1:11" ht="29" x14ac:dyDescent="0.35">
      <c r="A4" s="6" t="s">
        <v>142</v>
      </c>
      <c r="B4" s="3">
        <v>0.05</v>
      </c>
      <c r="C4" s="7">
        <f t="shared" si="0"/>
        <v>0.49500000000000005</v>
      </c>
      <c r="D4">
        <v>6000</v>
      </c>
      <c r="E4" t="s">
        <v>143</v>
      </c>
      <c r="F4" s="32">
        <v>0.25</v>
      </c>
      <c r="G4" s="32">
        <v>0.75</v>
      </c>
      <c r="H4" s="7">
        <f t="shared" si="1"/>
        <v>0.12375000000000001</v>
      </c>
      <c r="I4" s="7">
        <f t="shared" si="2"/>
        <v>0.37125000000000002</v>
      </c>
      <c r="J4" s="34">
        <f t="shared" ref="J4:J10" si="3">D4*F4</f>
        <v>1500</v>
      </c>
      <c r="K4" s="34">
        <f t="shared" ref="K4:K10" si="4">D4*G4</f>
        <v>4500</v>
      </c>
    </row>
    <row r="5" spans="1:11" ht="58" x14ac:dyDescent="0.35">
      <c r="A5" s="6" t="s">
        <v>144</v>
      </c>
      <c r="B5" s="3">
        <v>0.05</v>
      </c>
      <c r="C5" s="7">
        <f t="shared" si="0"/>
        <v>0.49500000000000005</v>
      </c>
      <c r="D5">
        <v>5000</v>
      </c>
      <c r="E5" t="s">
        <v>145</v>
      </c>
      <c r="F5" s="32">
        <f>VLOOKUP(E5,Table1[#All], 2,FALSE)</f>
        <v>0</v>
      </c>
      <c r="G5" s="32">
        <f>VLOOKUP(E5,Table1[#All], 3,FALSE)</f>
        <v>1</v>
      </c>
      <c r="H5" s="7">
        <f t="shared" si="1"/>
        <v>0</v>
      </c>
      <c r="I5" s="7">
        <f t="shared" si="2"/>
        <v>0.49500000000000005</v>
      </c>
      <c r="J5" s="34">
        <f t="shared" si="3"/>
        <v>0</v>
      </c>
      <c r="K5" s="34">
        <f t="shared" si="4"/>
        <v>5000</v>
      </c>
    </row>
    <row r="6" spans="1:11" ht="87" x14ac:dyDescent="0.35">
      <c r="A6" s="60" t="s">
        <v>146</v>
      </c>
      <c r="B6" s="3">
        <v>0.35</v>
      </c>
      <c r="C6" s="7">
        <f t="shared" si="0"/>
        <v>3.4649999999999999</v>
      </c>
      <c r="D6">
        <v>3000</v>
      </c>
      <c r="E6" t="s">
        <v>141</v>
      </c>
      <c r="F6" s="32">
        <f>VLOOKUP(E6,Table1[#All], 2,FALSE)</f>
        <v>1</v>
      </c>
      <c r="G6" s="32">
        <f>VLOOKUP(E6,Table1[#All], 3,FALSE)</f>
        <v>0</v>
      </c>
      <c r="H6" s="7">
        <f t="shared" si="1"/>
        <v>3.4649999999999999</v>
      </c>
      <c r="I6" s="7">
        <f t="shared" si="2"/>
        <v>0</v>
      </c>
      <c r="J6" s="34">
        <f t="shared" si="3"/>
        <v>3000</v>
      </c>
      <c r="K6" s="34">
        <f t="shared" si="4"/>
        <v>0</v>
      </c>
    </row>
    <row r="7" spans="1:11" ht="29" x14ac:dyDescent="0.35">
      <c r="A7" s="6" t="s">
        <v>147</v>
      </c>
      <c r="B7" s="3">
        <v>0.1</v>
      </c>
      <c r="C7" s="7">
        <f t="shared" si="0"/>
        <v>0.9900000000000001</v>
      </c>
      <c r="D7">
        <v>50</v>
      </c>
      <c r="E7" t="s">
        <v>141</v>
      </c>
      <c r="F7" s="32">
        <f>VLOOKUP(E7,Table1[#All], 2,FALSE)</f>
        <v>1</v>
      </c>
      <c r="G7" s="32">
        <f>VLOOKUP(E7,Table1[#All], 3,FALSE)</f>
        <v>0</v>
      </c>
      <c r="H7" s="7">
        <f t="shared" si="1"/>
        <v>0.9900000000000001</v>
      </c>
      <c r="I7" s="7">
        <f t="shared" si="2"/>
        <v>0</v>
      </c>
      <c r="J7" s="34">
        <f t="shared" si="3"/>
        <v>50</v>
      </c>
      <c r="K7" s="34">
        <f t="shared" si="4"/>
        <v>0</v>
      </c>
    </row>
    <row r="8" spans="1:11" ht="29" x14ac:dyDescent="0.35">
      <c r="A8" s="6" t="s">
        <v>148</v>
      </c>
      <c r="B8" s="3">
        <v>0.05</v>
      </c>
      <c r="C8" s="7">
        <f t="shared" si="0"/>
        <v>0.49500000000000005</v>
      </c>
      <c r="D8">
        <v>11500</v>
      </c>
      <c r="E8" t="s">
        <v>145</v>
      </c>
      <c r="F8" s="32">
        <f>VLOOKUP(E8,Table1[#All], 2,FALSE)</f>
        <v>0</v>
      </c>
      <c r="G8" s="32">
        <f>VLOOKUP(E8,Table1[#All], 3,FALSE)</f>
        <v>1</v>
      </c>
      <c r="H8" s="7">
        <f t="shared" si="1"/>
        <v>0</v>
      </c>
      <c r="I8" s="7">
        <f t="shared" si="2"/>
        <v>0.49500000000000005</v>
      </c>
      <c r="J8" s="34">
        <f t="shared" si="3"/>
        <v>0</v>
      </c>
      <c r="K8" s="34">
        <f t="shared" si="4"/>
        <v>11500</v>
      </c>
    </row>
    <row r="9" spans="1:11" ht="29" x14ac:dyDescent="0.35">
      <c r="A9" s="6" t="s">
        <v>149</v>
      </c>
      <c r="B9" s="3">
        <v>0.1</v>
      </c>
      <c r="C9" s="7">
        <f t="shared" si="0"/>
        <v>0.9900000000000001</v>
      </c>
      <c r="D9">
        <v>79</v>
      </c>
      <c r="E9" t="s">
        <v>145</v>
      </c>
      <c r="F9" s="32">
        <f>VLOOKUP(E9,Table1[#All], 2,FALSE)</f>
        <v>0</v>
      </c>
      <c r="G9" s="32">
        <f>VLOOKUP(E9,Table1[#All], 3,FALSE)</f>
        <v>1</v>
      </c>
      <c r="H9" s="7">
        <f t="shared" si="1"/>
        <v>0</v>
      </c>
      <c r="I9" s="7">
        <f t="shared" si="2"/>
        <v>0.9900000000000001</v>
      </c>
      <c r="J9" s="34">
        <f t="shared" si="3"/>
        <v>0</v>
      </c>
      <c r="K9" s="34">
        <f t="shared" si="4"/>
        <v>79</v>
      </c>
    </row>
    <row r="10" spans="1:11" ht="29" x14ac:dyDescent="0.35">
      <c r="A10" s="6" t="s">
        <v>150</v>
      </c>
      <c r="B10" s="3">
        <v>0.1</v>
      </c>
      <c r="C10" s="7">
        <f>0.9</f>
        <v>0.9</v>
      </c>
      <c r="D10">
        <v>76</v>
      </c>
      <c r="E10" t="s">
        <v>143</v>
      </c>
      <c r="F10" s="32">
        <f>VLOOKUP(E10,Table1[#All], 2,FALSE)</f>
        <v>0.5</v>
      </c>
      <c r="G10" s="32">
        <f>VLOOKUP(E10,Table1[#All], 3,FALSE)</f>
        <v>0.5</v>
      </c>
      <c r="H10" s="7">
        <f t="shared" si="1"/>
        <v>0.45</v>
      </c>
      <c r="I10" s="7">
        <f t="shared" si="2"/>
        <v>0.45</v>
      </c>
      <c r="J10" s="34">
        <f t="shared" si="3"/>
        <v>38</v>
      </c>
      <c r="K10" s="34">
        <f t="shared" si="4"/>
        <v>38</v>
      </c>
    </row>
    <row r="11" spans="1:11" x14ac:dyDescent="0.35">
      <c r="A11" s="61" t="s">
        <v>151</v>
      </c>
      <c r="B11" s="3">
        <f>SUM(B3:B10)</f>
        <v>0.99999999999999989</v>
      </c>
      <c r="C11" s="7">
        <f>SUM(C3:C10)</f>
        <v>9.81</v>
      </c>
      <c r="D11" s="34">
        <f>SUM(D3:D10)</f>
        <v>32025</v>
      </c>
      <c r="H11" s="62">
        <f>SUM(H3:H9)</f>
        <v>6.5587499999999999</v>
      </c>
      <c r="I11" s="62">
        <f>SUM(I3:I9)</f>
        <v>2.3512500000000003</v>
      </c>
      <c r="J11" s="63">
        <f>SUM(J3:J9)</f>
        <v>10870</v>
      </c>
      <c r="K11" s="63">
        <f>SUM(K3:K9)</f>
        <v>21079</v>
      </c>
    </row>
    <row r="28" spans="1:2" x14ac:dyDescent="0.35">
      <c r="A28" t="s">
        <v>118</v>
      </c>
      <c r="B28" s="7">
        <v>6.44</v>
      </c>
    </row>
    <row r="29" spans="1:2" x14ac:dyDescent="0.35">
      <c r="A29" t="s">
        <v>109</v>
      </c>
      <c r="B29" s="7">
        <v>1.99</v>
      </c>
    </row>
    <row r="30" spans="1:2" x14ac:dyDescent="0.35">
      <c r="A30" t="s">
        <v>197</v>
      </c>
      <c r="B30" s="7">
        <v>1.4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A448F8-8734-4FF7-85AC-6018330C1A0B}">
          <x14:formula1>
            <xm:f>'Probability Matrix'!$B$12:$B$14</xm:f>
          </x14:formula1>
          <xm:sqref>E3:E10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3012-2A21-4E12-A2C6-68DDAB83F22A}">
  <dimension ref="B1:E46"/>
  <sheetViews>
    <sheetView topLeftCell="A29" workbookViewId="0">
      <selection activeCell="F31" sqref="F31"/>
    </sheetView>
  </sheetViews>
  <sheetFormatPr defaultRowHeight="14.5" x14ac:dyDescent="0.35"/>
  <cols>
    <col min="2" max="2" width="22.7265625" bestFit="1" customWidth="1"/>
    <col min="3" max="3" width="12.1796875" bestFit="1" customWidth="1"/>
    <col min="5" max="5" width="54.81640625" customWidth="1"/>
  </cols>
  <sheetData>
    <row r="1" spans="2:5" x14ac:dyDescent="0.35">
      <c r="B1" t="s">
        <v>152</v>
      </c>
      <c r="C1" t="s">
        <v>153</v>
      </c>
    </row>
    <row r="2" spans="2:5" ht="44.5" customHeight="1" x14ac:dyDescent="0.35">
      <c r="B2" s="6" t="s">
        <v>154</v>
      </c>
      <c r="C2" t="s">
        <v>155</v>
      </c>
      <c r="E2" s="6" t="s">
        <v>156</v>
      </c>
    </row>
    <row r="3" spans="2:5" ht="29" x14ac:dyDescent="0.35">
      <c r="B3" s="6" t="s">
        <v>157</v>
      </c>
      <c r="C3" t="s">
        <v>141</v>
      </c>
    </row>
    <row r="4" spans="2:5" ht="29" x14ac:dyDescent="0.35">
      <c r="B4" s="6" t="s">
        <v>158</v>
      </c>
      <c r="C4" t="s">
        <v>159</v>
      </c>
    </row>
    <row r="5" spans="2:5" x14ac:dyDescent="0.35">
      <c r="B5" t="s">
        <v>160</v>
      </c>
      <c r="C5" t="s">
        <v>145</v>
      </c>
    </row>
    <row r="6" spans="2:5" ht="29" x14ac:dyDescent="0.35">
      <c r="B6" s="6" t="s">
        <v>161</v>
      </c>
      <c r="C6" t="s">
        <v>143</v>
      </c>
    </row>
    <row r="7" spans="2:5" x14ac:dyDescent="0.35">
      <c r="B7" t="s">
        <v>162</v>
      </c>
      <c r="C7" t="s">
        <v>163</v>
      </c>
    </row>
    <row r="8" spans="2:5" x14ac:dyDescent="0.35">
      <c r="B8" t="s">
        <v>164</v>
      </c>
      <c r="C8" t="s">
        <v>145</v>
      </c>
    </row>
    <row r="9" spans="2:5" x14ac:dyDescent="0.35">
      <c r="B9" t="s">
        <v>165</v>
      </c>
      <c r="C9" t="s">
        <v>143</v>
      </c>
    </row>
    <row r="11" spans="2:5" x14ac:dyDescent="0.35">
      <c r="B11" t="s">
        <v>166</v>
      </c>
      <c r="C11" t="s">
        <v>167</v>
      </c>
      <c r="D11" t="s">
        <v>168</v>
      </c>
    </row>
    <row r="12" spans="2:5" x14ac:dyDescent="0.35">
      <c r="B12" t="s">
        <v>145</v>
      </c>
      <c r="C12" s="3">
        <v>0</v>
      </c>
      <c r="D12" s="3">
        <v>1</v>
      </c>
    </row>
    <row r="13" spans="2:5" x14ac:dyDescent="0.35">
      <c r="B13" t="s">
        <v>143</v>
      </c>
      <c r="C13" s="3">
        <v>0.5</v>
      </c>
      <c r="D13" s="3">
        <v>0.5</v>
      </c>
    </row>
    <row r="14" spans="2:5" x14ac:dyDescent="0.35">
      <c r="B14" t="s">
        <v>141</v>
      </c>
      <c r="C14" s="3">
        <v>1</v>
      </c>
      <c r="D14" s="3">
        <v>0</v>
      </c>
    </row>
    <row r="44" spans="2:3" x14ac:dyDescent="0.35">
      <c r="B44" t="s">
        <v>198</v>
      </c>
      <c r="C44" s="3">
        <v>0.7</v>
      </c>
    </row>
    <row r="45" spans="2:3" x14ac:dyDescent="0.35">
      <c r="B45" t="s">
        <v>199</v>
      </c>
      <c r="C45" s="3">
        <v>0.2</v>
      </c>
    </row>
    <row r="46" spans="2:3" x14ac:dyDescent="0.35">
      <c r="B46" t="s">
        <v>200</v>
      </c>
      <c r="C46" s="3">
        <v>0.1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8A02-CA85-43F6-AD8A-B23CD1E907A4}">
  <dimension ref="A1:A28"/>
  <sheetViews>
    <sheetView topLeftCell="A19" workbookViewId="0">
      <selection activeCell="A27" sqref="A27"/>
    </sheetView>
  </sheetViews>
  <sheetFormatPr defaultRowHeight="14.5" x14ac:dyDescent="0.35"/>
  <cols>
    <col min="1" max="1" width="87.54296875" customWidth="1"/>
  </cols>
  <sheetData>
    <row r="1" spans="1:1" x14ac:dyDescent="0.35">
      <c r="A1" s="33" t="s">
        <v>169</v>
      </c>
    </row>
    <row r="2" spans="1:1" x14ac:dyDescent="0.35">
      <c r="A2" s="33" t="s">
        <v>170</v>
      </c>
    </row>
    <row r="3" spans="1:1" x14ac:dyDescent="0.35">
      <c r="A3" s="33" t="s">
        <v>171</v>
      </c>
    </row>
    <row r="4" spans="1:1" x14ac:dyDescent="0.35">
      <c r="A4" s="33" t="s">
        <v>172</v>
      </c>
    </row>
    <row r="5" spans="1:1" x14ac:dyDescent="0.35">
      <c r="A5" s="33" t="s">
        <v>173</v>
      </c>
    </row>
    <row r="6" spans="1:1" x14ac:dyDescent="0.35">
      <c r="A6" s="35" t="s">
        <v>174</v>
      </c>
    </row>
    <row r="7" spans="1:1" x14ac:dyDescent="0.35">
      <c r="A7" s="35" t="s">
        <v>175</v>
      </c>
    </row>
    <row r="8" spans="1:1" x14ac:dyDescent="0.35">
      <c r="A8" s="33" t="s">
        <v>176</v>
      </c>
    </row>
    <row r="9" spans="1:1" x14ac:dyDescent="0.35">
      <c r="A9" s="35" t="s">
        <v>177</v>
      </c>
    </row>
    <row r="10" spans="1:1" x14ac:dyDescent="0.35">
      <c r="A10" s="35" t="s">
        <v>178</v>
      </c>
    </row>
    <row r="11" spans="1:1" x14ac:dyDescent="0.35">
      <c r="A11" s="35" t="s">
        <v>179</v>
      </c>
    </row>
    <row r="12" spans="1:1" x14ac:dyDescent="0.35">
      <c r="A12" s="35" t="s">
        <v>180</v>
      </c>
    </row>
    <row r="13" spans="1:1" x14ac:dyDescent="0.35">
      <c r="A13" s="35" t="s">
        <v>181</v>
      </c>
    </row>
    <row r="14" spans="1:1" x14ac:dyDescent="0.35">
      <c r="A14" s="33" t="s">
        <v>182</v>
      </c>
    </row>
    <row r="15" spans="1:1" x14ac:dyDescent="0.35">
      <c r="A15" s="35" t="s">
        <v>183</v>
      </c>
    </row>
    <row r="16" spans="1:1" x14ac:dyDescent="0.35">
      <c r="A16" s="35" t="s">
        <v>184</v>
      </c>
    </row>
    <row r="17" spans="1:1" x14ac:dyDescent="0.35">
      <c r="A17" s="35" t="s">
        <v>185</v>
      </c>
    </row>
    <row r="18" spans="1:1" ht="29" x14ac:dyDescent="0.35">
      <c r="A18" s="35" t="s">
        <v>186</v>
      </c>
    </row>
    <row r="19" spans="1:1" x14ac:dyDescent="0.35">
      <c r="A19" s="35" t="s">
        <v>187</v>
      </c>
    </row>
    <row r="20" spans="1:1" x14ac:dyDescent="0.35">
      <c r="A20" s="33" t="s">
        <v>188</v>
      </c>
    </row>
    <row r="21" spans="1:1" x14ac:dyDescent="0.35">
      <c r="A21" s="33" t="s">
        <v>189</v>
      </c>
    </row>
    <row r="22" spans="1:1" x14ac:dyDescent="0.35">
      <c r="A22" s="33" t="s">
        <v>190</v>
      </c>
    </row>
    <row r="23" spans="1:1" x14ac:dyDescent="0.35">
      <c r="A23" s="33" t="s">
        <v>191</v>
      </c>
    </row>
    <row r="24" spans="1:1" x14ac:dyDescent="0.35">
      <c r="A24" s="33" t="s">
        <v>192</v>
      </c>
    </row>
    <row r="25" spans="1:1" x14ac:dyDescent="0.35">
      <c r="A25" s="33" t="s">
        <v>193</v>
      </c>
    </row>
    <row r="26" spans="1:1" x14ac:dyDescent="0.35">
      <c r="A26" s="33" t="s">
        <v>194</v>
      </c>
    </row>
    <row r="27" spans="1:1" x14ac:dyDescent="0.35">
      <c r="A27" s="33" t="s">
        <v>195</v>
      </c>
    </row>
    <row r="28" spans="1:1" x14ac:dyDescent="0.35">
      <c r="A28" s="33" t="s">
        <v>196</v>
      </c>
    </row>
  </sheetData>
  <hyperlinks>
    <hyperlink ref="A1" r:id="rId1" display="https://www.grandviewresearch.com/industry-analysis/green-hydrogen-market" xr:uid="{5A115CA4-1B5B-49D0-8407-C74B53E96E03}"/>
    <hyperlink ref="A2" r:id="rId2" display="https://www.iea.org/reports/global-hydrogen-review-2024/hydrogen-demand?utm_source=chatgpt.com" xr:uid="{F6AEDC32-6C44-440F-B002-6504A7BFAFE7}"/>
    <hyperlink ref="A3" r:id="rId3" display="https://www.hydrogen.energy.gov/docs/hydrogenprogramlibraries/pdfs/19002-hydrogen-market-domestic-global.pdf?Status=Master&amp;utm_source=chatgpt.com" xr:uid="{EFA77807-BF05-47FB-9B3C-8FA3CA5600C6}"/>
    <hyperlink ref="A4" r:id="rId4" display="https://www.grandviewresearch.com/industry-analysis/hydrogen-generation-market" xr:uid="{D3CBA5F8-A19B-41BA-BE2B-8ED1D92545B2}"/>
    <hyperlink ref="A5" r:id="rId5" display="https://bisresearch.com/industry-report/hydrogen-storage-and-transportation-market.html?utm_source=chatgpt.com" xr:uid="{B1828C42-D3C2-4189-8079-BADC1590817B}"/>
    <hyperlink ref="A6" r:id="rId6" xr:uid="{EA758610-F9A9-46F5-B01A-99D6E648B254}"/>
    <hyperlink ref="A7" r:id="rId7" xr:uid="{FD437E99-4443-4BB8-B85E-58D5D2355188}"/>
    <hyperlink ref="A8" r:id="rId8" xr:uid="{F73E68D2-E41A-4EED-B5E1-DE99CEFE54E2}"/>
    <hyperlink ref="A9" r:id="rId9" xr:uid="{7E99E09A-507A-4B81-85F1-0954A4359A20}"/>
    <hyperlink ref="A10" r:id="rId10" xr:uid="{F4BC57DF-0CCA-420F-8D6D-01D4798EAE59}"/>
    <hyperlink ref="A11" r:id="rId11" xr:uid="{F6F224DA-0CD9-4FD0-BE44-F1C61FA8F16F}"/>
    <hyperlink ref="A12" r:id="rId12" xr:uid="{A9BC97FF-470B-4715-A356-BAB1FCFD08A9}"/>
    <hyperlink ref="A13" r:id="rId13" xr:uid="{A2EE759C-F340-4790-842C-602E19AD949D}"/>
    <hyperlink ref="A14" r:id="rId14" xr:uid="{06357336-E616-4220-A853-5E69DFDA6414}"/>
    <hyperlink ref="A15" r:id="rId15" xr:uid="{76403634-52B2-4D50-9966-9CA52AE8420C}"/>
    <hyperlink ref="A16" r:id="rId16" xr:uid="{6392E8C4-3C59-4744-852A-E917A42091D3}"/>
    <hyperlink ref="A17" r:id="rId17" xr:uid="{901549F1-D136-48FC-899C-01B75B19B1FB}"/>
    <hyperlink ref="A18" r:id="rId18" xr:uid="{A3794BB9-1F97-4725-993E-236C0014CD32}"/>
    <hyperlink ref="A19" r:id="rId19" xr:uid="{91F22B7F-CDDC-437A-AC8C-78523EC4EFDF}"/>
    <hyperlink ref="A20" r:id="rId20" xr:uid="{397585CB-EAD2-4463-9D28-478AA0AFAFB9}"/>
    <hyperlink ref="A21" r:id="rId21" xr:uid="{ABF532C3-3E21-4A5F-9C1A-C32AFB643708}"/>
    <hyperlink ref="A22" r:id="rId22" xr:uid="{CE64D0CE-9F31-4F83-AC1B-088AB7EC0BCD}"/>
    <hyperlink ref="A23" r:id="rId23" display="https://www.cleanegroup.org/initiatives/hydrogen/projects-in-the-us/" xr:uid="{73551152-120E-44C9-8A0C-9B1813F971BD}"/>
    <hyperlink ref="A24" r:id="rId24" display="https://h2fcp.org/" xr:uid="{A343D1AB-3D7F-46DE-AB4F-909F8033368E}"/>
    <hyperlink ref="A25" r:id="rId25" display="https://www.iea.org/reports/global-hydrogen-review-2024?utm_source=chatgpt.com" xr:uid="{05889849-6BCC-4EE0-AC94-39C95ABEFC2B}"/>
    <hyperlink ref="A26" r:id="rId26" display="https://www.iea.org/energy-system/low-emission-fuels/hydrogen" xr:uid="{DDCFC0F3-BFFC-43DB-91B0-403DE0E99719}"/>
    <hyperlink ref="A27" r:id="rId27" display="https://www.hydrogen.energy.gov/docs/hydrogenprogramlibraries/pdfs/24006-onboard-storage-cost-performance-status.pdf?Status=Master&amp;sfvrsn=a1e6209b_2&amp;utm_source=chatgpt.com" xr:uid="{0726E11C-870D-401D-B63F-5ABA0083DBBD}"/>
    <hyperlink ref="A28" r:id="rId28" xr:uid="{A205CE42-5CD3-4162-83E2-53CC312E186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9D1ED2B0DF4648B1E79CD8C7B62D60" ma:contentTypeVersion="10" ma:contentTypeDescription="Create a new document." ma:contentTypeScope="" ma:versionID="520d66873e8db63b5782593cd4343e3d">
  <xsd:schema xmlns:xsd="http://www.w3.org/2001/XMLSchema" xmlns:xs="http://www.w3.org/2001/XMLSchema" xmlns:p="http://schemas.microsoft.com/office/2006/metadata/properties" xmlns:ns2="af550977-a856-4b6e-b860-eb8ba078eb08" xmlns:ns3="b9bd063f-1472-48a8-83c1-c83f5f4f626d" targetNamespace="http://schemas.microsoft.com/office/2006/metadata/properties" ma:root="true" ma:fieldsID="6376a18a9e36c8ae66854feb37a2ce1b" ns2:_="" ns3:_="">
    <xsd:import namespace="af550977-a856-4b6e-b860-eb8ba078eb08"/>
    <xsd:import namespace="b9bd063f-1472-48a8-83c1-c83f5f4f62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550977-a856-4b6e-b860-eb8ba078eb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a1ab900-2ec0-4401-a445-b65711cd6e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d063f-1472-48a8-83c1-c83f5f4f62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2e04c7-679a-4ac0-9506-c99a07fdb8e6}" ma:internalName="TaxCatchAll" ma:showField="CatchAllData" ma:web="b9bd063f-1472-48a8-83c1-c83f5f4f62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bd063f-1472-48a8-83c1-c83f5f4f626d" xsi:nil="true"/>
    <lcf76f155ced4ddcb4097134ff3c332f xmlns="af550977-a856-4b6e-b860-eb8ba078eb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860DD7-27A6-4571-B3F0-41753D18BC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6F7A8C-764E-4E89-8640-F25DEA7179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550977-a856-4b6e-b860-eb8ba078eb08"/>
    <ds:schemaRef ds:uri="b9bd063f-1472-48a8-83c1-c83f5f4f62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90D28C-FA8E-4150-8C0B-8599D0EFDBD7}">
  <ds:schemaRefs>
    <ds:schemaRef ds:uri="http://purl.org/dc/terms/"/>
    <ds:schemaRef ds:uri="http://www.w3.org/XML/1998/namespace"/>
    <ds:schemaRef ds:uri="af550977-a856-4b6e-b860-eb8ba078eb08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9bd063f-1472-48a8-83c1-c83f5f4f626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Income Sheet</vt:lpstr>
      <vt:lpstr>Market Info</vt:lpstr>
      <vt:lpstr>Probability Matrix</vt:lpstr>
      <vt:lpstr>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Akiiki K</dc:creator>
  <cp:keywords/>
  <dc:description/>
  <cp:lastModifiedBy>Cousins, Kendall</cp:lastModifiedBy>
  <cp:revision/>
  <dcterms:created xsi:type="dcterms:W3CDTF">2025-11-04T03:26:34Z</dcterms:created>
  <dcterms:modified xsi:type="dcterms:W3CDTF">2025-12-08T19:29:38Z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0x010100E69D1ED2B0DF4648B1E79CD8C7B62D60</vt:lpwstr>
  </property>
  <property fmtid="{D5CDD505-2E9C-101B-9397-08002B2CF9AE}" pid="3" name="MediaServiceImageTags">
    <vt:lpwstr/>
  </property>
</Properties>
</file>