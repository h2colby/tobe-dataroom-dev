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olby/Cap Table/"/>
    </mc:Choice>
  </mc:AlternateContent>
  <xr:revisionPtr revIDLastSave="0" documentId="13_ncr:1_{8AD7392A-9D59-6B46-8C8A-3BFDB066E037}" xr6:coauthVersionLast="47" xr6:coauthVersionMax="47" xr10:uidLastSave="{00000000-0000-0000-0000-000000000000}"/>
  <bookViews>
    <workbookView xWindow="0" yWindow="500" windowWidth="27260" windowHeight="18880" tabRatio="500" xr2:uid="{00000000-000D-0000-FFFF-FFFF00000000}"/>
  </bookViews>
  <sheets>
    <sheet name="Summary" sheetId="1" r:id="rId1"/>
    <sheet name="SAFE Detail" sheetId="2" r:id="rId2"/>
    <sheet name="Techstars" sheetId="3" r:id="rId3"/>
    <sheet name="Pro Forma Cap Tabl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4" l="1"/>
  <c r="C18" i="4" s="1"/>
  <c r="C16" i="4"/>
  <c r="C15" i="4"/>
  <c r="C14" i="4"/>
  <c r="C13" i="4"/>
  <c r="C12" i="4"/>
  <c r="C11" i="4"/>
  <c r="C10" i="4"/>
  <c r="C9" i="4"/>
  <c r="C8" i="4"/>
  <c r="C7" i="4"/>
  <c r="C6" i="4"/>
  <c r="C5" i="4"/>
  <c r="B19" i="3"/>
  <c r="B14" i="2"/>
  <c r="G13" i="2"/>
  <c r="F13" i="2"/>
  <c r="G12" i="2"/>
  <c r="F12" i="2"/>
  <c r="G11" i="2"/>
  <c r="F11" i="2"/>
  <c r="F10" i="2"/>
  <c r="G10" i="2" s="1"/>
  <c r="F9" i="2"/>
  <c r="G9" i="2" s="1"/>
  <c r="G8" i="2"/>
  <c r="F8" i="2"/>
  <c r="G7" i="2"/>
  <c r="F7" i="2"/>
  <c r="F6" i="2"/>
  <c r="G6" i="2" s="1"/>
  <c r="G5" i="2"/>
  <c r="F5" i="2"/>
  <c r="G4" i="2"/>
  <c r="G14" i="2" s="1"/>
  <c r="F4" i="2"/>
  <c r="G26" i="1"/>
  <c r="C26" i="1"/>
  <c r="H25" i="1"/>
  <c r="H24" i="1"/>
  <c r="H23" i="1"/>
  <c r="H22" i="1"/>
  <c r="H21" i="1"/>
  <c r="H20" i="1"/>
  <c r="H19" i="1"/>
  <c r="H18" i="1"/>
  <c r="H17" i="1"/>
  <c r="H16" i="1"/>
  <c r="E10" i="1"/>
  <c r="F9" i="1"/>
  <c r="D8" i="1"/>
  <c r="F7" i="1"/>
  <c r="F10" i="1" s="1"/>
  <c r="D7" i="1"/>
  <c r="C17" i="4" l="1"/>
  <c r="C19" i="4" s="1"/>
</calcChain>
</file>

<file path=xl/sharedStrings.xml><?xml version="1.0" encoding="utf-8"?>
<sst xmlns="http://schemas.openxmlformats.org/spreadsheetml/2006/main" count="151" uniqueCount="112">
  <si>
    <t>TOBE ENERGY CORP.</t>
  </si>
  <si>
    <t>CAP TABLE SUMMARY</t>
  </si>
  <si>
    <t>As of March 9, 2026</t>
  </si>
  <si>
    <t>CURRENT EQUITY STRUCTURE</t>
  </si>
  <si>
    <t>Class</t>
  </si>
  <si>
    <t>Authorized</t>
  </si>
  <si>
    <t>Outstanding</t>
  </si>
  <si>
    <t>Current %</t>
  </si>
  <si>
    <t>Fully Diluted</t>
  </si>
  <si>
    <t>FD %</t>
  </si>
  <si>
    <t>Common Stock</t>
  </si>
  <si>
    <t>Option Pool (2025 EIP) - Reserved</t>
  </si>
  <si>
    <t>Option Pool (2025 EIP) - Available</t>
  </si>
  <si>
    <t>TOTAL FULLY DILUTED</t>
  </si>
  <si>
    <t>OUTSTANDING CONVERTIBLE SECURITIES</t>
  </si>
  <si>
    <t>Investor</t>
  </si>
  <si>
    <t>Type</t>
  </si>
  <si>
    <t>Amount</t>
  </si>
  <si>
    <t>Cap</t>
  </si>
  <si>
    <t>Discount</t>
  </si>
  <si>
    <t>Date</t>
  </si>
  <si>
    <t>Pro Forma Shares</t>
  </si>
  <si>
    <t>Pro Forma %</t>
  </si>
  <si>
    <t>Techstars Accelerator 2024, L.P.</t>
  </si>
  <si>
    <t>Fixed % Equity</t>
  </si>
  <si>
    <t>6.00% FD</t>
  </si>
  <si>
    <t>Conv. Note</t>
  </si>
  <si>
    <t>(at $3M cap)</t>
  </si>
  <si>
    <t>Techstars Ventures 2022, L.P.</t>
  </si>
  <si>
    <t>SAFE</t>
  </si>
  <si>
    <t>Wave Function Ventures Fund I, LP</t>
  </si>
  <si>
    <t>Cortado Ventures Fund II, LP</t>
  </si>
  <si>
    <t>Cortado Ventures Fund II SSBCI, LP</t>
  </si>
  <si>
    <t>Scissortail Ventures Flight Fund I, LP</t>
  </si>
  <si>
    <t>Hurricane Ventures, LP-C1</t>
  </si>
  <si>
    <t>Ryan Fathi</t>
  </si>
  <si>
    <t>David Velasquez</t>
  </si>
  <si>
    <t>Tianyi Cai</t>
  </si>
  <si>
    <t>Beck Kloss</t>
  </si>
  <si>
    <t>TOTAL CONVERTIBLES</t>
  </si>
  <si>
    <t>SAFE AGREEMENTS - DETAIL</t>
  </si>
  <si>
    <t>All SAFEs are Post-Money YC SAFE Format</t>
  </si>
  <si>
    <t>Post-Money Cap</t>
  </si>
  <si>
    <t>Date Signed</t>
  </si>
  <si>
    <t>Conversion Price</t>
  </si>
  <si>
    <t>Shares at Cap</t>
  </si>
  <si>
    <t>TOTAL SAFEs</t>
  </si>
  <si>
    <t>Conversion Price = Post-Money Cap / Company Capitalization (11,111,120 FD shares)</t>
  </si>
  <si>
    <t>Shares at Cap = Investment Amount / Conversion Price (rounded to nearest whole share)</t>
  </si>
  <si>
    <t>TECHSTARS CONVERTIBLE INSTRUMENTS</t>
  </si>
  <si>
    <t>1. FIXED PERCENTAGE CONVERTIBLE EQUITY</t>
  </si>
  <si>
    <t>Investor:</t>
  </si>
  <si>
    <t>Amount:</t>
  </si>
  <si>
    <t>Ownership:</t>
  </si>
  <si>
    <t>6% Fully Diluted</t>
  </si>
  <si>
    <t>Date:</t>
  </si>
  <si>
    <t>January 31, 2025</t>
  </si>
  <si>
    <t>Shares (at current 11.1M FD):</t>
  </si>
  <si>
    <t>2. CONVERTIBLE PROMISSORY NOTE</t>
  </si>
  <si>
    <t>Principal:</t>
  </si>
  <si>
    <t>Interest Rate:</t>
  </si>
  <si>
    <t>5% per annum (simple interest)</t>
  </si>
  <si>
    <t>Valuation Cap:</t>
  </si>
  <si>
    <t>Discount:</t>
  </si>
  <si>
    <t>20% (80% Discount Rate)</t>
  </si>
  <si>
    <t>March 14, 2025</t>
  </si>
  <si>
    <t>Maturity:</t>
  </si>
  <si>
    <t>March 14, 2027 (2 years)</t>
  </si>
  <si>
    <t>Interest Basis:</t>
  </si>
  <si>
    <t>Actual/365 day count</t>
  </si>
  <si>
    <t>Accrued Interest (as of 3/9/26):</t>
  </si>
  <si>
    <t>PRO FORMA CAP TABLE (Post-Conversion)</t>
  </si>
  <si>
    <t>Assumes conversion at $10M post-money for SAFEs, Techstars at their respective terms</t>
  </si>
  <si>
    <t>Shareholder</t>
  </si>
  <si>
    <t>Shares</t>
  </si>
  <si>
    <t>Ownership %</t>
  </si>
  <si>
    <t>Founders (Common)</t>
  </si>
  <si>
    <t>Common</t>
  </si>
  <si>
    <t>Option Pool (available)</t>
  </si>
  <si>
    <t>Options</t>
  </si>
  <si>
    <t>Techstars Accelerator (6% equity)</t>
  </si>
  <si>
    <t>Preferred</t>
  </si>
  <si>
    <t>Techstars Accelerator (conv note)</t>
  </si>
  <si>
    <t>Techstars Ventures (SAFE)</t>
  </si>
  <si>
    <t>Wave Function Ventures (SAFE)</t>
  </si>
  <si>
    <t>Cortado Ventures Fund II (SAFE)</t>
  </si>
  <si>
    <t>Cortado Ventures SSBCI (SAFE)</t>
  </si>
  <si>
    <t>Scissortail Ventures (SAFE)</t>
  </si>
  <si>
    <t>Hurricane Ventures (SAFE)</t>
  </si>
  <si>
    <t>Ryan Fathi (SAFE)</t>
  </si>
  <si>
    <t>David Velasquez (SAFE)</t>
  </si>
  <si>
    <t>Tianyi Cai (SAFE)</t>
  </si>
  <si>
    <t>Beck Kloss (SAFE)</t>
  </si>
  <si>
    <t>TOTAL</t>
  </si>
  <si>
    <t>NOTES</t>
  </si>
  <si>
    <t>1. POST-MONEY SAFE CONVERSION MECHANICS:</t>
  </si>
  <si>
    <t xml:space="preserve">   All SAFEs use the standard YC post-money SAFE format. The post-money valuation cap of $10,000,000</t>
  </si>
  <si>
    <t xml:space="preserve">   includes the value of all shares issued upon conversion of all SAFEs. The conversion price is calculated</t>
  </si>
  <si>
    <t xml:space="preserve">   as: Post-Money Cap / Company Capitalization, where Company Capitalization includes all outstanding</t>
  </si>
  <si>
    <t xml:space="preserve">   shares, option pool, and SAFE conversion shares. PPS = $10M / 11,111,120 = ~$0.9000.</t>
  </si>
  <si>
    <t>2. TECHSTARS 6% EQUITY:</t>
  </si>
  <si>
    <t xml:space="preserve">   Techstars Accelerator 2024, L.P. holds a Fixed Percentage Convertible Equity Agreement granting 6%</t>
  </si>
  <si>
    <t xml:space="preserve">   ownership on a Fully Diluted Basis. 'Fully Diluted Basis' includes: (i) all outstanding common stock,</t>
  </si>
  <si>
    <t xml:space="preserve">   (ii) all outstanding preferred stock on an as-converted basis, (iii) all outstanding options/warrants,</t>
  </si>
  <si>
    <t xml:space="preserve">   and (iv) the reserved option pool. It EXCLUDES other convertible instruments (SAFEs, notes) issued</t>
  </si>
  <si>
    <t xml:space="preserve">   for capital raising purposes. At the current 11,111,120 FD share count, this equals 666,667 shares.</t>
  </si>
  <si>
    <t>3. CONVERTIBLE PROMISSORY NOTE ($100K):</t>
  </si>
  <si>
    <t xml:space="preserve">   The $100,000 convertible note from Techstars accrues 5% simple interest per annum, calculated on</t>
  </si>
  <si>
    <t xml:space="preserve">   an Actual/365 day-count basis. The note matures March 14, 2027. Upon a Qualified Financing (min</t>
  </si>
  <si>
    <t xml:space="preserve">   $250,000), it converts at the lesser of: (a) 80% of the equity financing price (20% discount), or</t>
  </si>
  <si>
    <t xml:space="preserve">   (b) the Cap Conversion Price ($3,000,000 cap / FD shares). At the $3M cap with 11.1M FD shares,</t>
  </si>
  <si>
    <t xml:space="preserve">   the cap conversion price is ~$0.2700/share, yielding ~370,370 shares (principal only, before interest).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</si>
</sst>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yyyy\-mm\-dd"/>
    <numFmt numFmtId="167" formatCode="\$#,##0.0000"/>
    <numFmt numFmtId="168" formatCode="\$#,##0.00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3"/>
      <color rgb="FFD6E4F0"/>
      <name val="Arial"/>
      <family val="2"/>
    </font>
    <font>
      <i/>
      <sz val="10"/>
      <color rgb="FFB0B0B0"/>
      <name val="Arial"/>
      <family val="2"/>
    </font>
    <font>
      <sz val="11"/>
      <name val="Cambria"/>
      <family val="1"/>
    </font>
    <font>
      <b/>
      <sz val="12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1B1B1B"/>
      <name val="Arial"/>
      <family val="2"/>
    </font>
    <font>
      <b/>
      <sz val="10"/>
      <color rgb="FF1B2A4A"/>
      <name val="Arial"/>
      <family val="2"/>
    </font>
    <font>
      <i/>
      <sz val="9"/>
      <color rgb="FF666666"/>
      <name val="Arial"/>
      <family val="2"/>
    </font>
    <font>
      <b/>
      <sz val="10"/>
      <color rgb="FF1B1B1B"/>
      <name val="Arial"/>
      <family val="2"/>
    </font>
    <font>
      <i/>
      <sz val="9"/>
      <color rgb="FFB0B0B0"/>
      <name val="Arial"/>
      <family val="2"/>
    </font>
    <font>
      <sz val="9"/>
      <color rgb="FF44444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1B1B1B"/>
      </patternFill>
    </fill>
    <fill>
      <patternFill patternType="solid">
        <fgColor rgb="FFE0E0E0"/>
        <bgColor rgb="FFD9D9D9"/>
      </patternFill>
    </fill>
    <fill>
      <patternFill patternType="solid">
        <fgColor rgb="FF2E5090"/>
        <bgColor rgb="FF444444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E0E0E0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B2A4A"/>
      </top>
      <bottom style="medium">
        <color rgb="FF1B2A4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2" fillId="0" borderId="0" xfId="0" applyFont="1" applyAlignment="1">
      <alignment vertical="top" wrapText="1"/>
    </xf>
    <xf numFmtId="0" fontId="11" fillId="2" borderId="0" xfId="0" applyFont="1" applyFill="1" applyAlignment="1">
      <alignment horizontal="center" vertical="center"/>
    </xf>
    <xf numFmtId="0" fontId="9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3" fontId="7" fillId="6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left" vertical="center" wrapText="1"/>
    </xf>
    <xf numFmtId="3" fontId="8" fillId="7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right" vertical="center"/>
    </xf>
    <xf numFmtId="164" fontId="7" fillId="8" borderId="1" xfId="0" applyNumberFormat="1" applyFont="1" applyFill="1" applyBorder="1" applyAlignment="1">
      <alignment horizontal="right" vertical="center"/>
    </xf>
    <xf numFmtId="166" fontId="7" fillId="8" borderId="1" xfId="0" applyNumberFormat="1" applyFont="1" applyFill="1" applyBorder="1" applyAlignment="1">
      <alignment horizontal="right" vertical="center"/>
    </xf>
    <xf numFmtId="3" fontId="7" fillId="8" borderId="1" xfId="0" applyNumberFormat="1" applyFont="1" applyFill="1" applyBorder="1" applyAlignment="1">
      <alignment horizontal="right" vertical="center"/>
    </xf>
    <xf numFmtId="10" fontId="7" fillId="8" borderId="1" xfId="0" applyNumberFormat="1" applyFont="1" applyFill="1" applyBorder="1" applyAlignment="1">
      <alignment horizontal="right" vertical="center"/>
    </xf>
    <xf numFmtId="10" fontId="7" fillId="6" borderId="1" xfId="0" applyNumberFormat="1" applyFont="1" applyFill="1" applyBorder="1" applyAlignment="1">
      <alignment horizontal="right" vertical="center"/>
    </xf>
    <xf numFmtId="10" fontId="7" fillId="5" borderId="1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right" vertical="center"/>
    </xf>
    <xf numFmtId="165" fontId="8" fillId="7" borderId="2" xfId="0" applyNumberFormat="1" applyFont="1" applyFill="1" applyBorder="1" applyAlignment="1">
      <alignment horizontal="right" vertical="center"/>
    </xf>
    <xf numFmtId="167" fontId="7" fillId="8" borderId="1" xfId="0" applyNumberFormat="1" applyFont="1" applyFill="1" applyBorder="1" applyAlignment="1">
      <alignment horizontal="right" vertical="center"/>
    </xf>
    <xf numFmtId="167" fontId="7" fillId="6" borderId="1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10" fillId="5" borderId="1" xfId="0" applyFont="1" applyFill="1" applyBorder="1" applyAlignment="1">
      <alignment horizontal="left" vertical="center" wrapText="1"/>
    </xf>
    <xf numFmtId="165" fontId="7" fillId="5" borderId="1" xfId="0" applyNumberFormat="1" applyFont="1" applyFill="1" applyBorder="1" applyAlignment="1">
      <alignment horizontal="left" vertical="center" wrapText="1"/>
    </xf>
    <xf numFmtId="0" fontId="0" fillId="5" borderId="1" xfId="0" applyFill="1" applyBorder="1"/>
    <xf numFmtId="3" fontId="7" fillId="6" borderId="1" xfId="0" applyNumberFormat="1" applyFont="1" applyFill="1" applyBorder="1" applyAlignment="1">
      <alignment horizontal="left" vertical="center" wrapText="1"/>
    </xf>
    <xf numFmtId="168" fontId="7" fillId="6" borderId="1" xfId="0" applyNumberFormat="1" applyFont="1" applyFill="1" applyBorder="1" applyAlignment="1">
      <alignment horizontal="left" vertical="center" wrapText="1"/>
    </xf>
    <xf numFmtId="10" fontId="8" fillId="7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5B9BD5"/>
      <rgbColor rgb="FF993366"/>
      <rgbColor rgb="FFFFF2CC"/>
      <rgbColor rgb="FFD6E4F0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0E0E0"/>
      <rgbColor rgb="FFF9F9F9"/>
      <rgbColor rgb="FF8DB4E2"/>
      <rgbColor rgb="FFFF99CC"/>
      <rgbColor rgb="FFCC99FF"/>
      <rgbColor rgb="FFF4B084"/>
      <rgbColor rgb="FF4472C4"/>
      <rgbColor rgb="FF33CCCC"/>
      <rgbColor rgb="FF70AD47"/>
      <rgbColor rgb="FFFFC000"/>
      <rgbColor rgb="FFBF8F00"/>
      <rgbColor rgb="FFED7D31"/>
      <rgbColor rgb="FF666666"/>
      <rgbColor rgb="FFB0B0B0"/>
      <rgbColor rgb="FF444444"/>
      <rgbColor rgb="FF4F81BD"/>
      <rgbColor rgb="FF003300"/>
      <rgbColor rgb="FF1B1B1B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 Forma Ownership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'Pro Forma Cap Table'!$B$4</c:f>
              <c:strCache>
                <c:ptCount val="1"/>
                <c:pt idx="0">
                  <c:v>Shares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B2A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A05-584A-BF0C-989AF7D0B4F4}"/>
              </c:ext>
            </c:extLst>
          </c:dPt>
          <c:dPt>
            <c:idx val="1"/>
            <c:bubble3D val="0"/>
            <c:spPr>
              <a:solidFill>
                <a:srgbClr val="80808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A05-584A-BF0C-989AF7D0B4F4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A05-584A-BF0C-989AF7D0B4F4}"/>
              </c:ext>
            </c:extLst>
          </c:dPt>
          <c:dPt>
            <c:idx val="3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A05-584A-BF0C-989AF7D0B4F4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FA05-584A-BF0C-989AF7D0B4F4}"/>
              </c:ext>
            </c:extLst>
          </c:dPt>
          <c:dPt>
            <c:idx val="5"/>
            <c:bubble3D val="0"/>
            <c:spPr>
              <a:solidFill>
                <a:srgbClr val="5B9BD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FA05-584A-BF0C-989AF7D0B4F4}"/>
              </c:ext>
            </c:extLst>
          </c:dPt>
          <c:dPt>
            <c:idx val="6"/>
            <c:bubble3D val="0"/>
            <c:spPr>
              <a:solidFill>
                <a:srgbClr val="2E50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FA05-584A-BF0C-989AF7D0B4F4}"/>
              </c:ext>
            </c:extLst>
          </c:dPt>
          <c:dPt>
            <c:idx val="7"/>
            <c:bubble3D val="0"/>
            <c:spPr>
              <a:solidFill>
                <a:srgbClr val="8DB4E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FA05-584A-BF0C-989AF7D0B4F4}"/>
              </c:ext>
            </c:extLst>
          </c:dPt>
          <c:dPt>
            <c:idx val="8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FA05-584A-BF0C-989AF7D0B4F4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FA05-584A-BF0C-989AF7D0B4F4}"/>
              </c:ext>
            </c:extLst>
          </c:dPt>
          <c:dPt>
            <c:idx val="1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FA05-584A-BF0C-989AF7D0B4F4}"/>
              </c:ext>
            </c:extLst>
          </c:dPt>
          <c:dPt>
            <c:idx val="11"/>
            <c:bubble3D val="0"/>
            <c:spPr>
              <a:solidFill>
                <a:srgbClr val="F4B08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FA05-584A-BF0C-989AF7D0B4F4}"/>
              </c:ext>
            </c:extLst>
          </c:dPt>
          <c:dPt>
            <c:idx val="12"/>
            <c:bubble3D val="0"/>
            <c:spPr>
              <a:solidFill>
                <a:srgbClr val="FF6B6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FA05-584A-BF0C-989AF7D0B4F4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FA05-584A-BF0C-989AF7D0B4F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A05-584A-BF0C-989AF7D0B4F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A05-584A-BF0C-989AF7D0B4F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A05-584A-BF0C-989AF7D0B4F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A05-584A-BF0C-989AF7D0B4F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FA05-584A-BF0C-989AF7D0B4F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FA05-584A-BF0C-989AF7D0B4F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FA05-584A-BF0C-989AF7D0B4F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FA05-584A-BF0C-989AF7D0B4F4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FA05-584A-BF0C-989AF7D0B4F4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FA05-584A-BF0C-989AF7D0B4F4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FA05-584A-BF0C-989AF7D0B4F4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7-FA05-584A-BF0C-989AF7D0B4F4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9-FA05-584A-BF0C-989AF7D0B4F4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B-FA05-584A-BF0C-989AF7D0B4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 Forma Cap Table'!$A$5:$A$18</c:f>
              <c:strCache>
                <c:ptCount val="14"/>
                <c:pt idx="0">
                  <c:v>Founders (Common)</c:v>
                </c:pt>
                <c:pt idx="1">
                  <c:v>Option Pool (available)</c:v>
                </c:pt>
                <c:pt idx="2">
                  <c:v>Techstars Accelerator (6% equity)</c:v>
                </c:pt>
                <c:pt idx="3">
                  <c:v>Techstars Accelerator (conv note)</c:v>
                </c:pt>
                <c:pt idx="4">
                  <c:v>Techstars Ventures (SAFE)</c:v>
                </c:pt>
                <c:pt idx="5">
                  <c:v>Wave Function Ventures (SAFE)</c:v>
                </c:pt>
                <c:pt idx="6">
                  <c:v>Cortado Ventures Fund II (SAFE)</c:v>
                </c:pt>
                <c:pt idx="7">
                  <c:v>Cortado Ventures SSBCI (SAFE)</c:v>
                </c:pt>
                <c:pt idx="8">
                  <c:v>Scissortail Ventures (SAFE)</c:v>
                </c:pt>
                <c:pt idx="9">
                  <c:v>Hurricane Ventures (SAFE)</c:v>
                </c:pt>
                <c:pt idx="10">
                  <c:v>Ryan Fathi (SAFE)</c:v>
                </c:pt>
                <c:pt idx="11">
                  <c:v>David Velasquez (SAFE)</c:v>
                </c:pt>
                <c:pt idx="12">
                  <c:v>Tianyi Cai (SAFE)</c:v>
                </c:pt>
                <c:pt idx="13">
                  <c:v>Beck Kloss (SAFE)</c:v>
                </c:pt>
              </c:strCache>
            </c:strRef>
          </c:cat>
          <c:val>
            <c:numRef>
              <c:f>'Pro Forma Cap Table'!$B$5:$B$18</c:f>
              <c:numCache>
                <c:formatCode>#,##0</c:formatCode>
                <c:ptCount val="14"/>
                <c:pt idx="0">
                  <c:v>10000000</c:v>
                </c:pt>
                <c:pt idx="1">
                  <c:v>1111120</c:v>
                </c:pt>
                <c:pt idx="2">
                  <c:v>666667</c:v>
                </c:pt>
                <c:pt idx="3">
                  <c:v>370370</c:v>
                </c:pt>
                <c:pt idx="4">
                  <c:v>555556</c:v>
                </c:pt>
                <c:pt idx="5">
                  <c:v>388889</c:v>
                </c:pt>
                <c:pt idx="6">
                  <c:v>444444</c:v>
                </c:pt>
                <c:pt idx="7">
                  <c:v>222222</c:v>
                </c:pt>
                <c:pt idx="8">
                  <c:v>166667</c:v>
                </c:pt>
                <c:pt idx="9">
                  <c:v>166667</c:v>
                </c:pt>
                <c:pt idx="10">
                  <c:v>22222</c:v>
                </c:pt>
                <c:pt idx="11">
                  <c:v>16667</c:v>
                </c:pt>
                <c:pt idx="12">
                  <c:v>11111</c:v>
                </c:pt>
                <c:pt idx="13">
                  <c:v>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A05-584A-BF0C-989AF7D0B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5</xdr:col>
      <xdr:colOff>229320</xdr:colOff>
      <xdr:row>42</xdr:row>
      <xdr:rowOff>10440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A1:H26"/>
  <sheetViews>
    <sheetView tabSelected="1" zoomScaleNormal="100" workbookViewId="0">
      <pane ySplit="3" topLeftCell="A4" activePane="bottomLeft" state="frozen"/>
      <selection pane="bottomLeft" activeCell="K17" sqref="K17"/>
    </sheetView>
  </sheetViews>
  <sheetFormatPr baseColWidth="10" defaultColWidth="8.6640625" defaultRowHeight="15" customHeight="1" x14ac:dyDescent="0.2"/>
  <cols>
    <col min="1" max="1" width="38" customWidth="1"/>
    <col min="2" max="3" width="14" customWidth="1"/>
    <col min="4" max="4" width="12" customWidth="1"/>
    <col min="5" max="5" width="16" customWidth="1"/>
    <col min="6" max="6" width="10" customWidth="1"/>
    <col min="7" max="7" width="18" customWidth="1"/>
    <col min="8" max="8" width="16" customWidth="1"/>
  </cols>
  <sheetData>
    <row r="1" spans="1:8" ht="30" customHeight="1" x14ac:dyDescent="0.2">
      <c r="A1" s="7" t="s">
        <v>0</v>
      </c>
      <c r="B1" s="7"/>
      <c r="C1" s="7"/>
      <c r="D1" s="7"/>
      <c r="E1" s="7"/>
      <c r="F1" s="7"/>
      <c r="G1" s="7"/>
      <c r="H1" s="7"/>
    </row>
    <row r="2" spans="1:8" ht="18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18" customHeight="1" x14ac:dyDescent="0.2">
      <c r="A3" s="5" t="s">
        <v>2</v>
      </c>
      <c r="B3" s="5"/>
      <c r="C3" s="5"/>
      <c r="D3" s="5"/>
      <c r="E3" s="5"/>
      <c r="F3" s="5"/>
      <c r="G3" s="5"/>
      <c r="H3" s="5"/>
    </row>
    <row r="4" spans="1:8" ht="18" customHeight="1" x14ac:dyDescent="0.2">
      <c r="A4" s="8"/>
      <c r="B4" s="8"/>
      <c r="C4" s="8"/>
      <c r="D4" s="8"/>
      <c r="E4" s="8"/>
      <c r="F4" s="8"/>
      <c r="G4" s="8"/>
      <c r="H4" s="8"/>
    </row>
    <row r="5" spans="1:8" ht="18" customHeight="1" x14ac:dyDescent="0.2">
      <c r="A5" s="4" t="s">
        <v>3</v>
      </c>
      <c r="B5" s="4"/>
      <c r="C5" s="4"/>
      <c r="D5" s="4"/>
      <c r="E5" s="4"/>
      <c r="F5" s="4"/>
      <c r="G5" s="8"/>
      <c r="H5" s="8"/>
    </row>
    <row r="6" spans="1:8" ht="18" customHeight="1" x14ac:dyDescent="0.2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8"/>
      <c r="H6" s="8"/>
    </row>
    <row r="7" spans="1:8" ht="18" customHeight="1" x14ac:dyDescent="0.2">
      <c r="A7" s="10" t="s">
        <v>10</v>
      </c>
      <c r="B7" s="11">
        <v>15000000</v>
      </c>
      <c r="C7" s="11">
        <v>10000000</v>
      </c>
      <c r="D7" s="12">
        <f>C7/C7</f>
        <v>1</v>
      </c>
      <c r="E7" s="11">
        <v>10000000</v>
      </c>
      <c r="F7" s="12">
        <f>E7/(E7+E9)</f>
        <v>0.89999928000057605</v>
      </c>
      <c r="G7" s="8"/>
      <c r="H7" s="8"/>
    </row>
    <row r="8" spans="1:8" ht="18" customHeight="1" x14ac:dyDescent="0.2">
      <c r="A8" s="13" t="s">
        <v>11</v>
      </c>
      <c r="B8" s="14">
        <v>1111120</v>
      </c>
      <c r="C8" s="14">
        <v>0</v>
      </c>
      <c r="D8" s="15">
        <f>C8/C7</f>
        <v>0</v>
      </c>
      <c r="E8" s="14">
        <v>0</v>
      </c>
      <c r="F8" s="15"/>
      <c r="G8" s="8"/>
      <c r="H8" s="8"/>
    </row>
    <row r="9" spans="1:8" ht="18" customHeight="1" x14ac:dyDescent="0.2">
      <c r="A9" s="10" t="s">
        <v>12</v>
      </c>
      <c r="B9" s="11"/>
      <c r="C9" s="11"/>
      <c r="D9" s="12"/>
      <c r="E9" s="11">
        <v>1111120</v>
      </c>
      <c r="F9" s="12">
        <f>E9/(E7+E9)</f>
        <v>0.100000719999424</v>
      </c>
      <c r="G9" s="8"/>
      <c r="H9" s="8"/>
    </row>
    <row r="10" spans="1:8" ht="18" customHeight="1" x14ac:dyDescent="0.2">
      <c r="A10" s="16" t="s">
        <v>13</v>
      </c>
      <c r="B10" s="17"/>
      <c r="C10" s="17"/>
      <c r="D10" s="18"/>
      <c r="E10" s="17">
        <f>E7+E9</f>
        <v>11111120</v>
      </c>
      <c r="F10" s="18">
        <f>F7+F9</f>
        <v>1</v>
      </c>
      <c r="G10" s="8"/>
      <c r="H10" s="8"/>
    </row>
    <row r="11" spans="1:8" ht="18" customHeight="1" x14ac:dyDescent="0.2">
      <c r="A11" s="8"/>
      <c r="B11" s="8"/>
      <c r="C11" s="8"/>
      <c r="D11" s="8"/>
      <c r="E11" s="8"/>
      <c r="F11" s="8"/>
      <c r="G11" s="8"/>
      <c r="H11" s="8"/>
    </row>
    <row r="12" spans="1:8" ht="18" customHeight="1" x14ac:dyDescent="0.2">
      <c r="A12" s="4" t="s">
        <v>14</v>
      </c>
      <c r="B12" s="4"/>
      <c r="C12" s="4"/>
      <c r="D12" s="4"/>
      <c r="E12" s="4"/>
      <c r="F12" s="4"/>
      <c r="G12" s="4"/>
      <c r="H12" s="4"/>
    </row>
    <row r="13" spans="1:8" ht="18" customHeight="1" x14ac:dyDescent="0.2">
      <c r="A13" s="9" t="s">
        <v>15</v>
      </c>
      <c r="B13" s="9" t="s">
        <v>16</v>
      </c>
      <c r="C13" s="9" t="s">
        <v>17</v>
      </c>
      <c r="D13" s="9" t="s">
        <v>18</v>
      </c>
      <c r="E13" s="9" t="s">
        <v>19</v>
      </c>
      <c r="F13" s="9" t="s">
        <v>20</v>
      </c>
      <c r="G13" s="9" t="s">
        <v>21</v>
      </c>
      <c r="H13" s="9" t="s">
        <v>22</v>
      </c>
    </row>
    <row r="14" spans="1:8" ht="18" customHeight="1" x14ac:dyDescent="0.2">
      <c r="A14" s="10" t="s">
        <v>23</v>
      </c>
      <c r="B14" s="19" t="s">
        <v>24</v>
      </c>
      <c r="C14" s="20">
        <v>20000</v>
      </c>
      <c r="D14" s="20"/>
      <c r="E14" s="12"/>
      <c r="F14" s="21">
        <v>45688</v>
      </c>
      <c r="G14" s="11">
        <v>666667</v>
      </c>
      <c r="H14" s="22" t="s">
        <v>25</v>
      </c>
    </row>
    <row r="15" spans="1:8" ht="18" customHeight="1" x14ac:dyDescent="0.2">
      <c r="A15" s="13" t="s">
        <v>23</v>
      </c>
      <c r="B15" s="23" t="s">
        <v>26</v>
      </c>
      <c r="C15" s="24">
        <v>100000</v>
      </c>
      <c r="D15" s="24">
        <v>3000000</v>
      </c>
      <c r="E15" s="15">
        <v>0.2</v>
      </c>
      <c r="F15" s="25">
        <v>45730</v>
      </c>
      <c r="G15" s="14">
        <v>370370</v>
      </c>
      <c r="H15" s="26" t="s">
        <v>27</v>
      </c>
    </row>
    <row r="16" spans="1:8" ht="18" customHeight="1" x14ac:dyDescent="0.2">
      <c r="A16" s="27" t="s">
        <v>28</v>
      </c>
      <c r="B16" s="28" t="s">
        <v>29</v>
      </c>
      <c r="C16" s="29">
        <v>500000</v>
      </c>
      <c r="D16" s="29">
        <v>10000000</v>
      </c>
      <c r="E16" s="30">
        <v>0.2</v>
      </c>
      <c r="F16" s="31">
        <v>45856</v>
      </c>
      <c r="G16" s="32">
        <v>555556</v>
      </c>
      <c r="H16" s="33">
        <f>G16/('Pro Forma Cap Table'!B19)</f>
        <v>3.9267019777415549E-2</v>
      </c>
    </row>
    <row r="17" spans="1:8" ht="18" customHeight="1" x14ac:dyDescent="0.2">
      <c r="A17" s="27" t="s">
        <v>30</v>
      </c>
      <c r="B17" s="28" t="s">
        <v>29</v>
      </c>
      <c r="C17" s="29">
        <v>350000</v>
      </c>
      <c r="D17" s="29">
        <v>10000000</v>
      </c>
      <c r="E17" s="30">
        <v>0.2</v>
      </c>
      <c r="F17" s="31">
        <v>45856</v>
      </c>
      <c r="G17" s="32">
        <v>388889</v>
      </c>
      <c r="H17" s="33">
        <f>G17/('Pro Forma Cap Table'!B19)</f>
        <v>2.7486899708075073E-2</v>
      </c>
    </row>
    <row r="18" spans="1:8" ht="18" customHeight="1" x14ac:dyDescent="0.2">
      <c r="A18" s="27" t="s">
        <v>31</v>
      </c>
      <c r="B18" s="28" t="s">
        <v>29</v>
      </c>
      <c r="C18" s="29">
        <v>400000</v>
      </c>
      <c r="D18" s="29">
        <v>10000000</v>
      </c>
      <c r="E18" s="30">
        <v>0.2</v>
      </c>
      <c r="F18" s="31">
        <v>45854</v>
      </c>
      <c r="G18" s="32">
        <v>444444</v>
      </c>
      <c r="H18" s="33">
        <f>G18/('Pro Forma Cap Table'!B19)</f>
        <v>3.1413559277469194E-2</v>
      </c>
    </row>
    <row r="19" spans="1:8" ht="18" customHeight="1" x14ac:dyDescent="0.2">
      <c r="A19" s="13" t="s">
        <v>32</v>
      </c>
      <c r="B19" s="23" t="s">
        <v>29</v>
      </c>
      <c r="C19" s="24">
        <v>200000</v>
      </c>
      <c r="D19" s="24">
        <v>10000000</v>
      </c>
      <c r="E19" s="15">
        <v>0.2</v>
      </c>
      <c r="F19" s="25">
        <v>45854</v>
      </c>
      <c r="G19" s="14">
        <v>222222</v>
      </c>
      <c r="H19" s="34">
        <f>G19/('Pro Forma Cap Table'!B19)</f>
        <v>1.5706779638734597E-2</v>
      </c>
    </row>
    <row r="20" spans="1:8" ht="18" customHeight="1" x14ac:dyDescent="0.2">
      <c r="A20" s="10" t="s">
        <v>33</v>
      </c>
      <c r="B20" s="19" t="s">
        <v>29</v>
      </c>
      <c r="C20" s="20">
        <v>150000</v>
      </c>
      <c r="D20" s="20">
        <v>10000000</v>
      </c>
      <c r="E20" s="12">
        <v>0.2</v>
      </c>
      <c r="F20" s="21">
        <v>45862</v>
      </c>
      <c r="G20" s="11">
        <v>166667</v>
      </c>
      <c r="H20" s="35">
        <f>G20/('Pro Forma Cap Table'!B19)</f>
        <v>1.1780120069340476E-2</v>
      </c>
    </row>
    <row r="21" spans="1:8" ht="18" customHeight="1" x14ac:dyDescent="0.2">
      <c r="A21" s="13" t="s">
        <v>34</v>
      </c>
      <c r="B21" s="23" t="s">
        <v>29</v>
      </c>
      <c r="C21" s="24">
        <v>150000</v>
      </c>
      <c r="D21" s="24">
        <v>10000000</v>
      </c>
      <c r="E21" s="15">
        <v>0.2</v>
      </c>
      <c r="F21" s="25">
        <v>45862</v>
      </c>
      <c r="G21" s="14">
        <v>166667</v>
      </c>
      <c r="H21" s="34">
        <f>G21/('Pro Forma Cap Table'!B19)</f>
        <v>1.1780120069340476E-2</v>
      </c>
    </row>
    <row r="22" spans="1:8" ht="18" customHeight="1" x14ac:dyDescent="0.2">
      <c r="A22" s="10" t="s">
        <v>35</v>
      </c>
      <c r="B22" s="19" t="s">
        <v>29</v>
      </c>
      <c r="C22" s="20">
        <v>20000</v>
      </c>
      <c r="D22" s="20">
        <v>10000000</v>
      </c>
      <c r="E22" s="12">
        <v>0.2</v>
      </c>
      <c r="F22" s="21">
        <v>45849</v>
      </c>
      <c r="G22" s="11">
        <v>22222</v>
      </c>
      <c r="H22" s="35">
        <f>G22/('Pro Forma Cap Table'!B19)</f>
        <v>1.5706638277576488E-3</v>
      </c>
    </row>
    <row r="23" spans="1:8" ht="18" customHeight="1" x14ac:dyDescent="0.2">
      <c r="A23" s="13" t="s">
        <v>36</v>
      </c>
      <c r="B23" s="23" t="s">
        <v>29</v>
      </c>
      <c r="C23" s="24">
        <v>15000</v>
      </c>
      <c r="D23" s="24">
        <v>10000000</v>
      </c>
      <c r="E23" s="15">
        <v>0.2</v>
      </c>
      <c r="F23" s="25">
        <v>45884</v>
      </c>
      <c r="G23" s="14">
        <v>16667</v>
      </c>
      <c r="H23" s="34">
        <f>G23/('Pro Forma Cap Table'!B19)</f>
        <v>1.1780332111077641E-3</v>
      </c>
    </row>
    <row r="24" spans="1:8" ht="18" customHeight="1" x14ac:dyDescent="0.2">
      <c r="A24" s="10" t="s">
        <v>37</v>
      </c>
      <c r="B24" s="19" t="s">
        <v>29</v>
      </c>
      <c r="C24" s="20">
        <v>10000</v>
      </c>
      <c r="D24" s="20">
        <v>10000000</v>
      </c>
      <c r="E24" s="12">
        <v>0.2</v>
      </c>
      <c r="F24" s="21">
        <v>45849</v>
      </c>
      <c r="G24" s="11">
        <v>11111</v>
      </c>
      <c r="H24" s="35">
        <f>G24/('Pro Forma Cap Table'!B19)</f>
        <v>7.853319138788244E-4</v>
      </c>
    </row>
    <row r="25" spans="1:8" ht="18" customHeight="1" x14ac:dyDescent="0.2">
      <c r="A25" s="13" t="s">
        <v>38</v>
      </c>
      <c r="B25" s="23" t="s">
        <v>29</v>
      </c>
      <c r="C25" s="24">
        <v>5000</v>
      </c>
      <c r="D25" s="24">
        <v>10000000</v>
      </c>
      <c r="E25" s="15">
        <v>0.2</v>
      </c>
      <c r="F25" s="25">
        <v>45854</v>
      </c>
      <c r="G25" s="14">
        <v>5556</v>
      </c>
      <c r="H25" s="34">
        <f>G25/('Pro Forma Cap Table'!B19)</f>
        <v>3.9270129722893961E-4</v>
      </c>
    </row>
    <row r="26" spans="1:8" ht="18" customHeight="1" x14ac:dyDescent="0.2">
      <c r="A26" s="16" t="s">
        <v>39</v>
      </c>
      <c r="B26" s="36"/>
      <c r="C26" s="37">
        <f>SUM(C14:C25)</f>
        <v>1920000</v>
      </c>
      <c r="D26" s="36"/>
      <c r="E26" s="36"/>
      <c r="F26" s="36"/>
      <c r="G26" s="17">
        <f>SUM(G14:G25)</f>
        <v>3037038</v>
      </c>
      <c r="H26" s="36"/>
    </row>
  </sheetData>
  <mergeCells count="5">
    <mergeCell ref="A1:H1"/>
    <mergeCell ref="A2:H2"/>
    <mergeCell ref="A3:H3"/>
    <mergeCell ref="A5:F5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G17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8" customWidth="1"/>
    <col min="2" max="2" width="14" customWidth="1"/>
    <col min="3" max="3" width="16" customWidth="1"/>
    <col min="4" max="4" width="12" customWidth="1"/>
    <col min="5" max="5" width="14" customWidth="1"/>
    <col min="6" max="6" width="18" customWidth="1"/>
    <col min="7" max="7" width="16" customWidth="1"/>
  </cols>
  <sheetData>
    <row r="1" spans="1:7" ht="30" customHeight="1" x14ac:dyDescent="0.2">
      <c r="A1" s="7" t="s">
        <v>40</v>
      </c>
      <c r="B1" s="7"/>
      <c r="C1" s="7"/>
      <c r="D1" s="7"/>
      <c r="E1" s="7"/>
      <c r="F1" s="7"/>
      <c r="G1" s="7"/>
    </row>
    <row r="2" spans="1:7" ht="18" customHeight="1" x14ac:dyDescent="0.2">
      <c r="A2" s="5" t="s">
        <v>41</v>
      </c>
      <c r="B2" s="5"/>
      <c r="C2" s="5"/>
      <c r="D2" s="5"/>
      <c r="E2" s="5"/>
      <c r="F2" s="5"/>
      <c r="G2" s="5"/>
    </row>
    <row r="3" spans="1:7" ht="18" customHeight="1" x14ac:dyDescent="0.2">
      <c r="A3" s="9" t="s">
        <v>15</v>
      </c>
      <c r="B3" s="9" t="s">
        <v>17</v>
      </c>
      <c r="C3" s="9" t="s">
        <v>42</v>
      </c>
      <c r="D3" s="9" t="s">
        <v>19</v>
      </c>
      <c r="E3" s="9" t="s">
        <v>43</v>
      </c>
      <c r="F3" s="9" t="s">
        <v>44</v>
      </c>
      <c r="G3" s="9" t="s">
        <v>45</v>
      </c>
    </row>
    <row r="4" spans="1:7" ht="18" customHeight="1" x14ac:dyDescent="0.2">
      <c r="A4" s="27" t="s">
        <v>28</v>
      </c>
      <c r="B4" s="29">
        <v>500000</v>
      </c>
      <c r="C4" s="29">
        <v>10000000</v>
      </c>
      <c r="D4" s="30">
        <v>0.2</v>
      </c>
      <c r="E4" s="31">
        <v>45856</v>
      </c>
      <c r="F4" s="38">
        <f t="shared" ref="F4:F13" si="0">C4/11111120</f>
        <v>0.89999928000057605</v>
      </c>
      <c r="G4" s="32">
        <f t="shared" ref="G4:G13" si="1">ROUND(B4/F4,0)</f>
        <v>555556</v>
      </c>
    </row>
    <row r="5" spans="1:7" ht="18" customHeight="1" x14ac:dyDescent="0.2">
      <c r="A5" s="27" t="s">
        <v>30</v>
      </c>
      <c r="B5" s="29">
        <v>350000</v>
      </c>
      <c r="C5" s="29">
        <v>10000000</v>
      </c>
      <c r="D5" s="30">
        <v>0.2</v>
      </c>
      <c r="E5" s="31">
        <v>45856</v>
      </c>
      <c r="F5" s="38">
        <f t="shared" si="0"/>
        <v>0.89999928000057605</v>
      </c>
      <c r="G5" s="32">
        <f t="shared" si="1"/>
        <v>388889</v>
      </c>
    </row>
    <row r="6" spans="1:7" ht="18" customHeight="1" x14ac:dyDescent="0.2">
      <c r="A6" s="27" t="s">
        <v>31</v>
      </c>
      <c r="B6" s="29">
        <v>400000</v>
      </c>
      <c r="C6" s="29">
        <v>10000000</v>
      </c>
      <c r="D6" s="30">
        <v>0.2</v>
      </c>
      <c r="E6" s="31">
        <v>45854</v>
      </c>
      <c r="F6" s="38">
        <f t="shared" si="0"/>
        <v>0.89999928000057605</v>
      </c>
      <c r="G6" s="32">
        <f t="shared" si="1"/>
        <v>444445</v>
      </c>
    </row>
    <row r="7" spans="1:7" ht="18" customHeight="1" x14ac:dyDescent="0.2">
      <c r="A7" s="13" t="s">
        <v>32</v>
      </c>
      <c r="B7" s="24">
        <v>200000</v>
      </c>
      <c r="C7" s="24">
        <v>10000000</v>
      </c>
      <c r="D7" s="15">
        <v>0.2</v>
      </c>
      <c r="E7" s="25">
        <v>45854</v>
      </c>
      <c r="F7" s="39">
        <f t="shared" si="0"/>
        <v>0.89999928000057605</v>
      </c>
      <c r="G7" s="14">
        <f t="shared" si="1"/>
        <v>222222</v>
      </c>
    </row>
    <row r="8" spans="1:7" ht="18" customHeight="1" x14ac:dyDescent="0.2">
      <c r="A8" s="10" t="s">
        <v>33</v>
      </c>
      <c r="B8" s="20">
        <v>150000</v>
      </c>
      <c r="C8" s="20">
        <v>10000000</v>
      </c>
      <c r="D8" s="12">
        <v>0.2</v>
      </c>
      <c r="E8" s="21">
        <v>45862</v>
      </c>
      <c r="F8" s="40">
        <f t="shared" si="0"/>
        <v>0.89999928000057605</v>
      </c>
      <c r="G8" s="11">
        <f t="shared" si="1"/>
        <v>166667</v>
      </c>
    </row>
    <row r="9" spans="1:7" ht="18" customHeight="1" x14ac:dyDescent="0.2">
      <c r="A9" s="13" t="s">
        <v>34</v>
      </c>
      <c r="B9" s="24">
        <v>150000</v>
      </c>
      <c r="C9" s="24">
        <v>10000000</v>
      </c>
      <c r="D9" s="15">
        <v>0.2</v>
      </c>
      <c r="E9" s="25">
        <v>45862</v>
      </c>
      <c r="F9" s="39">
        <f t="shared" si="0"/>
        <v>0.89999928000057605</v>
      </c>
      <c r="G9" s="14">
        <f t="shared" si="1"/>
        <v>166667</v>
      </c>
    </row>
    <row r="10" spans="1:7" ht="18" customHeight="1" x14ac:dyDescent="0.2">
      <c r="A10" s="10" t="s">
        <v>35</v>
      </c>
      <c r="B10" s="20">
        <v>20000</v>
      </c>
      <c r="C10" s="20">
        <v>10000000</v>
      </c>
      <c r="D10" s="12">
        <v>0.2</v>
      </c>
      <c r="E10" s="21">
        <v>45849</v>
      </c>
      <c r="F10" s="40">
        <f t="shared" si="0"/>
        <v>0.89999928000057605</v>
      </c>
      <c r="G10" s="11">
        <f t="shared" si="1"/>
        <v>22222</v>
      </c>
    </row>
    <row r="11" spans="1:7" ht="18" customHeight="1" x14ac:dyDescent="0.2">
      <c r="A11" s="13" t="s">
        <v>36</v>
      </c>
      <c r="B11" s="24">
        <v>15000</v>
      </c>
      <c r="C11" s="24">
        <v>10000000</v>
      </c>
      <c r="D11" s="15">
        <v>0.2</v>
      </c>
      <c r="E11" s="25">
        <v>45884</v>
      </c>
      <c r="F11" s="39">
        <f t="shared" si="0"/>
        <v>0.89999928000057605</v>
      </c>
      <c r="G11" s="14">
        <f t="shared" si="1"/>
        <v>16667</v>
      </c>
    </row>
    <row r="12" spans="1:7" ht="18" customHeight="1" x14ac:dyDescent="0.2">
      <c r="A12" s="10" t="s">
        <v>37</v>
      </c>
      <c r="B12" s="20">
        <v>10000</v>
      </c>
      <c r="C12" s="20">
        <v>10000000</v>
      </c>
      <c r="D12" s="12">
        <v>0.2</v>
      </c>
      <c r="E12" s="21">
        <v>45849</v>
      </c>
      <c r="F12" s="40">
        <f t="shared" si="0"/>
        <v>0.89999928000057605</v>
      </c>
      <c r="G12" s="11">
        <f t="shared" si="1"/>
        <v>11111</v>
      </c>
    </row>
    <row r="13" spans="1:7" ht="18" customHeight="1" x14ac:dyDescent="0.2">
      <c r="A13" s="13" t="s">
        <v>38</v>
      </c>
      <c r="B13" s="24">
        <v>5000</v>
      </c>
      <c r="C13" s="24">
        <v>10000000</v>
      </c>
      <c r="D13" s="15">
        <v>0.2</v>
      </c>
      <c r="E13" s="25">
        <v>45854</v>
      </c>
      <c r="F13" s="39">
        <f t="shared" si="0"/>
        <v>0.89999928000057605</v>
      </c>
      <c r="G13" s="14">
        <f t="shared" si="1"/>
        <v>5556</v>
      </c>
    </row>
    <row r="14" spans="1:7" ht="18" customHeight="1" x14ac:dyDescent="0.2">
      <c r="A14" s="16" t="s">
        <v>46</v>
      </c>
      <c r="B14" s="37">
        <f>SUM(B4:B13)</f>
        <v>1800000</v>
      </c>
      <c r="C14" s="36"/>
      <c r="D14" s="36"/>
      <c r="E14" s="36"/>
      <c r="F14" s="36"/>
      <c r="G14" s="17">
        <f>SUM(G4:G13)</f>
        <v>2000002</v>
      </c>
    </row>
    <row r="15" spans="1:7" ht="18" customHeight="1" x14ac:dyDescent="0.2">
      <c r="A15" s="8"/>
      <c r="B15" s="8"/>
      <c r="C15" s="8"/>
      <c r="D15" s="8"/>
      <c r="E15" s="8"/>
      <c r="F15" s="8"/>
      <c r="G15" s="8"/>
    </row>
    <row r="16" spans="1:7" ht="18" customHeight="1" x14ac:dyDescent="0.2">
      <c r="A16" s="3" t="s">
        <v>47</v>
      </c>
      <c r="B16" s="3"/>
      <c r="C16" s="3"/>
      <c r="D16" s="3"/>
      <c r="E16" s="3"/>
      <c r="F16" s="3"/>
      <c r="G16" s="3"/>
    </row>
    <row r="17" spans="1:7" ht="18" customHeight="1" x14ac:dyDescent="0.2">
      <c r="A17" s="3" t="s">
        <v>48</v>
      </c>
      <c r="B17" s="3"/>
      <c r="C17" s="3"/>
      <c r="D17" s="3"/>
      <c r="E17" s="3"/>
      <c r="F17" s="3"/>
      <c r="G17" s="3"/>
    </row>
  </sheetData>
  <mergeCells count="4">
    <mergeCell ref="A1:G1"/>
    <mergeCell ref="A2:G2"/>
    <mergeCell ref="A16:G16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C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4" customWidth="1"/>
    <col min="2" max="2" width="38" customWidth="1"/>
    <col min="3" max="3" width="14" customWidth="1"/>
  </cols>
  <sheetData>
    <row r="1" spans="1:3" ht="30" customHeight="1" x14ac:dyDescent="0.2">
      <c r="A1" s="7" t="s">
        <v>49</v>
      </c>
      <c r="B1" s="7"/>
      <c r="C1" s="7"/>
    </row>
    <row r="2" spans="1:3" ht="18" customHeight="1" x14ac:dyDescent="0.2">
      <c r="A2" s="8"/>
      <c r="B2" s="8"/>
    </row>
    <row r="3" spans="1:3" ht="18" customHeight="1" x14ac:dyDescent="0.2">
      <c r="A3" s="4" t="s">
        <v>50</v>
      </c>
      <c r="B3" s="4"/>
      <c r="C3" s="4"/>
    </row>
    <row r="4" spans="1:3" ht="18" customHeight="1" x14ac:dyDescent="0.2">
      <c r="A4" s="41" t="s">
        <v>51</v>
      </c>
      <c r="B4" s="13" t="s">
        <v>23</v>
      </c>
      <c r="C4" s="42"/>
    </row>
    <row r="5" spans="1:3" ht="18" customHeight="1" x14ac:dyDescent="0.2">
      <c r="A5" s="43" t="s">
        <v>52</v>
      </c>
      <c r="B5" s="44">
        <v>20000</v>
      </c>
      <c r="C5" s="45"/>
    </row>
    <row r="6" spans="1:3" ht="18" customHeight="1" x14ac:dyDescent="0.2">
      <c r="A6" s="41" t="s">
        <v>53</v>
      </c>
      <c r="B6" s="13" t="s">
        <v>54</v>
      </c>
      <c r="C6" s="42"/>
    </row>
    <row r="7" spans="1:3" ht="18" customHeight="1" x14ac:dyDescent="0.2">
      <c r="A7" s="43" t="s">
        <v>55</v>
      </c>
      <c r="B7" s="10" t="s">
        <v>56</v>
      </c>
      <c r="C7" s="45"/>
    </row>
    <row r="8" spans="1:3" ht="18" customHeight="1" x14ac:dyDescent="0.2">
      <c r="A8" s="41" t="s">
        <v>57</v>
      </c>
      <c r="B8" s="46">
        <v>666667</v>
      </c>
      <c r="C8" s="42"/>
    </row>
    <row r="9" spans="1:3" ht="18" customHeight="1" x14ac:dyDescent="0.2">
      <c r="A9" s="8"/>
      <c r="B9" s="8"/>
    </row>
    <row r="10" spans="1:3" ht="18" customHeight="1" x14ac:dyDescent="0.2">
      <c r="A10" s="4" t="s">
        <v>58</v>
      </c>
      <c r="B10" s="4"/>
      <c r="C10" s="4"/>
    </row>
    <row r="11" spans="1:3" ht="18" customHeight="1" x14ac:dyDescent="0.2">
      <c r="A11" s="41" t="s">
        <v>51</v>
      </c>
      <c r="B11" s="13" t="s">
        <v>23</v>
      </c>
      <c r="C11" s="42"/>
    </row>
    <row r="12" spans="1:3" ht="18" customHeight="1" x14ac:dyDescent="0.2">
      <c r="A12" s="43" t="s">
        <v>59</v>
      </c>
      <c r="B12" s="44">
        <v>100000</v>
      </c>
      <c r="C12" s="45"/>
    </row>
    <row r="13" spans="1:3" ht="18" customHeight="1" x14ac:dyDescent="0.2">
      <c r="A13" s="41" t="s">
        <v>60</v>
      </c>
      <c r="B13" s="13" t="s">
        <v>61</v>
      </c>
      <c r="C13" s="42"/>
    </row>
    <row r="14" spans="1:3" ht="18" customHeight="1" x14ac:dyDescent="0.2">
      <c r="A14" s="43" t="s">
        <v>62</v>
      </c>
      <c r="B14" s="44">
        <v>3000000</v>
      </c>
      <c r="C14" s="45"/>
    </row>
    <row r="15" spans="1:3" ht="18" customHeight="1" x14ac:dyDescent="0.2">
      <c r="A15" s="41" t="s">
        <v>63</v>
      </c>
      <c r="B15" s="13" t="s">
        <v>64</v>
      </c>
      <c r="C15" s="42"/>
    </row>
    <row r="16" spans="1:3" ht="18" customHeight="1" x14ac:dyDescent="0.2">
      <c r="A16" s="43" t="s">
        <v>55</v>
      </c>
      <c r="B16" s="10" t="s">
        <v>65</v>
      </c>
      <c r="C16" s="45"/>
    </row>
    <row r="17" spans="1:3" ht="18" customHeight="1" x14ac:dyDescent="0.2">
      <c r="A17" s="41" t="s">
        <v>66</v>
      </c>
      <c r="B17" s="13" t="s">
        <v>67</v>
      </c>
      <c r="C17" s="42"/>
    </row>
    <row r="18" spans="1:3" ht="18" customHeight="1" x14ac:dyDescent="0.2">
      <c r="A18" s="43" t="s">
        <v>68</v>
      </c>
      <c r="B18" s="10" t="s">
        <v>69</v>
      </c>
      <c r="C18" s="45"/>
    </row>
    <row r="19" spans="1:3" ht="18" customHeight="1" x14ac:dyDescent="0.2">
      <c r="A19" s="41" t="s">
        <v>70</v>
      </c>
      <c r="B19" s="47">
        <f>100000*0.05*360/365</f>
        <v>4931.5068493150684</v>
      </c>
      <c r="C19" s="42"/>
    </row>
  </sheetData>
  <mergeCells count="3">
    <mergeCell ref="A1:C1"/>
    <mergeCell ref="A3:C3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  <pageSetUpPr fitToPage="1"/>
  </sheetPr>
  <dimension ref="A1:F57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8" customWidth="1"/>
    <col min="2" max="2" width="16" customWidth="1"/>
    <col min="3" max="3" width="14" customWidth="1"/>
    <col min="4" max="4" width="12" customWidth="1"/>
  </cols>
  <sheetData>
    <row r="1" spans="1:6" ht="30" customHeight="1" x14ac:dyDescent="0.2">
      <c r="A1" s="7" t="s">
        <v>71</v>
      </c>
      <c r="B1" s="7"/>
      <c r="C1" s="7"/>
      <c r="D1" s="7"/>
      <c r="E1" s="8"/>
      <c r="F1" s="8"/>
    </row>
    <row r="2" spans="1:6" ht="18" customHeight="1" x14ac:dyDescent="0.2">
      <c r="A2" s="2" t="s">
        <v>72</v>
      </c>
      <c r="B2" s="2"/>
      <c r="C2" s="2"/>
      <c r="D2" s="2"/>
      <c r="E2" s="8"/>
      <c r="F2" s="8"/>
    </row>
    <row r="3" spans="1:6" ht="18" customHeight="1" x14ac:dyDescent="0.2">
      <c r="A3" s="8"/>
      <c r="B3" s="8"/>
      <c r="C3" s="8"/>
      <c r="D3" s="8"/>
      <c r="E3" s="8"/>
      <c r="F3" s="8"/>
    </row>
    <row r="4" spans="1:6" ht="18" customHeight="1" x14ac:dyDescent="0.2">
      <c r="A4" s="9" t="s">
        <v>73</v>
      </c>
      <c r="B4" s="9" t="s">
        <v>74</v>
      </c>
      <c r="C4" s="9" t="s">
        <v>75</v>
      </c>
      <c r="D4" s="9" t="s">
        <v>16</v>
      </c>
      <c r="E4" s="8"/>
      <c r="F4" s="8"/>
    </row>
    <row r="5" spans="1:6" ht="18" customHeight="1" x14ac:dyDescent="0.2">
      <c r="A5" s="27" t="s">
        <v>76</v>
      </c>
      <c r="B5" s="32">
        <v>10000000</v>
      </c>
      <c r="C5" s="33">
        <f t="shared" ref="C5:C18" si="0">B5/B$19</f>
        <v>0.7068057905488474</v>
      </c>
      <c r="D5" s="28" t="s">
        <v>77</v>
      </c>
      <c r="E5" s="8"/>
      <c r="F5" s="8"/>
    </row>
    <row r="6" spans="1:6" ht="18" customHeight="1" x14ac:dyDescent="0.2">
      <c r="A6" s="13" t="s">
        <v>78</v>
      </c>
      <c r="B6" s="14">
        <v>1111120</v>
      </c>
      <c r="C6" s="34">
        <f t="shared" si="0"/>
        <v>7.8534604999463534E-2</v>
      </c>
      <c r="D6" s="23" t="s">
        <v>79</v>
      </c>
      <c r="E6" s="8"/>
      <c r="F6" s="8"/>
    </row>
    <row r="7" spans="1:6" ht="18" customHeight="1" x14ac:dyDescent="0.2">
      <c r="A7" s="27" t="s">
        <v>80</v>
      </c>
      <c r="B7" s="32">
        <v>666667</v>
      </c>
      <c r="C7" s="33">
        <f t="shared" si="0"/>
        <v>4.7120409596782847E-2</v>
      </c>
      <c r="D7" s="28" t="s">
        <v>81</v>
      </c>
      <c r="E7" s="8"/>
      <c r="F7" s="8"/>
    </row>
    <row r="8" spans="1:6" ht="18" customHeight="1" x14ac:dyDescent="0.2">
      <c r="A8" s="13" t="s">
        <v>82</v>
      </c>
      <c r="B8" s="14">
        <v>370370</v>
      </c>
      <c r="C8" s="34">
        <f t="shared" si="0"/>
        <v>2.6177966064557662E-2</v>
      </c>
      <c r="D8" s="23" t="s">
        <v>81</v>
      </c>
      <c r="E8" s="8"/>
      <c r="F8" s="8"/>
    </row>
    <row r="9" spans="1:6" ht="18" customHeight="1" x14ac:dyDescent="0.2">
      <c r="A9" s="27" t="s">
        <v>83</v>
      </c>
      <c r="B9" s="32">
        <v>555556</v>
      </c>
      <c r="C9" s="33">
        <f t="shared" si="0"/>
        <v>3.9267019777415549E-2</v>
      </c>
      <c r="D9" s="28" t="s">
        <v>81</v>
      </c>
      <c r="E9" s="8"/>
      <c r="F9" s="8"/>
    </row>
    <row r="10" spans="1:6" ht="18" customHeight="1" x14ac:dyDescent="0.2">
      <c r="A10" s="13" t="s">
        <v>84</v>
      </c>
      <c r="B10" s="14">
        <v>388889</v>
      </c>
      <c r="C10" s="34">
        <f t="shared" si="0"/>
        <v>2.7486899708075073E-2</v>
      </c>
      <c r="D10" s="23" t="s">
        <v>81</v>
      </c>
      <c r="E10" s="8"/>
      <c r="F10" s="8"/>
    </row>
    <row r="11" spans="1:6" ht="18" customHeight="1" x14ac:dyDescent="0.2">
      <c r="A11" s="27" t="s">
        <v>85</v>
      </c>
      <c r="B11" s="32">
        <v>444444</v>
      </c>
      <c r="C11" s="33">
        <f t="shared" si="0"/>
        <v>3.1413559277469194E-2</v>
      </c>
      <c r="D11" s="28" t="s">
        <v>81</v>
      </c>
      <c r="E11" s="8"/>
      <c r="F11" s="8"/>
    </row>
    <row r="12" spans="1:6" ht="18" customHeight="1" x14ac:dyDescent="0.2">
      <c r="A12" s="13" t="s">
        <v>86</v>
      </c>
      <c r="B12" s="14">
        <v>222222</v>
      </c>
      <c r="C12" s="34">
        <f t="shared" si="0"/>
        <v>1.5706779638734597E-2</v>
      </c>
      <c r="D12" s="23" t="s">
        <v>81</v>
      </c>
      <c r="E12" s="8"/>
      <c r="F12" s="8"/>
    </row>
    <row r="13" spans="1:6" ht="18" customHeight="1" x14ac:dyDescent="0.2">
      <c r="A13" s="10" t="s">
        <v>87</v>
      </c>
      <c r="B13" s="11">
        <v>166667</v>
      </c>
      <c r="C13" s="35">
        <f t="shared" si="0"/>
        <v>1.1780120069340476E-2</v>
      </c>
      <c r="D13" s="19" t="s">
        <v>81</v>
      </c>
      <c r="E13" s="8"/>
      <c r="F13" s="8"/>
    </row>
    <row r="14" spans="1:6" ht="18" customHeight="1" x14ac:dyDescent="0.2">
      <c r="A14" s="13" t="s">
        <v>88</v>
      </c>
      <c r="B14" s="14">
        <v>166667</v>
      </c>
      <c r="C14" s="34">
        <f t="shared" si="0"/>
        <v>1.1780120069340476E-2</v>
      </c>
      <c r="D14" s="23" t="s">
        <v>81</v>
      </c>
      <c r="E14" s="8"/>
      <c r="F14" s="8"/>
    </row>
    <row r="15" spans="1:6" ht="18" customHeight="1" x14ac:dyDescent="0.2">
      <c r="A15" s="10" t="s">
        <v>89</v>
      </c>
      <c r="B15" s="11">
        <v>22222</v>
      </c>
      <c r="C15" s="35">
        <f t="shared" si="0"/>
        <v>1.5706638277576488E-3</v>
      </c>
      <c r="D15" s="19" t="s">
        <v>81</v>
      </c>
      <c r="E15" s="8"/>
      <c r="F15" s="8"/>
    </row>
    <row r="16" spans="1:6" ht="18" customHeight="1" x14ac:dyDescent="0.2">
      <c r="A16" s="13" t="s">
        <v>90</v>
      </c>
      <c r="B16" s="14">
        <v>16667</v>
      </c>
      <c r="C16" s="34">
        <f t="shared" si="0"/>
        <v>1.1780332111077641E-3</v>
      </c>
      <c r="D16" s="23" t="s">
        <v>81</v>
      </c>
      <c r="E16" s="8"/>
      <c r="F16" s="8"/>
    </row>
    <row r="17" spans="1:6" ht="18" customHeight="1" x14ac:dyDescent="0.2">
      <c r="A17" s="10" t="s">
        <v>91</v>
      </c>
      <c r="B17" s="11">
        <v>11111</v>
      </c>
      <c r="C17" s="35">
        <f t="shared" si="0"/>
        <v>7.853319138788244E-4</v>
      </c>
      <c r="D17" s="19" t="s">
        <v>81</v>
      </c>
      <c r="E17" s="8"/>
      <c r="F17" s="8"/>
    </row>
    <row r="18" spans="1:6" ht="18" customHeight="1" x14ac:dyDescent="0.2">
      <c r="A18" s="13" t="s">
        <v>92</v>
      </c>
      <c r="B18" s="14">
        <v>5556</v>
      </c>
      <c r="C18" s="34">
        <f t="shared" si="0"/>
        <v>3.9270129722893961E-4</v>
      </c>
      <c r="D18" s="23" t="s">
        <v>81</v>
      </c>
      <c r="E18" s="8"/>
      <c r="F18" s="8"/>
    </row>
    <row r="19" spans="1:6" ht="18" customHeight="1" x14ac:dyDescent="0.2">
      <c r="A19" s="16" t="s">
        <v>93</v>
      </c>
      <c r="B19" s="17">
        <f>SUM(B5:B18)</f>
        <v>14148158</v>
      </c>
      <c r="C19" s="48">
        <f>SUM(C5:C18)</f>
        <v>1</v>
      </c>
      <c r="D19" s="36"/>
      <c r="E19" s="8"/>
      <c r="F19" s="8"/>
    </row>
    <row r="20" spans="1:6" ht="18" customHeight="1" x14ac:dyDescent="0.2">
      <c r="A20" s="8"/>
      <c r="B20" s="8"/>
      <c r="C20" s="8"/>
      <c r="D20" s="8"/>
      <c r="E20" s="8"/>
      <c r="F20" s="8"/>
    </row>
    <row r="21" spans="1:6" ht="18" customHeight="1" x14ac:dyDescent="0.2">
      <c r="A21" s="8"/>
      <c r="B21" s="8"/>
      <c r="C21" s="8"/>
      <c r="D21" s="8"/>
      <c r="E21" s="8"/>
      <c r="F21" s="8"/>
    </row>
    <row r="22" spans="1:6" ht="18" customHeight="1" x14ac:dyDescent="0.2">
      <c r="A22" s="8"/>
      <c r="B22" s="8"/>
      <c r="C22" s="8"/>
      <c r="D22" s="8"/>
      <c r="E22" s="8"/>
      <c r="F22" s="8"/>
    </row>
    <row r="23" spans="1:6" ht="18" customHeight="1" x14ac:dyDescent="0.2">
      <c r="A23" s="8"/>
      <c r="B23" s="8"/>
      <c r="C23" s="8"/>
      <c r="D23" s="8"/>
      <c r="E23" s="8"/>
      <c r="F23" s="8"/>
    </row>
    <row r="24" spans="1:6" ht="18" customHeight="1" x14ac:dyDescent="0.2">
      <c r="A24" s="8"/>
      <c r="B24" s="8"/>
      <c r="C24" s="8"/>
      <c r="D24" s="8"/>
      <c r="E24" s="8"/>
      <c r="F24" s="8"/>
    </row>
    <row r="25" spans="1:6" ht="18" customHeight="1" x14ac:dyDescent="0.2">
      <c r="A25" s="8"/>
      <c r="B25" s="8"/>
      <c r="C25" s="8"/>
      <c r="D25" s="8"/>
      <c r="E25" s="8"/>
      <c r="F25" s="8"/>
    </row>
    <row r="26" spans="1:6" ht="18" customHeight="1" x14ac:dyDescent="0.2">
      <c r="A26" s="8"/>
      <c r="B26" s="8"/>
      <c r="C26" s="8"/>
      <c r="D26" s="8"/>
      <c r="E26" s="8"/>
      <c r="F26" s="8"/>
    </row>
    <row r="27" spans="1:6" ht="18" customHeight="1" x14ac:dyDescent="0.2">
      <c r="A27" s="8"/>
      <c r="B27" s="8"/>
      <c r="C27" s="8"/>
      <c r="D27" s="8"/>
      <c r="E27" s="8"/>
      <c r="F27" s="8"/>
    </row>
    <row r="28" spans="1:6" ht="18" customHeight="1" x14ac:dyDescent="0.2">
      <c r="A28" s="8"/>
      <c r="B28" s="8"/>
      <c r="C28" s="8"/>
      <c r="D28" s="8"/>
      <c r="E28" s="8"/>
      <c r="F28" s="8"/>
    </row>
    <row r="29" spans="1:6" ht="18" customHeight="1" x14ac:dyDescent="0.2">
      <c r="A29" s="8"/>
      <c r="B29" s="8"/>
      <c r="C29" s="8"/>
      <c r="D29" s="8"/>
      <c r="E29" s="8"/>
      <c r="F29" s="8"/>
    </row>
    <row r="30" spans="1:6" ht="18" customHeight="1" x14ac:dyDescent="0.2"/>
    <row r="31" spans="1:6" ht="18" customHeight="1" x14ac:dyDescent="0.2"/>
    <row r="32" spans="1:6" ht="18" customHeight="1" x14ac:dyDescent="0.2"/>
    <row r="33" spans="1:4" ht="18" customHeight="1" x14ac:dyDescent="0.2"/>
    <row r="34" spans="1:4" ht="18" customHeight="1" x14ac:dyDescent="0.2"/>
    <row r="35" spans="1:4" ht="18" customHeight="1" x14ac:dyDescent="0.2"/>
    <row r="36" spans="1:4" ht="18" customHeight="1" x14ac:dyDescent="0.2"/>
    <row r="37" spans="1:4" ht="18" customHeight="1" x14ac:dyDescent="0.2"/>
    <row r="38" spans="1:4" ht="18" customHeight="1" x14ac:dyDescent="0.2">
      <c r="A38" s="4" t="s">
        <v>94</v>
      </c>
      <c r="B38" s="4"/>
      <c r="C38" s="4"/>
      <c r="D38" s="4"/>
    </row>
    <row r="39" spans="1:4" ht="18" customHeight="1" x14ac:dyDescent="0.2">
      <c r="A39" s="1" t="s">
        <v>95</v>
      </c>
      <c r="B39" s="1"/>
      <c r="C39" s="1"/>
      <c r="D39" s="1"/>
    </row>
    <row r="40" spans="1:4" ht="18" customHeight="1" x14ac:dyDescent="0.2">
      <c r="A40" s="1" t="s">
        <v>96</v>
      </c>
      <c r="B40" s="1"/>
      <c r="C40" s="1"/>
      <c r="D40" s="1"/>
    </row>
    <row r="41" spans="1:4" ht="18" customHeight="1" x14ac:dyDescent="0.2">
      <c r="A41" s="1" t="s">
        <v>97</v>
      </c>
      <c r="B41" s="1"/>
      <c r="C41" s="1"/>
      <c r="D41" s="1"/>
    </row>
    <row r="42" spans="1:4" ht="18" customHeight="1" x14ac:dyDescent="0.2">
      <c r="A42" s="1" t="s">
        <v>98</v>
      </c>
      <c r="B42" s="1"/>
      <c r="C42" s="1"/>
      <c r="D42" s="1"/>
    </row>
    <row r="43" spans="1:4" ht="18" customHeight="1" x14ac:dyDescent="0.2">
      <c r="A43" s="1" t="s">
        <v>99</v>
      </c>
      <c r="B43" s="1"/>
      <c r="C43" s="1"/>
      <c r="D43" s="1"/>
    </row>
    <row r="44" spans="1:4" ht="18" customHeight="1" x14ac:dyDescent="0.2">
      <c r="A44" s="1"/>
      <c r="B44" s="1"/>
      <c r="C44" s="1"/>
      <c r="D44" s="1"/>
    </row>
    <row r="45" spans="1:4" ht="18" customHeight="1" x14ac:dyDescent="0.2">
      <c r="A45" s="1" t="s">
        <v>100</v>
      </c>
      <c r="B45" s="1"/>
      <c r="C45" s="1"/>
      <c r="D45" s="1"/>
    </row>
    <row r="46" spans="1:4" ht="18" customHeight="1" x14ac:dyDescent="0.2">
      <c r="A46" s="1" t="s">
        <v>101</v>
      </c>
      <c r="B46" s="1"/>
      <c r="C46" s="1"/>
      <c r="D46" s="1"/>
    </row>
    <row r="47" spans="1:4" ht="18" customHeight="1" x14ac:dyDescent="0.2">
      <c r="A47" s="1" t="s">
        <v>102</v>
      </c>
      <c r="B47" s="1"/>
      <c r="C47" s="1"/>
      <c r="D47" s="1"/>
    </row>
    <row r="48" spans="1:4" ht="18" customHeight="1" x14ac:dyDescent="0.2">
      <c r="A48" s="1" t="s">
        <v>103</v>
      </c>
      <c r="B48" s="1"/>
      <c r="C48" s="1"/>
      <c r="D48" s="1"/>
    </row>
    <row r="49" spans="1:4" ht="18" customHeight="1" x14ac:dyDescent="0.2">
      <c r="A49" s="1" t="s">
        <v>104</v>
      </c>
      <c r="B49" s="1"/>
      <c r="C49" s="1"/>
      <c r="D49" s="1"/>
    </row>
    <row r="50" spans="1:4" ht="18" customHeight="1" x14ac:dyDescent="0.2">
      <c r="A50" s="1" t="s">
        <v>105</v>
      </c>
      <c r="B50" s="1"/>
      <c r="C50" s="1"/>
      <c r="D50" s="1"/>
    </row>
    <row r="51" spans="1:4" ht="18" customHeight="1" x14ac:dyDescent="0.2">
      <c r="A51" s="1"/>
      <c r="B51" s="1"/>
      <c r="C51" s="1"/>
      <c r="D51" s="1"/>
    </row>
    <row r="52" spans="1:4" ht="18" customHeight="1" x14ac:dyDescent="0.2">
      <c r="A52" s="1" t="s">
        <v>106</v>
      </c>
      <c r="B52" s="1"/>
      <c r="C52" s="1"/>
      <c r="D52" s="1"/>
    </row>
    <row r="53" spans="1:4" ht="18" customHeight="1" x14ac:dyDescent="0.2">
      <c r="A53" s="1" t="s">
        <v>107</v>
      </c>
      <c r="B53" s="1"/>
      <c r="C53" s="1"/>
      <c r="D53" s="1"/>
    </row>
    <row r="54" spans="1:4" ht="18" customHeight="1" x14ac:dyDescent="0.2">
      <c r="A54" s="1" t="s">
        <v>108</v>
      </c>
      <c r="B54" s="1"/>
      <c r="C54" s="1"/>
      <c r="D54" s="1"/>
    </row>
    <row r="55" spans="1:4" ht="18" customHeight="1" x14ac:dyDescent="0.2">
      <c r="A55" s="1" t="s">
        <v>109</v>
      </c>
      <c r="B55" s="1"/>
      <c r="C55" s="1"/>
      <c r="D55" s="1"/>
    </row>
    <row r="56" spans="1:4" ht="18" customHeight="1" x14ac:dyDescent="0.2">
      <c r="A56" s="1" t="s">
        <v>110</v>
      </c>
      <c r="B56" s="1"/>
      <c r="C56" s="1"/>
      <c r="D56" s="1"/>
    </row>
    <row r="57" spans="1:4" ht="18" customHeight="1" x14ac:dyDescent="0.2">
      <c r="A57" s="1" t="s">
        <v>111</v>
      </c>
      <c r="B57" s="1"/>
      <c r="C57" s="1"/>
      <c r="D57" s="1"/>
    </row>
  </sheetData>
  <mergeCells count="22">
    <mergeCell ref="A56:D56"/>
    <mergeCell ref="A57:D57"/>
    <mergeCell ref="A51:D51"/>
    <mergeCell ref="A52:D52"/>
    <mergeCell ref="A53:D53"/>
    <mergeCell ref="A54:D54"/>
    <mergeCell ref="A55:D55"/>
    <mergeCell ref="A46:D46"/>
    <mergeCell ref="A47:D47"/>
    <mergeCell ref="A48:D48"/>
    <mergeCell ref="A49:D49"/>
    <mergeCell ref="A50:D50"/>
    <mergeCell ref="A41:D41"/>
    <mergeCell ref="A42:D42"/>
    <mergeCell ref="A43:D43"/>
    <mergeCell ref="A44:D44"/>
    <mergeCell ref="A45:D45"/>
    <mergeCell ref="A1:D1"/>
    <mergeCell ref="A2:D2"/>
    <mergeCell ref="A38:D38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SAFE Detail</vt:lpstr>
      <vt:lpstr>Techstars</vt:lpstr>
      <vt:lpstr>Pro Forma Cap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Colby DeWeese</cp:lastModifiedBy>
  <cp:revision>1</cp:revision>
  <dcterms:created xsi:type="dcterms:W3CDTF">2026-03-09T16:09:18Z</dcterms:created>
  <dcterms:modified xsi:type="dcterms:W3CDTF">2026-03-09T16:19:44Z</dcterms:modified>
  <dc:language>en-US</dc:language>
</cp:coreProperties>
</file>